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sait-my.sharepoint.com/personal/pablo_marin_ext_esa_int/Documents/Documents/Modis/TimeSheet/"/>
    </mc:Choice>
  </mc:AlternateContent>
  <xr:revisionPtr revIDLastSave="6446" documentId="13_ncr:1_{4E36D572-2CA1-4496-AE95-47A1C219D3E2}" xr6:coauthVersionLast="47" xr6:coauthVersionMax="47" xr10:uidLastSave="{A4617409-0D2F-4F6F-846C-5E563AE82D04}"/>
  <bookViews>
    <workbookView xWindow="1290" yWindow="-110" windowWidth="37220" windowHeight="21820" tabRatio="551" xr2:uid="{00000000-000D-0000-FFFF-FFFF00000000}"/>
  </bookViews>
  <sheets>
    <sheet name="Time" sheetId="3" r:id="rId1"/>
    <sheet name="Day summary" sheetId="6" r:id="rId2"/>
    <sheet name="Week summary" sheetId="7" r:id="rId3"/>
    <sheet name="Month summary" sheetId="4" r:id="rId4"/>
    <sheet name="Projects" sheetId="2" r:id="rId5"/>
    <sheet name="Readme" sheetId="8" r:id="rId6"/>
  </sheets>
  <definedNames>
    <definedName name="ProjectList">Projects!$C$2:$C$11</definedName>
    <definedName name="Year">'Month summary'!$C$2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3" l="1"/>
  <c r="N3" i="6" l="1"/>
  <c r="O3" i="6"/>
  <c r="P3" i="6"/>
  <c r="Q3" i="6"/>
  <c r="R3" i="6"/>
  <c r="S3" i="6"/>
  <c r="T3" i="6"/>
  <c r="U3" i="6"/>
  <c r="N4" i="6"/>
  <c r="O4" i="6"/>
  <c r="P4" i="6"/>
  <c r="Q4" i="6"/>
  <c r="R4" i="6"/>
  <c r="S4" i="6"/>
  <c r="T4" i="6"/>
  <c r="U4" i="6"/>
  <c r="N5" i="6"/>
  <c r="O5" i="6"/>
  <c r="P5" i="6"/>
  <c r="Q5" i="6"/>
  <c r="R5" i="6"/>
  <c r="S5" i="6"/>
  <c r="T5" i="6"/>
  <c r="U5" i="6"/>
  <c r="N6" i="6"/>
  <c r="O6" i="6"/>
  <c r="P6" i="6"/>
  <c r="Q6" i="6"/>
  <c r="R6" i="6"/>
  <c r="S6" i="6"/>
  <c r="T6" i="6"/>
  <c r="U6" i="6"/>
  <c r="N7" i="6"/>
  <c r="O7" i="6"/>
  <c r="P7" i="6"/>
  <c r="Q7" i="6"/>
  <c r="R7" i="6"/>
  <c r="S7" i="6"/>
  <c r="T7" i="6"/>
  <c r="U7" i="6"/>
  <c r="N8" i="6"/>
  <c r="O8" i="6"/>
  <c r="P8" i="6"/>
  <c r="Q8" i="6"/>
  <c r="R8" i="6"/>
  <c r="S8" i="6"/>
  <c r="T8" i="6"/>
  <c r="U8" i="6"/>
  <c r="N9" i="6"/>
  <c r="O9" i="6"/>
  <c r="P9" i="6"/>
  <c r="Q9" i="6"/>
  <c r="R9" i="6"/>
  <c r="S9" i="6"/>
  <c r="T9" i="6"/>
  <c r="U9" i="6"/>
  <c r="N10" i="6"/>
  <c r="O10" i="6"/>
  <c r="P10" i="6"/>
  <c r="Q10" i="6"/>
  <c r="R10" i="6"/>
  <c r="S10" i="6"/>
  <c r="T10" i="6"/>
  <c r="U10" i="6"/>
  <c r="N11" i="6"/>
  <c r="O11" i="6"/>
  <c r="P11" i="6"/>
  <c r="Q11" i="6"/>
  <c r="R11" i="6"/>
  <c r="S11" i="6"/>
  <c r="T11" i="6"/>
  <c r="U11" i="6"/>
  <c r="N12" i="6"/>
  <c r="O12" i="6"/>
  <c r="P12" i="6"/>
  <c r="Q12" i="6"/>
  <c r="R12" i="6"/>
  <c r="S12" i="6"/>
  <c r="T12" i="6"/>
  <c r="U12" i="6"/>
  <c r="N13" i="6"/>
  <c r="O13" i="6"/>
  <c r="P13" i="6"/>
  <c r="Q13" i="6"/>
  <c r="R13" i="6"/>
  <c r="S13" i="6"/>
  <c r="T13" i="6"/>
  <c r="U13" i="6"/>
  <c r="N14" i="6"/>
  <c r="O14" i="6"/>
  <c r="P14" i="6"/>
  <c r="Q14" i="6"/>
  <c r="R14" i="6"/>
  <c r="S14" i="6"/>
  <c r="T14" i="6"/>
  <c r="U14" i="6"/>
  <c r="N15" i="6"/>
  <c r="O15" i="6"/>
  <c r="P15" i="6"/>
  <c r="Q15" i="6"/>
  <c r="R15" i="6"/>
  <c r="S15" i="6"/>
  <c r="T15" i="6"/>
  <c r="U15" i="6"/>
  <c r="N16" i="6"/>
  <c r="O16" i="6"/>
  <c r="P16" i="6"/>
  <c r="Q16" i="6"/>
  <c r="R16" i="6"/>
  <c r="S16" i="6"/>
  <c r="T16" i="6"/>
  <c r="U16" i="6"/>
  <c r="N17" i="6"/>
  <c r="O17" i="6"/>
  <c r="P17" i="6"/>
  <c r="Q17" i="6"/>
  <c r="R17" i="6"/>
  <c r="S17" i="6"/>
  <c r="T17" i="6"/>
  <c r="U17" i="6"/>
  <c r="N18" i="6"/>
  <c r="O18" i="6"/>
  <c r="P18" i="6"/>
  <c r="Q18" i="6"/>
  <c r="R18" i="6"/>
  <c r="S18" i="6"/>
  <c r="T18" i="6"/>
  <c r="U18" i="6"/>
  <c r="N19" i="6"/>
  <c r="O19" i="6"/>
  <c r="P19" i="6"/>
  <c r="Q19" i="6"/>
  <c r="R19" i="6"/>
  <c r="S19" i="6"/>
  <c r="T19" i="6"/>
  <c r="U19" i="6"/>
  <c r="N20" i="6"/>
  <c r="O20" i="6"/>
  <c r="P20" i="6"/>
  <c r="Q20" i="6"/>
  <c r="R20" i="6"/>
  <c r="S20" i="6"/>
  <c r="T20" i="6"/>
  <c r="U20" i="6"/>
  <c r="N21" i="6"/>
  <c r="O21" i="6"/>
  <c r="P21" i="6"/>
  <c r="Q21" i="6"/>
  <c r="R21" i="6"/>
  <c r="S21" i="6"/>
  <c r="T21" i="6"/>
  <c r="U21" i="6"/>
  <c r="N22" i="6"/>
  <c r="O22" i="6"/>
  <c r="P22" i="6"/>
  <c r="Q22" i="6"/>
  <c r="R22" i="6"/>
  <c r="S22" i="6"/>
  <c r="T22" i="6"/>
  <c r="U22" i="6"/>
  <c r="N23" i="6"/>
  <c r="O23" i="6"/>
  <c r="P23" i="6"/>
  <c r="Q23" i="6"/>
  <c r="R23" i="6"/>
  <c r="S23" i="6"/>
  <c r="T23" i="6"/>
  <c r="U23" i="6"/>
  <c r="N24" i="6"/>
  <c r="O24" i="6"/>
  <c r="P24" i="6"/>
  <c r="Q24" i="6"/>
  <c r="R24" i="6"/>
  <c r="S24" i="6"/>
  <c r="T24" i="6"/>
  <c r="U24" i="6"/>
  <c r="N25" i="6"/>
  <c r="O25" i="6"/>
  <c r="P25" i="6"/>
  <c r="Q25" i="6"/>
  <c r="R25" i="6"/>
  <c r="S25" i="6"/>
  <c r="T25" i="6"/>
  <c r="U25" i="6"/>
  <c r="N26" i="6"/>
  <c r="O26" i="6"/>
  <c r="P26" i="6"/>
  <c r="Q26" i="6"/>
  <c r="R26" i="6"/>
  <c r="S26" i="6"/>
  <c r="T26" i="6"/>
  <c r="U26" i="6"/>
  <c r="N27" i="6"/>
  <c r="O27" i="6"/>
  <c r="P27" i="6"/>
  <c r="Q27" i="6"/>
  <c r="R27" i="6"/>
  <c r="S27" i="6"/>
  <c r="T27" i="6"/>
  <c r="U27" i="6"/>
  <c r="N28" i="6"/>
  <c r="O28" i="6"/>
  <c r="P28" i="6"/>
  <c r="Q28" i="6"/>
  <c r="R28" i="6"/>
  <c r="S28" i="6"/>
  <c r="T28" i="6"/>
  <c r="U28" i="6"/>
  <c r="N29" i="6"/>
  <c r="O29" i="6"/>
  <c r="P29" i="6"/>
  <c r="Q29" i="6"/>
  <c r="R29" i="6"/>
  <c r="S29" i="6"/>
  <c r="T29" i="6"/>
  <c r="U29" i="6"/>
  <c r="N30" i="6"/>
  <c r="O30" i="6"/>
  <c r="P30" i="6"/>
  <c r="Q30" i="6"/>
  <c r="R30" i="6"/>
  <c r="S30" i="6"/>
  <c r="T30" i="6"/>
  <c r="U30" i="6"/>
  <c r="N31" i="6"/>
  <c r="O31" i="6"/>
  <c r="P31" i="6"/>
  <c r="Q31" i="6"/>
  <c r="R31" i="6"/>
  <c r="S31" i="6"/>
  <c r="T31" i="6"/>
  <c r="U31" i="6"/>
  <c r="N32" i="6"/>
  <c r="O32" i="6"/>
  <c r="P32" i="6"/>
  <c r="Q32" i="6"/>
  <c r="R32" i="6"/>
  <c r="S32" i="6"/>
  <c r="T32" i="6"/>
  <c r="U32" i="6"/>
  <c r="N33" i="6"/>
  <c r="O33" i="6"/>
  <c r="P33" i="6"/>
  <c r="Q33" i="6"/>
  <c r="R33" i="6"/>
  <c r="S33" i="6"/>
  <c r="T33" i="6"/>
  <c r="U33" i="6"/>
  <c r="N34" i="6"/>
  <c r="O34" i="6"/>
  <c r="P34" i="6"/>
  <c r="Q34" i="6"/>
  <c r="R34" i="6"/>
  <c r="S34" i="6"/>
  <c r="T34" i="6"/>
  <c r="U34" i="6"/>
  <c r="N35" i="6"/>
  <c r="O35" i="6"/>
  <c r="P35" i="6"/>
  <c r="Q35" i="6"/>
  <c r="R35" i="6"/>
  <c r="S35" i="6"/>
  <c r="T35" i="6"/>
  <c r="U35" i="6"/>
  <c r="N36" i="6"/>
  <c r="O36" i="6"/>
  <c r="P36" i="6"/>
  <c r="Q36" i="6"/>
  <c r="R36" i="6"/>
  <c r="S36" i="6"/>
  <c r="T36" i="6"/>
  <c r="U36" i="6"/>
  <c r="N37" i="6"/>
  <c r="O37" i="6"/>
  <c r="P37" i="6"/>
  <c r="Q37" i="6"/>
  <c r="R37" i="6"/>
  <c r="S37" i="6"/>
  <c r="T37" i="6"/>
  <c r="U37" i="6"/>
  <c r="N38" i="6"/>
  <c r="O38" i="6"/>
  <c r="P38" i="6"/>
  <c r="Q38" i="6"/>
  <c r="R38" i="6"/>
  <c r="S38" i="6"/>
  <c r="T38" i="6"/>
  <c r="U38" i="6"/>
  <c r="N39" i="6"/>
  <c r="O39" i="6"/>
  <c r="P39" i="6"/>
  <c r="Q39" i="6"/>
  <c r="R39" i="6"/>
  <c r="S39" i="6"/>
  <c r="T39" i="6"/>
  <c r="U39" i="6"/>
  <c r="N40" i="6"/>
  <c r="O40" i="6"/>
  <c r="P40" i="6"/>
  <c r="Q40" i="6"/>
  <c r="R40" i="6"/>
  <c r="S40" i="6"/>
  <c r="T40" i="6"/>
  <c r="U40" i="6"/>
  <c r="N41" i="6"/>
  <c r="O41" i="6"/>
  <c r="P41" i="6"/>
  <c r="Q41" i="6"/>
  <c r="R41" i="6"/>
  <c r="S41" i="6"/>
  <c r="T41" i="6"/>
  <c r="U41" i="6"/>
  <c r="N42" i="6"/>
  <c r="O42" i="6"/>
  <c r="P42" i="6"/>
  <c r="Q42" i="6"/>
  <c r="R42" i="6"/>
  <c r="S42" i="6"/>
  <c r="T42" i="6"/>
  <c r="U42" i="6"/>
  <c r="N43" i="6"/>
  <c r="O43" i="6"/>
  <c r="P43" i="6"/>
  <c r="Q43" i="6"/>
  <c r="R43" i="6"/>
  <c r="S43" i="6"/>
  <c r="T43" i="6"/>
  <c r="U43" i="6"/>
  <c r="N44" i="6"/>
  <c r="O44" i="6"/>
  <c r="P44" i="6"/>
  <c r="Q44" i="6"/>
  <c r="R44" i="6"/>
  <c r="S44" i="6"/>
  <c r="T44" i="6"/>
  <c r="U44" i="6"/>
  <c r="N45" i="6"/>
  <c r="O45" i="6"/>
  <c r="P45" i="6"/>
  <c r="Q45" i="6"/>
  <c r="R45" i="6"/>
  <c r="S45" i="6"/>
  <c r="T45" i="6"/>
  <c r="U45" i="6"/>
  <c r="N46" i="6"/>
  <c r="O46" i="6"/>
  <c r="P46" i="6"/>
  <c r="Q46" i="6"/>
  <c r="R46" i="6"/>
  <c r="S46" i="6"/>
  <c r="T46" i="6"/>
  <c r="U46" i="6"/>
  <c r="N47" i="6"/>
  <c r="O47" i="6"/>
  <c r="P47" i="6"/>
  <c r="Q47" i="6"/>
  <c r="R47" i="6"/>
  <c r="S47" i="6"/>
  <c r="T47" i="6"/>
  <c r="U47" i="6"/>
  <c r="N48" i="6"/>
  <c r="O48" i="6"/>
  <c r="P48" i="6"/>
  <c r="Q48" i="6"/>
  <c r="R48" i="6"/>
  <c r="S48" i="6"/>
  <c r="T48" i="6"/>
  <c r="U48" i="6"/>
  <c r="N49" i="6"/>
  <c r="O49" i="6"/>
  <c r="P49" i="6"/>
  <c r="Q49" i="6"/>
  <c r="R49" i="6"/>
  <c r="S49" i="6"/>
  <c r="T49" i="6"/>
  <c r="U49" i="6"/>
  <c r="N50" i="6"/>
  <c r="O50" i="6"/>
  <c r="P50" i="6"/>
  <c r="Q50" i="6"/>
  <c r="R50" i="6"/>
  <c r="S50" i="6"/>
  <c r="T50" i="6"/>
  <c r="U50" i="6"/>
  <c r="N51" i="6"/>
  <c r="O51" i="6"/>
  <c r="P51" i="6"/>
  <c r="Q51" i="6"/>
  <c r="R51" i="6"/>
  <c r="S51" i="6"/>
  <c r="T51" i="6"/>
  <c r="U51" i="6"/>
  <c r="N52" i="6"/>
  <c r="O52" i="6"/>
  <c r="P52" i="6"/>
  <c r="Q52" i="6"/>
  <c r="R52" i="6"/>
  <c r="S52" i="6"/>
  <c r="T52" i="6"/>
  <c r="U52" i="6"/>
  <c r="N53" i="6"/>
  <c r="O53" i="6"/>
  <c r="P53" i="6"/>
  <c r="Q53" i="6"/>
  <c r="R53" i="6"/>
  <c r="S53" i="6"/>
  <c r="T53" i="6"/>
  <c r="U53" i="6"/>
  <c r="N54" i="6"/>
  <c r="O54" i="6"/>
  <c r="P54" i="6"/>
  <c r="Q54" i="6"/>
  <c r="R54" i="6"/>
  <c r="S54" i="6"/>
  <c r="T54" i="6"/>
  <c r="U54" i="6"/>
  <c r="N55" i="6"/>
  <c r="O55" i="6"/>
  <c r="P55" i="6"/>
  <c r="Q55" i="6"/>
  <c r="R55" i="6"/>
  <c r="S55" i="6"/>
  <c r="T55" i="6"/>
  <c r="U55" i="6"/>
  <c r="N56" i="6"/>
  <c r="O56" i="6"/>
  <c r="P56" i="6"/>
  <c r="Q56" i="6"/>
  <c r="R56" i="6"/>
  <c r="S56" i="6"/>
  <c r="T56" i="6"/>
  <c r="U56" i="6"/>
  <c r="N57" i="6"/>
  <c r="O57" i="6"/>
  <c r="P57" i="6"/>
  <c r="Q57" i="6"/>
  <c r="R57" i="6"/>
  <c r="S57" i="6"/>
  <c r="T57" i="6"/>
  <c r="U57" i="6"/>
  <c r="N58" i="6"/>
  <c r="O58" i="6"/>
  <c r="P58" i="6"/>
  <c r="Q58" i="6"/>
  <c r="R58" i="6"/>
  <c r="S58" i="6"/>
  <c r="T58" i="6"/>
  <c r="U58" i="6"/>
  <c r="N59" i="6"/>
  <c r="O59" i="6"/>
  <c r="P59" i="6"/>
  <c r="Q59" i="6"/>
  <c r="R59" i="6"/>
  <c r="S59" i="6"/>
  <c r="T59" i="6"/>
  <c r="U59" i="6"/>
  <c r="N60" i="6"/>
  <c r="O60" i="6"/>
  <c r="P60" i="6"/>
  <c r="Q60" i="6"/>
  <c r="R60" i="6"/>
  <c r="S60" i="6"/>
  <c r="T60" i="6"/>
  <c r="U60" i="6"/>
  <c r="N61" i="6"/>
  <c r="O61" i="6"/>
  <c r="P61" i="6"/>
  <c r="Q61" i="6"/>
  <c r="R61" i="6"/>
  <c r="S61" i="6"/>
  <c r="T61" i="6"/>
  <c r="U61" i="6"/>
  <c r="N62" i="6"/>
  <c r="O62" i="6"/>
  <c r="P62" i="6"/>
  <c r="Q62" i="6"/>
  <c r="R62" i="6"/>
  <c r="S62" i="6"/>
  <c r="T62" i="6"/>
  <c r="U62" i="6"/>
  <c r="N63" i="6"/>
  <c r="O63" i="6"/>
  <c r="P63" i="6"/>
  <c r="Q63" i="6"/>
  <c r="R63" i="6"/>
  <c r="S63" i="6"/>
  <c r="T63" i="6"/>
  <c r="U63" i="6"/>
  <c r="N64" i="6"/>
  <c r="O64" i="6"/>
  <c r="P64" i="6"/>
  <c r="Q64" i="6"/>
  <c r="R64" i="6"/>
  <c r="S64" i="6"/>
  <c r="T64" i="6"/>
  <c r="U64" i="6"/>
  <c r="N65" i="6"/>
  <c r="O65" i="6"/>
  <c r="P65" i="6"/>
  <c r="Q65" i="6"/>
  <c r="R65" i="6"/>
  <c r="S65" i="6"/>
  <c r="T65" i="6"/>
  <c r="U65" i="6"/>
  <c r="N66" i="6"/>
  <c r="O66" i="6"/>
  <c r="P66" i="6"/>
  <c r="Q66" i="6"/>
  <c r="R66" i="6"/>
  <c r="S66" i="6"/>
  <c r="T66" i="6"/>
  <c r="U66" i="6"/>
  <c r="N67" i="6"/>
  <c r="O67" i="6"/>
  <c r="P67" i="6"/>
  <c r="Q67" i="6"/>
  <c r="R67" i="6"/>
  <c r="S67" i="6"/>
  <c r="T67" i="6"/>
  <c r="U67" i="6"/>
  <c r="N68" i="6"/>
  <c r="O68" i="6"/>
  <c r="P68" i="6"/>
  <c r="Q68" i="6"/>
  <c r="R68" i="6"/>
  <c r="S68" i="6"/>
  <c r="T68" i="6"/>
  <c r="U68" i="6"/>
  <c r="N69" i="6"/>
  <c r="O69" i="6"/>
  <c r="P69" i="6"/>
  <c r="Q69" i="6"/>
  <c r="R69" i="6"/>
  <c r="S69" i="6"/>
  <c r="T69" i="6"/>
  <c r="U69" i="6"/>
  <c r="N70" i="6"/>
  <c r="O70" i="6"/>
  <c r="P70" i="6"/>
  <c r="Q70" i="6"/>
  <c r="R70" i="6"/>
  <c r="S70" i="6"/>
  <c r="T70" i="6"/>
  <c r="U70" i="6"/>
  <c r="N71" i="6"/>
  <c r="O71" i="6"/>
  <c r="P71" i="6"/>
  <c r="Q71" i="6"/>
  <c r="R71" i="6"/>
  <c r="S71" i="6"/>
  <c r="T71" i="6"/>
  <c r="U71" i="6"/>
  <c r="N72" i="6"/>
  <c r="O72" i="6"/>
  <c r="P72" i="6"/>
  <c r="Q72" i="6"/>
  <c r="R72" i="6"/>
  <c r="S72" i="6"/>
  <c r="T72" i="6"/>
  <c r="U72" i="6"/>
  <c r="N73" i="6"/>
  <c r="O73" i="6"/>
  <c r="P73" i="6"/>
  <c r="Q73" i="6"/>
  <c r="R73" i="6"/>
  <c r="S73" i="6"/>
  <c r="T73" i="6"/>
  <c r="U73" i="6"/>
  <c r="N74" i="6"/>
  <c r="O74" i="6"/>
  <c r="P74" i="6"/>
  <c r="Q74" i="6"/>
  <c r="R74" i="6"/>
  <c r="S74" i="6"/>
  <c r="T74" i="6"/>
  <c r="U74" i="6"/>
  <c r="N75" i="6"/>
  <c r="O75" i="6"/>
  <c r="P75" i="6"/>
  <c r="Q75" i="6"/>
  <c r="R75" i="6"/>
  <c r="S75" i="6"/>
  <c r="T75" i="6"/>
  <c r="U75" i="6"/>
  <c r="N76" i="6"/>
  <c r="O76" i="6"/>
  <c r="P76" i="6"/>
  <c r="Q76" i="6"/>
  <c r="R76" i="6"/>
  <c r="S76" i="6"/>
  <c r="T76" i="6"/>
  <c r="U76" i="6"/>
  <c r="N77" i="6"/>
  <c r="O77" i="6"/>
  <c r="P77" i="6"/>
  <c r="Q77" i="6"/>
  <c r="R77" i="6"/>
  <c r="S77" i="6"/>
  <c r="T77" i="6"/>
  <c r="U77" i="6"/>
  <c r="N78" i="6"/>
  <c r="O78" i="6"/>
  <c r="P78" i="6"/>
  <c r="Q78" i="6"/>
  <c r="R78" i="6"/>
  <c r="S78" i="6"/>
  <c r="T78" i="6"/>
  <c r="U78" i="6"/>
  <c r="N79" i="6"/>
  <c r="O79" i="6"/>
  <c r="P79" i="6"/>
  <c r="Q79" i="6"/>
  <c r="R79" i="6"/>
  <c r="S79" i="6"/>
  <c r="T79" i="6"/>
  <c r="U79" i="6"/>
  <c r="N80" i="6"/>
  <c r="O80" i="6"/>
  <c r="P80" i="6"/>
  <c r="Q80" i="6"/>
  <c r="R80" i="6"/>
  <c r="S80" i="6"/>
  <c r="T80" i="6"/>
  <c r="U80" i="6"/>
  <c r="N81" i="6"/>
  <c r="O81" i="6"/>
  <c r="P81" i="6"/>
  <c r="Q81" i="6"/>
  <c r="R81" i="6"/>
  <c r="S81" i="6"/>
  <c r="T81" i="6"/>
  <c r="U81" i="6"/>
  <c r="N82" i="6"/>
  <c r="O82" i="6"/>
  <c r="P82" i="6"/>
  <c r="Q82" i="6"/>
  <c r="R82" i="6"/>
  <c r="S82" i="6"/>
  <c r="T82" i="6"/>
  <c r="U82" i="6"/>
  <c r="N83" i="6"/>
  <c r="O83" i="6"/>
  <c r="P83" i="6"/>
  <c r="Q83" i="6"/>
  <c r="R83" i="6"/>
  <c r="S83" i="6"/>
  <c r="T83" i="6"/>
  <c r="U83" i="6"/>
  <c r="N84" i="6"/>
  <c r="O84" i="6"/>
  <c r="P84" i="6"/>
  <c r="Q84" i="6"/>
  <c r="R84" i="6"/>
  <c r="S84" i="6"/>
  <c r="T84" i="6"/>
  <c r="U84" i="6"/>
  <c r="N85" i="6"/>
  <c r="O85" i="6"/>
  <c r="P85" i="6"/>
  <c r="Q85" i="6"/>
  <c r="R85" i="6"/>
  <c r="S85" i="6"/>
  <c r="T85" i="6"/>
  <c r="U85" i="6"/>
  <c r="N86" i="6"/>
  <c r="O86" i="6"/>
  <c r="P86" i="6"/>
  <c r="Q86" i="6"/>
  <c r="R86" i="6"/>
  <c r="S86" i="6"/>
  <c r="T86" i="6"/>
  <c r="U86" i="6"/>
  <c r="N87" i="6"/>
  <c r="O87" i="6"/>
  <c r="P87" i="6"/>
  <c r="Q87" i="6"/>
  <c r="R87" i="6"/>
  <c r="S87" i="6"/>
  <c r="T87" i="6"/>
  <c r="U87" i="6"/>
  <c r="N88" i="6"/>
  <c r="O88" i="6"/>
  <c r="P88" i="6"/>
  <c r="Q88" i="6"/>
  <c r="R88" i="6"/>
  <c r="S88" i="6"/>
  <c r="T88" i="6"/>
  <c r="U88" i="6"/>
  <c r="N89" i="6"/>
  <c r="O89" i="6"/>
  <c r="P89" i="6"/>
  <c r="Q89" i="6"/>
  <c r="R89" i="6"/>
  <c r="S89" i="6"/>
  <c r="T89" i="6"/>
  <c r="U89" i="6"/>
  <c r="N90" i="6"/>
  <c r="O90" i="6"/>
  <c r="P90" i="6"/>
  <c r="Q90" i="6"/>
  <c r="R90" i="6"/>
  <c r="S90" i="6"/>
  <c r="T90" i="6"/>
  <c r="U90" i="6"/>
  <c r="N91" i="6"/>
  <c r="O91" i="6"/>
  <c r="P91" i="6"/>
  <c r="Q91" i="6"/>
  <c r="R91" i="6"/>
  <c r="S91" i="6"/>
  <c r="T91" i="6"/>
  <c r="U91" i="6"/>
  <c r="N92" i="6"/>
  <c r="O92" i="6"/>
  <c r="P92" i="6"/>
  <c r="Q92" i="6"/>
  <c r="R92" i="6"/>
  <c r="S92" i="6"/>
  <c r="T92" i="6"/>
  <c r="U92" i="6"/>
  <c r="N93" i="6"/>
  <c r="O93" i="6"/>
  <c r="P93" i="6"/>
  <c r="Q93" i="6"/>
  <c r="R93" i="6"/>
  <c r="S93" i="6"/>
  <c r="T93" i="6"/>
  <c r="U93" i="6"/>
  <c r="N94" i="6"/>
  <c r="O94" i="6"/>
  <c r="P94" i="6"/>
  <c r="Q94" i="6"/>
  <c r="R94" i="6"/>
  <c r="S94" i="6"/>
  <c r="T94" i="6"/>
  <c r="U94" i="6"/>
  <c r="N95" i="6"/>
  <c r="O95" i="6"/>
  <c r="P95" i="6"/>
  <c r="Q95" i="6"/>
  <c r="R95" i="6"/>
  <c r="S95" i="6"/>
  <c r="T95" i="6"/>
  <c r="U95" i="6"/>
  <c r="N96" i="6"/>
  <c r="O96" i="6"/>
  <c r="P96" i="6"/>
  <c r="Q96" i="6"/>
  <c r="R96" i="6"/>
  <c r="S96" i="6"/>
  <c r="T96" i="6"/>
  <c r="U96" i="6"/>
  <c r="N97" i="6"/>
  <c r="O97" i="6"/>
  <c r="P97" i="6"/>
  <c r="Q97" i="6"/>
  <c r="R97" i="6"/>
  <c r="S97" i="6"/>
  <c r="T97" i="6"/>
  <c r="U97" i="6"/>
  <c r="N98" i="6"/>
  <c r="O98" i="6"/>
  <c r="P98" i="6"/>
  <c r="Q98" i="6"/>
  <c r="R98" i="6"/>
  <c r="S98" i="6"/>
  <c r="T98" i="6"/>
  <c r="U98" i="6"/>
  <c r="N99" i="6"/>
  <c r="O99" i="6"/>
  <c r="P99" i="6"/>
  <c r="Q99" i="6"/>
  <c r="R99" i="6"/>
  <c r="S99" i="6"/>
  <c r="T99" i="6"/>
  <c r="U99" i="6"/>
  <c r="N100" i="6"/>
  <c r="O100" i="6"/>
  <c r="P100" i="6"/>
  <c r="Q100" i="6"/>
  <c r="R100" i="6"/>
  <c r="S100" i="6"/>
  <c r="T100" i="6"/>
  <c r="U100" i="6"/>
  <c r="N101" i="6"/>
  <c r="O101" i="6"/>
  <c r="P101" i="6"/>
  <c r="Q101" i="6"/>
  <c r="R101" i="6"/>
  <c r="S101" i="6"/>
  <c r="T101" i="6"/>
  <c r="U101" i="6"/>
  <c r="N102" i="6"/>
  <c r="O102" i="6"/>
  <c r="P102" i="6"/>
  <c r="Q102" i="6"/>
  <c r="R102" i="6"/>
  <c r="S102" i="6"/>
  <c r="T102" i="6"/>
  <c r="U102" i="6"/>
  <c r="N103" i="6"/>
  <c r="O103" i="6"/>
  <c r="P103" i="6"/>
  <c r="Q103" i="6"/>
  <c r="R103" i="6"/>
  <c r="S103" i="6"/>
  <c r="T103" i="6"/>
  <c r="U103" i="6"/>
  <c r="N104" i="6"/>
  <c r="O104" i="6"/>
  <c r="P104" i="6"/>
  <c r="Q104" i="6"/>
  <c r="R104" i="6"/>
  <c r="S104" i="6"/>
  <c r="T104" i="6"/>
  <c r="U104" i="6"/>
  <c r="N105" i="6"/>
  <c r="O105" i="6"/>
  <c r="P105" i="6"/>
  <c r="Q105" i="6"/>
  <c r="R105" i="6"/>
  <c r="S105" i="6"/>
  <c r="T105" i="6"/>
  <c r="U105" i="6"/>
  <c r="N106" i="6"/>
  <c r="O106" i="6"/>
  <c r="P106" i="6"/>
  <c r="Q106" i="6"/>
  <c r="R106" i="6"/>
  <c r="S106" i="6"/>
  <c r="T106" i="6"/>
  <c r="U106" i="6"/>
  <c r="N107" i="6"/>
  <c r="O107" i="6"/>
  <c r="P107" i="6"/>
  <c r="Q107" i="6"/>
  <c r="R107" i="6"/>
  <c r="S107" i="6"/>
  <c r="T107" i="6"/>
  <c r="U107" i="6"/>
  <c r="N108" i="6"/>
  <c r="O108" i="6"/>
  <c r="P108" i="6"/>
  <c r="Q108" i="6"/>
  <c r="R108" i="6"/>
  <c r="S108" i="6"/>
  <c r="T108" i="6"/>
  <c r="U108" i="6"/>
  <c r="N109" i="6"/>
  <c r="O109" i="6"/>
  <c r="P109" i="6"/>
  <c r="Q109" i="6"/>
  <c r="R109" i="6"/>
  <c r="S109" i="6"/>
  <c r="T109" i="6"/>
  <c r="U109" i="6"/>
  <c r="N110" i="6"/>
  <c r="O110" i="6"/>
  <c r="P110" i="6"/>
  <c r="Q110" i="6"/>
  <c r="R110" i="6"/>
  <c r="S110" i="6"/>
  <c r="T110" i="6"/>
  <c r="U110" i="6"/>
  <c r="N111" i="6"/>
  <c r="O111" i="6"/>
  <c r="P111" i="6"/>
  <c r="Q111" i="6"/>
  <c r="R111" i="6"/>
  <c r="S111" i="6"/>
  <c r="T111" i="6"/>
  <c r="U111" i="6"/>
  <c r="N112" i="6"/>
  <c r="O112" i="6"/>
  <c r="P112" i="6"/>
  <c r="Q112" i="6"/>
  <c r="R112" i="6"/>
  <c r="S112" i="6"/>
  <c r="T112" i="6"/>
  <c r="U112" i="6"/>
  <c r="N113" i="6"/>
  <c r="O113" i="6"/>
  <c r="P113" i="6"/>
  <c r="Q113" i="6"/>
  <c r="R113" i="6"/>
  <c r="S113" i="6"/>
  <c r="T113" i="6"/>
  <c r="U113" i="6"/>
  <c r="N114" i="6"/>
  <c r="O114" i="6"/>
  <c r="P114" i="6"/>
  <c r="Q114" i="6"/>
  <c r="R114" i="6"/>
  <c r="S114" i="6"/>
  <c r="T114" i="6"/>
  <c r="U114" i="6"/>
  <c r="N115" i="6"/>
  <c r="O115" i="6"/>
  <c r="P115" i="6"/>
  <c r="Q115" i="6"/>
  <c r="R115" i="6"/>
  <c r="S115" i="6"/>
  <c r="T115" i="6"/>
  <c r="U115" i="6"/>
  <c r="N116" i="6"/>
  <c r="O116" i="6"/>
  <c r="P116" i="6"/>
  <c r="Q116" i="6"/>
  <c r="R116" i="6"/>
  <c r="S116" i="6"/>
  <c r="T116" i="6"/>
  <c r="U116" i="6"/>
  <c r="N117" i="6"/>
  <c r="O117" i="6"/>
  <c r="P117" i="6"/>
  <c r="Q117" i="6"/>
  <c r="R117" i="6"/>
  <c r="S117" i="6"/>
  <c r="T117" i="6"/>
  <c r="U117" i="6"/>
  <c r="N118" i="6"/>
  <c r="O118" i="6"/>
  <c r="P118" i="6"/>
  <c r="Q118" i="6"/>
  <c r="R118" i="6"/>
  <c r="S118" i="6"/>
  <c r="T118" i="6"/>
  <c r="U118" i="6"/>
  <c r="N119" i="6"/>
  <c r="O119" i="6"/>
  <c r="P119" i="6"/>
  <c r="Q119" i="6"/>
  <c r="R119" i="6"/>
  <c r="S119" i="6"/>
  <c r="T119" i="6"/>
  <c r="U119" i="6"/>
  <c r="N120" i="6"/>
  <c r="O120" i="6"/>
  <c r="P120" i="6"/>
  <c r="Q120" i="6"/>
  <c r="R120" i="6"/>
  <c r="S120" i="6"/>
  <c r="T120" i="6"/>
  <c r="U120" i="6"/>
  <c r="N121" i="6"/>
  <c r="O121" i="6"/>
  <c r="P121" i="6"/>
  <c r="Q121" i="6"/>
  <c r="R121" i="6"/>
  <c r="S121" i="6"/>
  <c r="T121" i="6"/>
  <c r="U121" i="6"/>
  <c r="N122" i="6"/>
  <c r="O122" i="6"/>
  <c r="P122" i="6"/>
  <c r="Q122" i="6"/>
  <c r="R122" i="6"/>
  <c r="S122" i="6"/>
  <c r="T122" i="6"/>
  <c r="U122" i="6"/>
  <c r="N123" i="6"/>
  <c r="O123" i="6"/>
  <c r="P123" i="6"/>
  <c r="Q123" i="6"/>
  <c r="R123" i="6"/>
  <c r="S123" i="6"/>
  <c r="T123" i="6"/>
  <c r="U123" i="6"/>
  <c r="N124" i="6"/>
  <c r="O124" i="6"/>
  <c r="P124" i="6"/>
  <c r="Q124" i="6"/>
  <c r="R124" i="6"/>
  <c r="S124" i="6"/>
  <c r="T124" i="6"/>
  <c r="U124" i="6"/>
  <c r="N125" i="6"/>
  <c r="O125" i="6"/>
  <c r="P125" i="6"/>
  <c r="Q125" i="6"/>
  <c r="R125" i="6"/>
  <c r="S125" i="6"/>
  <c r="T125" i="6"/>
  <c r="U125" i="6"/>
  <c r="N126" i="6"/>
  <c r="O126" i="6"/>
  <c r="P126" i="6"/>
  <c r="Q126" i="6"/>
  <c r="R126" i="6"/>
  <c r="S126" i="6"/>
  <c r="T126" i="6"/>
  <c r="U126" i="6"/>
  <c r="N127" i="6"/>
  <c r="O127" i="6"/>
  <c r="P127" i="6"/>
  <c r="Q127" i="6"/>
  <c r="R127" i="6"/>
  <c r="S127" i="6"/>
  <c r="T127" i="6"/>
  <c r="U127" i="6"/>
  <c r="N128" i="6"/>
  <c r="O128" i="6"/>
  <c r="P128" i="6"/>
  <c r="Q128" i="6"/>
  <c r="R128" i="6"/>
  <c r="S128" i="6"/>
  <c r="T128" i="6"/>
  <c r="U128" i="6"/>
  <c r="N129" i="6"/>
  <c r="O129" i="6"/>
  <c r="P129" i="6"/>
  <c r="Q129" i="6"/>
  <c r="R129" i="6"/>
  <c r="S129" i="6"/>
  <c r="T129" i="6"/>
  <c r="U129" i="6"/>
  <c r="N130" i="6"/>
  <c r="O130" i="6"/>
  <c r="P130" i="6"/>
  <c r="Q130" i="6"/>
  <c r="R130" i="6"/>
  <c r="S130" i="6"/>
  <c r="T130" i="6"/>
  <c r="U130" i="6"/>
  <c r="N131" i="6"/>
  <c r="O131" i="6"/>
  <c r="P131" i="6"/>
  <c r="Q131" i="6"/>
  <c r="R131" i="6"/>
  <c r="S131" i="6"/>
  <c r="T131" i="6"/>
  <c r="U131" i="6"/>
  <c r="N132" i="6"/>
  <c r="O132" i="6"/>
  <c r="P132" i="6"/>
  <c r="Q132" i="6"/>
  <c r="R132" i="6"/>
  <c r="S132" i="6"/>
  <c r="T132" i="6"/>
  <c r="U132" i="6"/>
  <c r="N133" i="6"/>
  <c r="O133" i="6"/>
  <c r="P133" i="6"/>
  <c r="Q133" i="6"/>
  <c r="R133" i="6"/>
  <c r="S133" i="6"/>
  <c r="T133" i="6"/>
  <c r="U133" i="6"/>
  <c r="N134" i="6"/>
  <c r="O134" i="6"/>
  <c r="P134" i="6"/>
  <c r="Q134" i="6"/>
  <c r="R134" i="6"/>
  <c r="S134" i="6"/>
  <c r="T134" i="6"/>
  <c r="U134" i="6"/>
  <c r="N135" i="6"/>
  <c r="O135" i="6"/>
  <c r="P135" i="6"/>
  <c r="Q135" i="6"/>
  <c r="R135" i="6"/>
  <c r="S135" i="6"/>
  <c r="T135" i="6"/>
  <c r="U135" i="6"/>
  <c r="N136" i="6"/>
  <c r="O136" i="6"/>
  <c r="P136" i="6"/>
  <c r="Q136" i="6"/>
  <c r="R136" i="6"/>
  <c r="S136" i="6"/>
  <c r="T136" i="6"/>
  <c r="U136" i="6"/>
  <c r="N137" i="6"/>
  <c r="O137" i="6"/>
  <c r="P137" i="6"/>
  <c r="Q137" i="6"/>
  <c r="R137" i="6"/>
  <c r="S137" i="6"/>
  <c r="T137" i="6"/>
  <c r="U137" i="6"/>
  <c r="N138" i="6"/>
  <c r="O138" i="6"/>
  <c r="P138" i="6"/>
  <c r="Q138" i="6"/>
  <c r="R138" i="6"/>
  <c r="S138" i="6"/>
  <c r="T138" i="6"/>
  <c r="U138" i="6"/>
  <c r="N139" i="6"/>
  <c r="O139" i="6"/>
  <c r="P139" i="6"/>
  <c r="Q139" i="6"/>
  <c r="R139" i="6"/>
  <c r="S139" i="6"/>
  <c r="T139" i="6"/>
  <c r="U139" i="6"/>
  <c r="N140" i="6"/>
  <c r="O140" i="6"/>
  <c r="P140" i="6"/>
  <c r="Q140" i="6"/>
  <c r="R140" i="6"/>
  <c r="S140" i="6"/>
  <c r="T140" i="6"/>
  <c r="U140" i="6"/>
  <c r="N141" i="6"/>
  <c r="O141" i="6"/>
  <c r="P141" i="6"/>
  <c r="Q141" i="6"/>
  <c r="R141" i="6"/>
  <c r="S141" i="6"/>
  <c r="T141" i="6"/>
  <c r="U141" i="6"/>
  <c r="N142" i="6"/>
  <c r="O142" i="6"/>
  <c r="P142" i="6"/>
  <c r="Q142" i="6"/>
  <c r="R142" i="6"/>
  <c r="S142" i="6"/>
  <c r="T142" i="6"/>
  <c r="U142" i="6"/>
  <c r="N143" i="6"/>
  <c r="O143" i="6"/>
  <c r="P143" i="6"/>
  <c r="Q143" i="6"/>
  <c r="R143" i="6"/>
  <c r="S143" i="6"/>
  <c r="T143" i="6"/>
  <c r="U143" i="6"/>
  <c r="N144" i="6"/>
  <c r="O144" i="6"/>
  <c r="P144" i="6"/>
  <c r="Q144" i="6"/>
  <c r="R144" i="6"/>
  <c r="S144" i="6"/>
  <c r="T144" i="6"/>
  <c r="U144" i="6"/>
  <c r="N145" i="6"/>
  <c r="O145" i="6"/>
  <c r="P145" i="6"/>
  <c r="Q145" i="6"/>
  <c r="R145" i="6"/>
  <c r="S145" i="6"/>
  <c r="T145" i="6"/>
  <c r="U145" i="6"/>
  <c r="N146" i="6"/>
  <c r="O146" i="6"/>
  <c r="P146" i="6"/>
  <c r="Q146" i="6"/>
  <c r="R146" i="6"/>
  <c r="S146" i="6"/>
  <c r="T146" i="6"/>
  <c r="U146" i="6"/>
  <c r="N147" i="6"/>
  <c r="O147" i="6"/>
  <c r="P147" i="6"/>
  <c r="Q147" i="6"/>
  <c r="R147" i="6"/>
  <c r="S147" i="6"/>
  <c r="T147" i="6"/>
  <c r="U147" i="6"/>
  <c r="N148" i="6"/>
  <c r="O148" i="6"/>
  <c r="P148" i="6"/>
  <c r="Q148" i="6"/>
  <c r="R148" i="6"/>
  <c r="S148" i="6"/>
  <c r="T148" i="6"/>
  <c r="U148" i="6"/>
  <c r="N149" i="6"/>
  <c r="O149" i="6"/>
  <c r="P149" i="6"/>
  <c r="Q149" i="6"/>
  <c r="R149" i="6"/>
  <c r="S149" i="6"/>
  <c r="T149" i="6"/>
  <c r="U149" i="6"/>
  <c r="N150" i="6"/>
  <c r="O150" i="6"/>
  <c r="P150" i="6"/>
  <c r="Q150" i="6"/>
  <c r="R150" i="6"/>
  <c r="S150" i="6"/>
  <c r="T150" i="6"/>
  <c r="U150" i="6"/>
  <c r="N151" i="6"/>
  <c r="O151" i="6"/>
  <c r="P151" i="6"/>
  <c r="Q151" i="6"/>
  <c r="R151" i="6"/>
  <c r="S151" i="6"/>
  <c r="T151" i="6"/>
  <c r="U151" i="6"/>
  <c r="N152" i="6"/>
  <c r="O152" i="6"/>
  <c r="P152" i="6"/>
  <c r="Q152" i="6"/>
  <c r="R152" i="6"/>
  <c r="S152" i="6"/>
  <c r="T152" i="6"/>
  <c r="U152" i="6"/>
  <c r="N153" i="6"/>
  <c r="O153" i="6"/>
  <c r="P153" i="6"/>
  <c r="Q153" i="6"/>
  <c r="R153" i="6"/>
  <c r="S153" i="6"/>
  <c r="T153" i="6"/>
  <c r="U153" i="6"/>
  <c r="N154" i="6"/>
  <c r="O154" i="6"/>
  <c r="P154" i="6"/>
  <c r="Q154" i="6"/>
  <c r="R154" i="6"/>
  <c r="S154" i="6"/>
  <c r="T154" i="6"/>
  <c r="U154" i="6"/>
  <c r="N155" i="6"/>
  <c r="O155" i="6"/>
  <c r="P155" i="6"/>
  <c r="Q155" i="6"/>
  <c r="R155" i="6"/>
  <c r="S155" i="6"/>
  <c r="T155" i="6"/>
  <c r="U155" i="6"/>
  <c r="N156" i="6"/>
  <c r="O156" i="6"/>
  <c r="P156" i="6"/>
  <c r="Q156" i="6"/>
  <c r="R156" i="6"/>
  <c r="S156" i="6"/>
  <c r="T156" i="6"/>
  <c r="U156" i="6"/>
  <c r="N157" i="6"/>
  <c r="O157" i="6"/>
  <c r="P157" i="6"/>
  <c r="Q157" i="6"/>
  <c r="R157" i="6"/>
  <c r="S157" i="6"/>
  <c r="T157" i="6"/>
  <c r="U157" i="6"/>
  <c r="N158" i="6"/>
  <c r="O158" i="6"/>
  <c r="P158" i="6"/>
  <c r="Q158" i="6"/>
  <c r="R158" i="6"/>
  <c r="S158" i="6"/>
  <c r="T158" i="6"/>
  <c r="U158" i="6"/>
  <c r="N159" i="6"/>
  <c r="O159" i="6"/>
  <c r="P159" i="6"/>
  <c r="Q159" i="6"/>
  <c r="R159" i="6"/>
  <c r="S159" i="6"/>
  <c r="T159" i="6"/>
  <c r="U159" i="6"/>
  <c r="N160" i="6"/>
  <c r="O160" i="6"/>
  <c r="P160" i="6"/>
  <c r="Q160" i="6"/>
  <c r="R160" i="6"/>
  <c r="S160" i="6"/>
  <c r="T160" i="6"/>
  <c r="U160" i="6"/>
  <c r="N161" i="6"/>
  <c r="O161" i="6"/>
  <c r="P161" i="6"/>
  <c r="Q161" i="6"/>
  <c r="R161" i="6"/>
  <c r="S161" i="6"/>
  <c r="T161" i="6"/>
  <c r="U161" i="6"/>
  <c r="N162" i="6"/>
  <c r="O162" i="6"/>
  <c r="P162" i="6"/>
  <c r="Q162" i="6"/>
  <c r="R162" i="6"/>
  <c r="S162" i="6"/>
  <c r="T162" i="6"/>
  <c r="U162" i="6"/>
  <c r="N163" i="6"/>
  <c r="O163" i="6"/>
  <c r="P163" i="6"/>
  <c r="Q163" i="6"/>
  <c r="R163" i="6"/>
  <c r="S163" i="6"/>
  <c r="T163" i="6"/>
  <c r="U163" i="6"/>
  <c r="N164" i="6"/>
  <c r="O164" i="6"/>
  <c r="P164" i="6"/>
  <c r="Q164" i="6"/>
  <c r="R164" i="6"/>
  <c r="S164" i="6"/>
  <c r="T164" i="6"/>
  <c r="U164" i="6"/>
  <c r="N165" i="6"/>
  <c r="O165" i="6"/>
  <c r="P165" i="6"/>
  <c r="Q165" i="6"/>
  <c r="R165" i="6"/>
  <c r="S165" i="6"/>
  <c r="T165" i="6"/>
  <c r="U165" i="6"/>
  <c r="N166" i="6"/>
  <c r="O166" i="6"/>
  <c r="P166" i="6"/>
  <c r="Q166" i="6"/>
  <c r="R166" i="6"/>
  <c r="S166" i="6"/>
  <c r="T166" i="6"/>
  <c r="U166" i="6"/>
  <c r="N167" i="6"/>
  <c r="O167" i="6"/>
  <c r="P167" i="6"/>
  <c r="Q167" i="6"/>
  <c r="R167" i="6"/>
  <c r="S167" i="6"/>
  <c r="T167" i="6"/>
  <c r="U167" i="6"/>
  <c r="N168" i="6"/>
  <c r="O168" i="6"/>
  <c r="P168" i="6"/>
  <c r="Q168" i="6"/>
  <c r="R168" i="6"/>
  <c r="S168" i="6"/>
  <c r="T168" i="6"/>
  <c r="U168" i="6"/>
  <c r="N169" i="6"/>
  <c r="O169" i="6"/>
  <c r="P169" i="6"/>
  <c r="Q169" i="6"/>
  <c r="R169" i="6"/>
  <c r="S169" i="6"/>
  <c r="T169" i="6"/>
  <c r="U169" i="6"/>
  <c r="N170" i="6"/>
  <c r="O170" i="6"/>
  <c r="P170" i="6"/>
  <c r="Q170" i="6"/>
  <c r="R170" i="6"/>
  <c r="S170" i="6"/>
  <c r="T170" i="6"/>
  <c r="U170" i="6"/>
  <c r="N171" i="6"/>
  <c r="O171" i="6"/>
  <c r="P171" i="6"/>
  <c r="Q171" i="6"/>
  <c r="R171" i="6"/>
  <c r="S171" i="6"/>
  <c r="T171" i="6"/>
  <c r="U171" i="6"/>
  <c r="N172" i="6"/>
  <c r="O172" i="6"/>
  <c r="P172" i="6"/>
  <c r="Q172" i="6"/>
  <c r="R172" i="6"/>
  <c r="S172" i="6"/>
  <c r="T172" i="6"/>
  <c r="U172" i="6"/>
  <c r="N173" i="6"/>
  <c r="O173" i="6"/>
  <c r="P173" i="6"/>
  <c r="Q173" i="6"/>
  <c r="R173" i="6"/>
  <c r="S173" i="6"/>
  <c r="T173" i="6"/>
  <c r="U173" i="6"/>
  <c r="N174" i="6"/>
  <c r="O174" i="6"/>
  <c r="P174" i="6"/>
  <c r="Q174" i="6"/>
  <c r="R174" i="6"/>
  <c r="S174" i="6"/>
  <c r="T174" i="6"/>
  <c r="U174" i="6"/>
  <c r="N175" i="6"/>
  <c r="O175" i="6"/>
  <c r="P175" i="6"/>
  <c r="Q175" i="6"/>
  <c r="R175" i="6"/>
  <c r="S175" i="6"/>
  <c r="T175" i="6"/>
  <c r="U175" i="6"/>
  <c r="N176" i="6"/>
  <c r="O176" i="6"/>
  <c r="P176" i="6"/>
  <c r="Q176" i="6"/>
  <c r="R176" i="6"/>
  <c r="S176" i="6"/>
  <c r="T176" i="6"/>
  <c r="U176" i="6"/>
  <c r="N177" i="6"/>
  <c r="O177" i="6"/>
  <c r="P177" i="6"/>
  <c r="Q177" i="6"/>
  <c r="R177" i="6"/>
  <c r="S177" i="6"/>
  <c r="T177" i="6"/>
  <c r="U177" i="6"/>
  <c r="N178" i="6"/>
  <c r="O178" i="6"/>
  <c r="P178" i="6"/>
  <c r="Q178" i="6"/>
  <c r="R178" i="6"/>
  <c r="S178" i="6"/>
  <c r="T178" i="6"/>
  <c r="U178" i="6"/>
  <c r="N179" i="6"/>
  <c r="O179" i="6"/>
  <c r="P179" i="6"/>
  <c r="Q179" i="6"/>
  <c r="R179" i="6"/>
  <c r="S179" i="6"/>
  <c r="T179" i="6"/>
  <c r="U179" i="6"/>
  <c r="N180" i="6"/>
  <c r="O180" i="6"/>
  <c r="P180" i="6"/>
  <c r="Q180" i="6"/>
  <c r="R180" i="6"/>
  <c r="S180" i="6"/>
  <c r="T180" i="6"/>
  <c r="U180" i="6"/>
  <c r="N181" i="6"/>
  <c r="O181" i="6"/>
  <c r="P181" i="6"/>
  <c r="Q181" i="6"/>
  <c r="R181" i="6"/>
  <c r="S181" i="6"/>
  <c r="T181" i="6"/>
  <c r="U181" i="6"/>
  <c r="N182" i="6"/>
  <c r="O182" i="6"/>
  <c r="P182" i="6"/>
  <c r="Q182" i="6"/>
  <c r="R182" i="6"/>
  <c r="S182" i="6"/>
  <c r="T182" i="6"/>
  <c r="U182" i="6"/>
  <c r="N183" i="6"/>
  <c r="O183" i="6"/>
  <c r="P183" i="6"/>
  <c r="Q183" i="6"/>
  <c r="R183" i="6"/>
  <c r="S183" i="6"/>
  <c r="T183" i="6"/>
  <c r="U183" i="6"/>
  <c r="N184" i="6"/>
  <c r="O184" i="6"/>
  <c r="P184" i="6"/>
  <c r="Q184" i="6"/>
  <c r="R184" i="6"/>
  <c r="S184" i="6"/>
  <c r="T184" i="6"/>
  <c r="U184" i="6"/>
  <c r="N185" i="6"/>
  <c r="O185" i="6"/>
  <c r="P185" i="6"/>
  <c r="Q185" i="6"/>
  <c r="R185" i="6"/>
  <c r="S185" i="6"/>
  <c r="T185" i="6"/>
  <c r="U185" i="6"/>
  <c r="N186" i="6"/>
  <c r="O186" i="6"/>
  <c r="P186" i="6"/>
  <c r="Q186" i="6"/>
  <c r="R186" i="6"/>
  <c r="S186" i="6"/>
  <c r="T186" i="6"/>
  <c r="U186" i="6"/>
  <c r="N187" i="6"/>
  <c r="O187" i="6"/>
  <c r="P187" i="6"/>
  <c r="Q187" i="6"/>
  <c r="R187" i="6"/>
  <c r="S187" i="6"/>
  <c r="T187" i="6"/>
  <c r="U187" i="6"/>
  <c r="N188" i="6"/>
  <c r="O188" i="6"/>
  <c r="P188" i="6"/>
  <c r="Q188" i="6"/>
  <c r="R188" i="6"/>
  <c r="S188" i="6"/>
  <c r="T188" i="6"/>
  <c r="U188" i="6"/>
  <c r="N189" i="6"/>
  <c r="O189" i="6"/>
  <c r="P189" i="6"/>
  <c r="Q189" i="6"/>
  <c r="R189" i="6"/>
  <c r="S189" i="6"/>
  <c r="T189" i="6"/>
  <c r="U189" i="6"/>
  <c r="N190" i="6"/>
  <c r="O190" i="6"/>
  <c r="P190" i="6"/>
  <c r="Q190" i="6"/>
  <c r="R190" i="6"/>
  <c r="S190" i="6"/>
  <c r="T190" i="6"/>
  <c r="U190" i="6"/>
  <c r="N191" i="6"/>
  <c r="O191" i="6"/>
  <c r="P191" i="6"/>
  <c r="Q191" i="6"/>
  <c r="R191" i="6"/>
  <c r="S191" i="6"/>
  <c r="T191" i="6"/>
  <c r="U191" i="6"/>
  <c r="N192" i="6"/>
  <c r="O192" i="6"/>
  <c r="P192" i="6"/>
  <c r="Q192" i="6"/>
  <c r="R192" i="6"/>
  <c r="S192" i="6"/>
  <c r="T192" i="6"/>
  <c r="U192" i="6"/>
  <c r="N193" i="6"/>
  <c r="O193" i="6"/>
  <c r="P193" i="6"/>
  <c r="Q193" i="6"/>
  <c r="R193" i="6"/>
  <c r="S193" i="6"/>
  <c r="T193" i="6"/>
  <c r="U193" i="6"/>
  <c r="N194" i="6"/>
  <c r="O194" i="6"/>
  <c r="P194" i="6"/>
  <c r="Q194" i="6"/>
  <c r="R194" i="6"/>
  <c r="S194" i="6"/>
  <c r="T194" i="6"/>
  <c r="U194" i="6"/>
  <c r="N195" i="6"/>
  <c r="O195" i="6"/>
  <c r="P195" i="6"/>
  <c r="Q195" i="6"/>
  <c r="R195" i="6"/>
  <c r="S195" i="6"/>
  <c r="T195" i="6"/>
  <c r="U195" i="6"/>
  <c r="N196" i="6"/>
  <c r="O196" i="6"/>
  <c r="P196" i="6"/>
  <c r="Q196" i="6"/>
  <c r="R196" i="6"/>
  <c r="S196" i="6"/>
  <c r="T196" i="6"/>
  <c r="U196" i="6"/>
  <c r="N197" i="6"/>
  <c r="O197" i="6"/>
  <c r="P197" i="6"/>
  <c r="Q197" i="6"/>
  <c r="R197" i="6"/>
  <c r="S197" i="6"/>
  <c r="T197" i="6"/>
  <c r="U197" i="6"/>
  <c r="N198" i="6"/>
  <c r="O198" i="6"/>
  <c r="P198" i="6"/>
  <c r="Q198" i="6"/>
  <c r="R198" i="6"/>
  <c r="S198" i="6"/>
  <c r="T198" i="6"/>
  <c r="U198" i="6"/>
  <c r="N199" i="6"/>
  <c r="O199" i="6"/>
  <c r="P199" i="6"/>
  <c r="Q199" i="6"/>
  <c r="R199" i="6"/>
  <c r="S199" i="6"/>
  <c r="T199" i="6"/>
  <c r="U199" i="6"/>
  <c r="N200" i="6"/>
  <c r="O200" i="6"/>
  <c r="P200" i="6"/>
  <c r="Q200" i="6"/>
  <c r="R200" i="6"/>
  <c r="S200" i="6"/>
  <c r="T200" i="6"/>
  <c r="U200" i="6"/>
  <c r="N201" i="6"/>
  <c r="O201" i="6"/>
  <c r="P201" i="6"/>
  <c r="Q201" i="6"/>
  <c r="R201" i="6"/>
  <c r="S201" i="6"/>
  <c r="T201" i="6"/>
  <c r="U201" i="6"/>
  <c r="N202" i="6"/>
  <c r="O202" i="6"/>
  <c r="P202" i="6"/>
  <c r="Q202" i="6"/>
  <c r="R202" i="6"/>
  <c r="S202" i="6"/>
  <c r="T202" i="6"/>
  <c r="U202" i="6"/>
  <c r="N203" i="6"/>
  <c r="O203" i="6"/>
  <c r="P203" i="6"/>
  <c r="Q203" i="6"/>
  <c r="R203" i="6"/>
  <c r="S203" i="6"/>
  <c r="T203" i="6"/>
  <c r="U203" i="6"/>
  <c r="N204" i="6"/>
  <c r="O204" i="6"/>
  <c r="P204" i="6"/>
  <c r="Q204" i="6"/>
  <c r="R204" i="6"/>
  <c r="S204" i="6"/>
  <c r="T204" i="6"/>
  <c r="U204" i="6"/>
  <c r="N205" i="6"/>
  <c r="O205" i="6"/>
  <c r="P205" i="6"/>
  <c r="Q205" i="6"/>
  <c r="R205" i="6"/>
  <c r="S205" i="6"/>
  <c r="T205" i="6"/>
  <c r="U205" i="6"/>
  <c r="N206" i="6"/>
  <c r="O206" i="6"/>
  <c r="P206" i="6"/>
  <c r="Q206" i="6"/>
  <c r="R206" i="6"/>
  <c r="S206" i="6"/>
  <c r="T206" i="6"/>
  <c r="U206" i="6"/>
  <c r="N207" i="6"/>
  <c r="O207" i="6"/>
  <c r="P207" i="6"/>
  <c r="Q207" i="6"/>
  <c r="R207" i="6"/>
  <c r="S207" i="6"/>
  <c r="T207" i="6"/>
  <c r="U207" i="6"/>
  <c r="N208" i="6"/>
  <c r="O208" i="6"/>
  <c r="P208" i="6"/>
  <c r="Q208" i="6"/>
  <c r="R208" i="6"/>
  <c r="S208" i="6"/>
  <c r="T208" i="6"/>
  <c r="U208" i="6"/>
  <c r="N209" i="6"/>
  <c r="O209" i="6"/>
  <c r="P209" i="6"/>
  <c r="Q209" i="6"/>
  <c r="R209" i="6"/>
  <c r="S209" i="6"/>
  <c r="T209" i="6"/>
  <c r="U209" i="6"/>
  <c r="N210" i="6"/>
  <c r="O210" i="6"/>
  <c r="P210" i="6"/>
  <c r="Q210" i="6"/>
  <c r="R210" i="6"/>
  <c r="S210" i="6"/>
  <c r="T210" i="6"/>
  <c r="U210" i="6"/>
  <c r="N211" i="6"/>
  <c r="O211" i="6"/>
  <c r="P211" i="6"/>
  <c r="Q211" i="6"/>
  <c r="R211" i="6"/>
  <c r="S211" i="6"/>
  <c r="T211" i="6"/>
  <c r="U211" i="6"/>
  <c r="N212" i="6"/>
  <c r="O212" i="6"/>
  <c r="P212" i="6"/>
  <c r="Q212" i="6"/>
  <c r="R212" i="6"/>
  <c r="S212" i="6"/>
  <c r="T212" i="6"/>
  <c r="U212" i="6"/>
  <c r="N213" i="6"/>
  <c r="O213" i="6"/>
  <c r="P213" i="6"/>
  <c r="Q213" i="6"/>
  <c r="R213" i="6"/>
  <c r="S213" i="6"/>
  <c r="T213" i="6"/>
  <c r="U213" i="6"/>
  <c r="N214" i="6"/>
  <c r="O214" i="6"/>
  <c r="P214" i="6"/>
  <c r="Q214" i="6"/>
  <c r="R214" i="6"/>
  <c r="S214" i="6"/>
  <c r="T214" i="6"/>
  <c r="U214" i="6"/>
  <c r="N215" i="6"/>
  <c r="O215" i="6"/>
  <c r="P215" i="6"/>
  <c r="Q215" i="6"/>
  <c r="R215" i="6"/>
  <c r="S215" i="6"/>
  <c r="T215" i="6"/>
  <c r="U215" i="6"/>
  <c r="N216" i="6"/>
  <c r="O216" i="6"/>
  <c r="P216" i="6"/>
  <c r="Q216" i="6"/>
  <c r="R216" i="6"/>
  <c r="S216" i="6"/>
  <c r="T216" i="6"/>
  <c r="U216" i="6"/>
  <c r="N217" i="6"/>
  <c r="O217" i="6"/>
  <c r="P217" i="6"/>
  <c r="Q217" i="6"/>
  <c r="R217" i="6"/>
  <c r="S217" i="6"/>
  <c r="T217" i="6"/>
  <c r="U217" i="6"/>
  <c r="N218" i="6"/>
  <c r="O218" i="6"/>
  <c r="P218" i="6"/>
  <c r="Q218" i="6"/>
  <c r="R218" i="6"/>
  <c r="S218" i="6"/>
  <c r="T218" i="6"/>
  <c r="U218" i="6"/>
  <c r="N219" i="6"/>
  <c r="O219" i="6"/>
  <c r="P219" i="6"/>
  <c r="Q219" i="6"/>
  <c r="R219" i="6"/>
  <c r="S219" i="6"/>
  <c r="T219" i="6"/>
  <c r="U219" i="6"/>
  <c r="N220" i="6"/>
  <c r="O220" i="6"/>
  <c r="P220" i="6"/>
  <c r="Q220" i="6"/>
  <c r="R220" i="6"/>
  <c r="S220" i="6"/>
  <c r="T220" i="6"/>
  <c r="U220" i="6"/>
  <c r="N221" i="6"/>
  <c r="O221" i="6"/>
  <c r="P221" i="6"/>
  <c r="Q221" i="6"/>
  <c r="R221" i="6"/>
  <c r="S221" i="6"/>
  <c r="T221" i="6"/>
  <c r="U221" i="6"/>
  <c r="N222" i="6"/>
  <c r="O222" i="6"/>
  <c r="P222" i="6"/>
  <c r="Q222" i="6"/>
  <c r="R222" i="6"/>
  <c r="S222" i="6"/>
  <c r="T222" i="6"/>
  <c r="U222" i="6"/>
  <c r="N223" i="6"/>
  <c r="O223" i="6"/>
  <c r="P223" i="6"/>
  <c r="Q223" i="6"/>
  <c r="R223" i="6"/>
  <c r="S223" i="6"/>
  <c r="T223" i="6"/>
  <c r="U223" i="6"/>
  <c r="N224" i="6"/>
  <c r="O224" i="6"/>
  <c r="P224" i="6"/>
  <c r="Q224" i="6"/>
  <c r="R224" i="6"/>
  <c r="S224" i="6"/>
  <c r="T224" i="6"/>
  <c r="U224" i="6"/>
  <c r="N225" i="6"/>
  <c r="O225" i="6"/>
  <c r="P225" i="6"/>
  <c r="Q225" i="6"/>
  <c r="R225" i="6"/>
  <c r="S225" i="6"/>
  <c r="T225" i="6"/>
  <c r="U225" i="6"/>
  <c r="N226" i="6"/>
  <c r="O226" i="6"/>
  <c r="P226" i="6"/>
  <c r="Q226" i="6"/>
  <c r="R226" i="6"/>
  <c r="S226" i="6"/>
  <c r="T226" i="6"/>
  <c r="U226" i="6"/>
  <c r="N227" i="6"/>
  <c r="O227" i="6"/>
  <c r="P227" i="6"/>
  <c r="Q227" i="6"/>
  <c r="R227" i="6"/>
  <c r="S227" i="6"/>
  <c r="T227" i="6"/>
  <c r="U227" i="6"/>
  <c r="N228" i="6"/>
  <c r="O228" i="6"/>
  <c r="P228" i="6"/>
  <c r="Q228" i="6"/>
  <c r="R228" i="6"/>
  <c r="S228" i="6"/>
  <c r="T228" i="6"/>
  <c r="U228" i="6"/>
  <c r="N229" i="6"/>
  <c r="O229" i="6"/>
  <c r="P229" i="6"/>
  <c r="Q229" i="6"/>
  <c r="R229" i="6"/>
  <c r="S229" i="6"/>
  <c r="T229" i="6"/>
  <c r="U229" i="6"/>
  <c r="N230" i="6"/>
  <c r="O230" i="6"/>
  <c r="P230" i="6"/>
  <c r="Q230" i="6"/>
  <c r="R230" i="6"/>
  <c r="S230" i="6"/>
  <c r="T230" i="6"/>
  <c r="U230" i="6"/>
  <c r="N231" i="6"/>
  <c r="O231" i="6"/>
  <c r="P231" i="6"/>
  <c r="Q231" i="6"/>
  <c r="R231" i="6"/>
  <c r="S231" i="6"/>
  <c r="T231" i="6"/>
  <c r="U231" i="6"/>
  <c r="N232" i="6"/>
  <c r="O232" i="6"/>
  <c r="P232" i="6"/>
  <c r="Q232" i="6"/>
  <c r="R232" i="6"/>
  <c r="S232" i="6"/>
  <c r="T232" i="6"/>
  <c r="U232" i="6"/>
  <c r="N233" i="6"/>
  <c r="O233" i="6"/>
  <c r="P233" i="6"/>
  <c r="Q233" i="6"/>
  <c r="R233" i="6"/>
  <c r="S233" i="6"/>
  <c r="T233" i="6"/>
  <c r="U233" i="6"/>
  <c r="N234" i="6"/>
  <c r="O234" i="6"/>
  <c r="P234" i="6"/>
  <c r="Q234" i="6"/>
  <c r="R234" i="6"/>
  <c r="S234" i="6"/>
  <c r="T234" i="6"/>
  <c r="U234" i="6"/>
  <c r="N235" i="6"/>
  <c r="O235" i="6"/>
  <c r="P235" i="6"/>
  <c r="Q235" i="6"/>
  <c r="R235" i="6"/>
  <c r="S235" i="6"/>
  <c r="T235" i="6"/>
  <c r="U235" i="6"/>
  <c r="N236" i="6"/>
  <c r="O236" i="6"/>
  <c r="P236" i="6"/>
  <c r="Q236" i="6"/>
  <c r="R236" i="6"/>
  <c r="S236" i="6"/>
  <c r="T236" i="6"/>
  <c r="U236" i="6"/>
  <c r="N237" i="6"/>
  <c r="O237" i="6"/>
  <c r="P237" i="6"/>
  <c r="Q237" i="6"/>
  <c r="R237" i="6"/>
  <c r="S237" i="6"/>
  <c r="T237" i="6"/>
  <c r="U237" i="6"/>
  <c r="N238" i="6"/>
  <c r="O238" i="6"/>
  <c r="P238" i="6"/>
  <c r="Q238" i="6"/>
  <c r="R238" i="6"/>
  <c r="S238" i="6"/>
  <c r="T238" i="6"/>
  <c r="U238" i="6"/>
  <c r="N239" i="6"/>
  <c r="O239" i="6"/>
  <c r="P239" i="6"/>
  <c r="Q239" i="6"/>
  <c r="R239" i="6"/>
  <c r="S239" i="6"/>
  <c r="T239" i="6"/>
  <c r="U239" i="6"/>
  <c r="N240" i="6"/>
  <c r="O240" i="6"/>
  <c r="P240" i="6"/>
  <c r="Q240" i="6"/>
  <c r="R240" i="6"/>
  <c r="S240" i="6"/>
  <c r="T240" i="6"/>
  <c r="U240" i="6"/>
  <c r="N241" i="6"/>
  <c r="O241" i="6"/>
  <c r="P241" i="6"/>
  <c r="Q241" i="6"/>
  <c r="R241" i="6"/>
  <c r="S241" i="6"/>
  <c r="T241" i="6"/>
  <c r="U241" i="6"/>
  <c r="N242" i="6"/>
  <c r="O242" i="6"/>
  <c r="P242" i="6"/>
  <c r="Q242" i="6"/>
  <c r="R242" i="6"/>
  <c r="S242" i="6"/>
  <c r="T242" i="6"/>
  <c r="U242" i="6"/>
  <c r="N243" i="6"/>
  <c r="O243" i="6"/>
  <c r="P243" i="6"/>
  <c r="Q243" i="6"/>
  <c r="R243" i="6"/>
  <c r="S243" i="6"/>
  <c r="T243" i="6"/>
  <c r="U243" i="6"/>
  <c r="N244" i="6"/>
  <c r="O244" i="6"/>
  <c r="P244" i="6"/>
  <c r="Q244" i="6"/>
  <c r="R244" i="6"/>
  <c r="S244" i="6"/>
  <c r="T244" i="6"/>
  <c r="U244" i="6"/>
  <c r="N245" i="6"/>
  <c r="O245" i="6"/>
  <c r="P245" i="6"/>
  <c r="Q245" i="6"/>
  <c r="R245" i="6"/>
  <c r="S245" i="6"/>
  <c r="T245" i="6"/>
  <c r="U245" i="6"/>
  <c r="N246" i="6"/>
  <c r="O246" i="6"/>
  <c r="P246" i="6"/>
  <c r="Q246" i="6"/>
  <c r="R246" i="6"/>
  <c r="S246" i="6"/>
  <c r="T246" i="6"/>
  <c r="U246" i="6"/>
  <c r="N247" i="6"/>
  <c r="O247" i="6"/>
  <c r="P247" i="6"/>
  <c r="Q247" i="6"/>
  <c r="R247" i="6"/>
  <c r="S247" i="6"/>
  <c r="T247" i="6"/>
  <c r="U247" i="6"/>
  <c r="N248" i="6"/>
  <c r="O248" i="6"/>
  <c r="P248" i="6"/>
  <c r="Q248" i="6"/>
  <c r="R248" i="6"/>
  <c r="S248" i="6"/>
  <c r="T248" i="6"/>
  <c r="U248" i="6"/>
  <c r="N249" i="6"/>
  <c r="O249" i="6"/>
  <c r="P249" i="6"/>
  <c r="Q249" i="6"/>
  <c r="R249" i="6"/>
  <c r="S249" i="6"/>
  <c r="T249" i="6"/>
  <c r="U249" i="6"/>
  <c r="N250" i="6"/>
  <c r="O250" i="6"/>
  <c r="P250" i="6"/>
  <c r="Q250" i="6"/>
  <c r="R250" i="6"/>
  <c r="S250" i="6"/>
  <c r="T250" i="6"/>
  <c r="U250" i="6"/>
  <c r="N251" i="6"/>
  <c r="O251" i="6"/>
  <c r="P251" i="6"/>
  <c r="Q251" i="6"/>
  <c r="R251" i="6"/>
  <c r="S251" i="6"/>
  <c r="T251" i="6"/>
  <c r="U251" i="6"/>
  <c r="N252" i="6"/>
  <c r="O252" i="6"/>
  <c r="P252" i="6"/>
  <c r="Q252" i="6"/>
  <c r="R252" i="6"/>
  <c r="S252" i="6"/>
  <c r="T252" i="6"/>
  <c r="U252" i="6"/>
  <c r="N253" i="6"/>
  <c r="O253" i="6"/>
  <c r="P253" i="6"/>
  <c r="Q253" i="6"/>
  <c r="R253" i="6"/>
  <c r="S253" i="6"/>
  <c r="T253" i="6"/>
  <c r="U253" i="6"/>
  <c r="N254" i="6"/>
  <c r="O254" i="6"/>
  <c r="P254" i="6"/>
  <c r="Q254" i="6"/>
  <c r="R254" i="6"/>
  <c r="S254" i="6"/>
  <c r="T254" i="6"/>
  <c r="U254" i="6"/>
  <c r="N255" i="6"/>
  <c r="O255" i="6"/>
  <c r="P255" i="6"/>
  <c r="Q255" i="6"/>
  <c r="R255" i="6"/>
  <c r="S255" i="6"/>
  <c r="T255" i="6"/>
  <c r="U255" i="6"/>
  <c r="N256" i="6"/>
  <c r="O256" i="6"/>
  <c r="P256" i="6"/>
  <c r="Q256" i="6"/>
  <c r="R256" i="6"/>
  <c r="S256" i="6"/>
  <c r="T256" i="6"/>
  <c r="U256" i="6"/>
  <c r="N257" i="6"/>
  <c r="O257" i="6"/>
  <c r="P257" i="6"/>
  <c r="Q257" i="6"/>
  <c r="R257" i="6"/>
  <c r="S257" i="6"/>
  <c r="T257" i="6"/>
  <c r="U257" i="6"/>
  <c r="N258" i="6"/>
  <c r="O258" i="6"/>
  <c r="P258" i="6"/>
  <c r="Q258" i="6"/>
  <c r="R258" i="6"/>
  <c r="S258" i="6"/>
  <c r="T258" i="6"/>
  <c r="U258" i="6"/>
  <c r="N259" i="6"/>
  <c r="O259" i="6"/>
  <c r="P259" i="6"/>
  <c r="Q259" i="6"/>
  <c r="R259" i="6"/>
  <c r="S259" i="6"/>
  <c r="T259" i="6"/>
  <c r="U259" i="6"/>
  <c r="N260" i="6"/>
  <c r="O260" i="6"/>
  <c r="P260" i="6"/>
  <c r="Q260" i="6"/>
  <c r="R260" i="6"/>
  <c r="S260" i="6"/>
  <c r="T260" i="6"/>
  <c r="U260" i="6"/>
  <c r="N261" i="6"/>
  <c r="O261" i="6"/>
  <c r="P261" i="6"/>
  <c r="Q261" i="6"/>
  <c r="R261" i="6"/>
  <c r="S261" i="6"/>
  <c r="T261" i="6"/>
  <c r="U261" i="6"/>
  <c r="N262" i="6"/>
  <c r="O262" i="6"/>
  <c r="P262" i="6"/>
  <c r="Q262" i="6"/>
  <c r="R262" i="6"/>
  <c r="S262" i="6"/>
  <c r="T262" i="6"/>
  <c r="U262" i="6"/>
  <c r="N263" i="6"/>
  <c r="O263" i="6"/>
  <c r="P263" i="6"/>
  <c r="Q263" i="6"/>
  <c r="R263" i="6"/>
  <c r="S263" i="6"/>
  <c r="T263" i="6"/>
  <c r="U263" i="6"/>
  <c r="N264" i="6"/>
  <c r="O264" i="6"/>
  <c r="P264" i="6"/>
  <c r="Q264" i="6"/>
  <c r="R264" i="6"/>
  <c r="S264" i="6"/>
  <c r="T264" i="6"/>
  <c r="U264" i="6"/>
  <c r="N265" i="6"/>
  <c r="O265" i="6"/>
  <c r="P265" i="6"/>
  <c r="Q265" i="6"/>
  <c r="R265" i="6"/>
  <c r="S265" i="6"/>
  <c r="T265" i="6"/>
  <c r="U265" i="6"/>
  <c r="N266" i="6"/>
  <c r="O266" i="6"/>
  <c r="P266" i="6"/>
  <c r="Q266" i="6"/>
  <c r="R266" i="6"/>
  <c r="S266" i="6"/>
  <c r="T266" i="6"/>
  <c r="U266" i="6"/>
  <c r="N267" i="6"/>
  <c r="O267" i="6"/>
  <c r="P267" i="6"/>
  <c r="Q267" i="6"/>
  <c r="R267" i="6"/>
  <c r="S267" i="6"/>
  <c r="T267" i="6"/>
  <c r="U267" i="6"/>
  <c r="N268" i="6"/>
  <c r="O268" i="6"/>
  <c r="P268" i="6"/>
  <c r="Q268" i="6"/>
  <c r="R268" i="6"/>
  <c r="S268" i="6"/>
  <c r="T268" i="6"/>
  <c r="U268" i="6"/>
  <c r="N269" i="6"/>
  <c r="O269" i="6"/>
  <c r="P269" i="6"/>
  <c r="Q269" i="6"/>
  <c r="R269" i="6"/>
  <c r="S269" i="6"/>
  <c r="T269" i="6"/>
  <c r="U269" i="6"/>
  <c r="N270" i="6"/>
  <c r="O270" i="6"/>
  <c r="P270" i="6"/>
  <c r="Q270" i="6"/>
  <c r="R270" i="6"/>
  <c r="S270" i="6"/>
  <c r="T270" i="6"/>
  <c r="U270" i="6"/>
  <c r="N271" i="6"/>
  <c r="O271" i="6"/>
  <c r="P271" i="6"/>
  <c r="Q271" i="6"/>
  <c r="R271" i="6"/>
  <c r="S271" i="6"/>
  <c r="T271" i="6"/>
  <c r="U271" i="6"/>
  <c r="N272" i="6"/>
  <c r="O272" i="6"/>
  <c r="P272" i="6"/>
  <c r="Q272" i="6"/>
  <c r="R272" i="6"/>
  <c r="S272" i="6"/>
  <c r="T272" i="6"/>
  <c r="U272" i="6"/>
  <c r="N273" i="6"/>
  <c r="O273" i="6"/>
  <c r="P273" i="6"/>
  <c r="Q273" i="6"/>
  <c r="R273" i="6"/>
  <c r="S273" i="6"/>
  <c r="T273" i="6"/>
  <c r="U273" i="6"/>
  <c r="N274" i="6"/>
  <c r="O274" i="6"/>
  <c r="P274" i="6"/>
  <c r="Q274" i="6"/>
  <c r="R274" i="6"/>
  <c r="S274" i="6"/>
  <c r="T274" i="6"/>
  <c r="U274" i="6"/>
  <c r="N275" i="6"/>
  <c r="O275" i="6"/>
  <c r="P275" i="6"/>
  <c r="Q275" i="6"/>
  <c r="R275" i="6"/>
  <c r="S275" i="6"/>
  <c r="T275" i="6"/>
  <c r="U275" i="6"/>
  <c r="N276" i="6"/>
  <c r="O276" i="6"/>
  <c r="P276" i="6"/>
  <c r="Q276" i="6"/>
  <c r="R276" i="6"/>
  <c r="S276" i="6"/>
  <c r="T276" i="6"/>
  <c r="U276" i="6"/>
  <c r="N277" i="6"/>
  <c r="O277" i="6"/>
  <c r="P277" i="6"/>
  <c r="Q277" i="6"/>
  <c r="R277" i="6"/>
  <c r="S277" i="6"/>
  <c r="T277" i="6"/>
  <c r="U277" i="6"/>
  <c r="N278" i="6"/>
  <c r="O278" i="6"/>
  <c r="P278" i="6"/>
  <c r="Q278" i="6"/>
  <c r="R278" i="6"/>
  <c r="S278" i="6"/>
  <c r="T278" i="6"/>
  <c r="U278" i="6"/>
  <c r="N279" i="6"/>
  <c r="O279" i="6"/>
  <c r="P279" i="6"/>
  <c r="Q279" i="6"/>
  <c r="R279" i="6"/>
  <c r="S279" i="6"/>
  <c r="T279" i="6"/>
  <c r="U279" i="6"/>
  <c r="N280" i="6"/>
  <c r="O280" i="6"/>
  <c r="P280" i="6"/>
  <c r="Q280" i="6"/>
  <c r="R280" i="6"/>
  <c r="S280" i="6"/>
  <c r="T280" i="6"/>
  <c r="U280" i="6"/>
  <c r="N281" i="6"/>
  <c r="O281" i="6"/>
  <c r="P281" i="6"/>
  <c r="Q281" i="6"/>
  <c r="R281" i="6"/>
  <c r="S281" i="6"/>
  <c r="T281" i="6"/>
  <c r="U281" i="6"/>
  <c r="N282" i="6"/>
  <c r="O282" i="6"/>
  <c r="P282" i="6"/>
  <c r="Q282" i="6"/>
  <c r="R282" i="6"/>
  <c r="S282" i="6"/>
  <c r="T282" i="6"/>
  <c r="U282" i="6"/>
  <c r="N283" i="6"/>
  <c r="O283" i="6"/>
  <c r="P283" i="6"/>
  <c r="Q283" i="6"/>
  <c r="R283" i="6"/>
  <c r="S283" i="6"/>
  <c r="T283" i="6"/>
  <c r="U283" i="6"/>
  <c r="N284" i="6"/>
  <c r="O284" i="6"/>
  <c r="P284" i="6"/>
  <c r="Q284" i="6"/>
  <c r="R284" i="6"/>
  <c r="S284" i="6"/>
  <c r="T284" i="6"/>
  <c r="U284" i="6"/>
  <c r="N285" i="6"/>
  <c r="O285" i="6"/>
  <c r="P285" i="6"/>
  <c r="Q285" i="6"/>
  <c r="R285" i="6"/>
  <c r="S285" i="6"/>
  <c r="T285" i="6"/>
  <c r="U285" i="6"/>
  <c r="N286" i="6"/>
  <c r="O286" i="6"/>
  <c r="P286" i="6"/>
  <c r="Q286" i="6"/>
  <c r="R286" i="6"/>
  <c r="S286" i="6"/>
  <c r="T286" i="6"/>
  <c r="U286" i="6"/>
  <c r="N287" i="6"/>
  <c r="O287" i="6"/>
  <c r="P287" i="6"/>
  <c r="Q287" i="6"/>
  <c r="R287" i="6"/>
  <c r="S287" i="6"/>
  <c r="T287" i="6"/>
  <c r="U287" i="6"/>
  <c r="N288" i="6"/>
  <c r="O288" i="6"/>
  <c r="P288" i="6"/>
  <c r="Q288" i="6"/>
  <c r="R288" i="6"/>
  <c r="S288" i="6"/>
  <c r="T288" i="6"/>
  <c r="U288" i="6"/>
  <c r="N289" i="6"/>
  <c r="O289" i="6"/>
  <c r="P289" i="6"/>
  <c r="Q289" i="6"/>
  <c r="R289" i="6"/>
  <c r="S289" i="6"/>
  <c r="T289" i="6"/>
  <c r="U289" i="6"/>
  <c r="N290" i="6"/>
  <c r="O290" i="6"/>
  <c r="P290" i="6"/>
  <c r="Q290" i="6"/>
  <c r="R290" i="6"/>
  <c r="S290" i="6"/>
  <c r="T290" i="6"/>
  <c r="U290" i="6"/>
  <c r="N291" i="6"/>
  <c r="O291" i="6"/>
  <c r="P291" i="6"/>
  <c r="Q291" i="6"/>
  <c r="R291" i="6"/>
  <c r="S291" i="6"/>
  <c r="T291" i="6"/>
  <c r="U291" i="6"/>
  <c r="N292" i="6"/>
  <c r="O292" i="6"/>
  <c r="P292" i="6"/>
  <c r="Q292" i="6"/>
  <c r="R292" i="6"/>
  <c r="S292" i="6"/>
  <c r="T292" i="6"/>
  <c r="U292" i="6"/>
  <c r="N293" i="6"/>
  <c r="O293" i="6"/>
  <c r="P293" i="6"/>
  <c r="Q293" i="6"/>
  <c r="R293" i="6"/>
  <c r="S293" i="6"/>
  <c r="T293" i="6"/>
  <c r="U293" i="6"/>
  <c r="N294" i="6"/>
  <c r="O294" i="6"/>
  <c r="P294" i="6"/>
  <c r="Q294" i="6"/>
  <c r="R294" i="6"/>
  <c r="S294" i="6"/>
  <c r="T294" i="6"/>
  <c r="U294" i="6"/>
  <c r="N295" i="6"/>
  <c r="O295" i="6"/>
  <c r="P295" i="6"/>
  <c r="Q295" i="6"/>
  <c r="R295" i="6"/>
  <c r="S295" i="6"/>
  <c r="T295" i="6"/>
  <c r="U295" i="6"/>
  <c r="N296" i="6"/>
  <c r="O296" i="6"/>
  <c r="P296" i="6"/>
  <c r="Q296" i="6"/>
  <c r="R296" i="6"/>
  <c r="S296" i="6"/>
  <c r="T296" i="6"/>
  <c r="U296" i="6"/>
  <c r="N297" i="6"/>
  <c r="O297" i="6"/>
  <c r="P297" i="6"/>
  <c r="Q297" i="6"/>
  <c r="R297" i="6"/>
  <c r="S297" i="6"/>
  <c r="T297" i="6"/>
  <c r="U297" i="6"/>
  <c r="N298" i="6"/>
  <c r="O298" i="6"/>
  <c r="P298" i="6"/>
  <c r="Q298" i="6"/>
  <c r="R298" i="6"/>
  <c r="S298" i="6"/>
  <c r="T298" i="6"/>
  <c r="U298" i="6"/>
  <c r="N299" i="6"/>
  <c r="O299" i="6"/>
  <c r="P299" i="6"/>
  <c r="Q299" i="6"/>
  <c r="R299" i="6"/>
  <c r="S299" i="6"/>
  <c r="T299" i="6"/>
  <c r="U299" i="6"/>
  <c r="N300" i="6"/>
  <c r="O300" i="6"/>
  <c r="P300" i="6"/>
  <c r="Q300" i="6"/>
  <c r="R300" i="6"/>
  <c r="S300" i="6"/>
  <c r="T300" i="6"/>
  <c r="U300" i="6"/>
  <c r="N301" i="6"/>
  <c r="O301" i="6"/>
  <c r="P301" i="6"/>
  <c r="Q301" i="6"/>
  <c r="R301" i="6"/>
  <c r="S301" i="6"/>
  <c r="T301" i="6"/>
  <c r="U301" i="6"/>
  <c r="N302" i="6"/>
  <c r="O302" i="6"/>
  <c r="P302" i="6"/>
  <c r="Q302" i="6"/>
  <c r="R302" i="6"/>
  <c r="S302" i="6"/>
  <c r="T302" i="6"/>
  <c r="U302" i="6"/>
  <c r="N303" i="6"/>
  <c r="O303" i="6"/>
  <c r="P303" i="6"/>
  <c r="Q303" i="6"/>
  <c r="R303" i="6"/>
  <c r="S303" i="6"/>
  <c r="T303" i="6"/>
  <c r="U303" i="6"/>
  <c r="N304" i="6"/>
  <c r="O304" i="6"/>
  <c r="P304" i="6"/>
  <c r="Q304" i="6"/>
  <c r="R304" i="6"/>
  <c r="S304" i="6"/>
  <c r="T304" i="6"/>
  <c r="U304" i="6"/>
  <c r="N305" i="6"/>
  <c r="O305" i="6"/>
  <c r="P305" i="6"/>
  <c r="Q305" i="6"/>
  <c r="R305" i="6"/>
  <c r="S305" i="6"/>
  <c r="T305" i="6"/>
  <c r="U305" i="6"/>
  <c r="N306" i="6"/>
  <c r="O306" i="6"/>
  <c r="P306" i="6"/>
  <c r="Q306" i="6"/>
  <c r="R306" i="6"/>
  <c r="S306" i="6"/>
  <c r="T306" i="6"/>
  <c r="U306" i="6"/>
  <c r="N307" i="6"/>
  <c r="O307" i="6"/>
  <c r="P307" i="6"/>
  <c r="Q307" i="6"/>
  <c r="R307" i="6"/>
  <c r="S307" i="6"/>
  <c r="T307" i="6"/>
  <c r="U307" i="6"/>
  <c r="N308" i="6"/>
  <c r="O308" i="6"/>
  <c r="P308" i="6"/>
  <c r="Q308" i="6"/>
  <c r="R308" i="6"/>
  <c r="S308" i="6"/>
  <c r="T308" i="6"/>
  <c r="U308" i="6"/>
  <c r="N309" i="6"/>
  <c r="O309" i="6"/>
  <c r="P309" i="6"/>
  <c r="Q309" i="6"/>
  <c r="R309" i="6"/>
  <c r="S309" i="6"/>
  <c r="T309" i="6"/>
  <c r="U309" i="6"/>
  <c r="N310" i="6"/>
  <c r="O310" i="6"/>
  <c r="P310" i="6"/>
  <c r="Q310" i="6"/>
  <c r="R310" i="6"/>
  <c r="S310" i="6"/>
  <c r="T310" i="6"/>
  <c r="U310" i="6"/>
  <c r="N311" i="6"/>
  <c r="O311" i="6"/>
  <c r="P311" i="6"/>
  <c r="Q311" i="6"/>
  <c r="R311" i="6"/>
  <c r="S311" i="6"/>
  <c r="T311" i="6"/>
  <c r="U311" i="6"/>
  <c r="N312" i="6"/>
  <c r="O312" i="6"/>
  <c r="P312" i="6"/>
  <c r="Q312" i="6"/>
  <c r="R312" i="6"/>
  <c r="S312" i="6"/>
  <c r="T312" i="6"/>
  <c r="U312" i="6"/>
  <c r="N313" i="6"/>
  <c r="O313" i="6"/>
  <c r="P313" i="6"/>
  <c r="Q313" i="6"/>
  <c r="R313" i="6"/>
  <c r="S313" i="6"/>
  <c r="T313" i="6"/>
  <c r="U313" i="6"/>
  <c r="N314" i="6"/>
  <c r="O314" i="6"/>
  <c r="P314" i="6"/>
  <c r="Q314" i="6"/>
  <c r="R314" i="6"/>
  <c r="S314" i="6"/>
  <c r="T314" i="6"/>
  <c r="U314" i="6"/>
  <c r="N315" i="6"/>
  <c r="O315" i="6"/>
  <c r="P315" i="6"/>
  <c r="Q315" i="6"/>
  <c r="R315" i="6"/>
  <c r="S315" i="6"/>
  <c r="T315" i="6"/>
  <c r="U315" i="6"/>
  <c r="N316" i="6"/>
  <c r="O316" i="6"/>
  <c r="P316" i="6"/>
  <c r="Q316" i="6"/>
  <c r="R316" i="6"/>
  <c r="S316" i="6"/>
  <c r="T316" i="6"/>
  <c r="U316" i="6"/>
  <c r="N317" i="6"/>
  <c r="O317" i="6"/>
  <c r="P317" i="6"/>
  <c r="Q317" i="6"/>
  <c r="R317" i="6"/>
  <c r="S317" i="6"/>
  <c r="T317" i="6"/>
  <c r="U317" i="6"/>
  <c r="N318" i="6"/>
  <c r="O318" i="6"/>
  <c r="P318" i="6"/>
  <c r="Q318" i="6"/>
  <c r="R318" i="6"/>
  <c r="S318" i="6"/>
  <c r="T318" i="6"/>
  <c r="U318" i="6"/>
  <c r="N319" i="6"/>
  <c r="O319" i="6"/>
  <c r="P319" i="6"/>
  <c r="Q319" i="6"/>
  <c r="R319" i="6"/>
  <c r="S319" i="6"/>
  <c r="T319" i="6"/>
  <c r="U319" i="6"/>
  <c r="N320" i="6"/>
  <c r="O320" i="6"/>
  <c r="P320" i="6"/>
  <c r="Q320" i="6"/>
  <c r="R320" i="6"/>
  <c r="S320" i="6"/>
  <c r="T320" i="6"/>
  <c r="U320" i="6"/>
  <c r="N321" i="6"/>
  <c r="O321" i="6"/>
  <c r="P321" i="6"/>
  <c r="Q321" i="6"/>
  <c r="R321" i="6"/>
  <c r="S321" i="6"/>
  <c r="T321" i="6"/>
  <c r="U321" i="6"/>
  <c r="N322" i="6"/>
  <c r="O322" i="6"/>
  <c r="P322" i="6"/>
  <c r="Q322" i="6"/>
  <c r="R322" i="6"/>
  <c r="S322" i="6"/>
  <c r="T322" i="6"/>
  <c r="U322" i="6"/>
  <c r="N323" i="6"/>
  <c r="O323" i="6"/>
  <c r="P323" i="6"/>
  <c r="Q323" i="6"/>
  <c r="R323" i="6"/>
  <c r="S323" i="6"/>
  <c r="T323" i="6"/>
  <c r="U323" i="6"/>
  <c r="N324" i="6"/>
  <c r="O324" i="6"/>
  <c r="P324" i="6"/>
  <c r="Q324" i="6"/>
  <c r="R324" i="6"/>
  <c r="S324" i="6"/>
  <c r="T324" i="6"/>
  <c r="U324" i="6"/>
  <c r="N325" i="6"/>
  <c r="O325" i="6"/>
  <c r="P325" i="6"/>
  <c r="Q325" i="6"/>
  <c r="R325" i="6"/>
  <c r="S325" i="6"/>
  <c r="T325" i="6"/>
  <c r="U325" i="6"/>
  <c r="N326" i="6"/>
  <c r="O326" i="6"/>
  <c r="P326" i="6"/>
  <c r="Q326" i="6"/>
  <c r="R326" i="6"/>
  <c r="S326" i="6"/>
  <c r="T326" i="6"/>
  <c r="U326" i="6"/>
  <c r="N327" i="6"/>
  <c r="O327" i="6"/>
  <c r="P327" i="6"/>
  <c r="Q327" i="6"/>
  <c r="R327" i="6"/>
  <c r="S327" i="6"/>
  <c r="T327" i="6"/>
  <c r="U327" i="6"/>
  <c r="N328" i="6"/>
  <c r="O328" i="6"/>
  <c r="P328" i="6"/>
  <c r="Q328" i="6"/>
  <c r="R328" i="6"/>
  <c r="S328" i="6"/>
  <c r="T328" i="6"/>
  <c r="U328" i="6"/>
  <c r="N329" i="6"/>
  <c r="O329" i="6"/>
  <c r="P329" i="6"/>
  <c r="Q329" i="6"/>
  <c r="R329" i="6"/>
  <c r="S329" i="6"/>
  <c r="T329" i="6"/>
  <c r="U329" i="6"/>
  <c r="N330" i="6"/>
  <c r="O330" i="6"/>
  <c r="P330" i="6"/>
  <c r="Q330" i="6"/>
  <c r="R330" i="6"/>
  <c r="S330" i="6"/>
  <c r="T330" i="6"/>
  <c r="U330" i="6"/>
  <c r="N331" i="6"/>
  <c r="O331" i="6"/>
  <c r="P331" i="6"/>
  <c r="Q331" i="6"/>
  <c r="R331" i="6"/>
  <c r="S331" i="6"/>
  <c r="T331" i="6"/>
  <c r="U331" i="6"/>
  <c r="N332" i="6"/>
  <c r="O332" i="6"/>
  <c r="P332" i="6"/>
  <c r="Q332" i="6"/>
  <c r="R332" i="6"/>
  <c r="S332" i="6"/>
  <c r="T332" i="6"/>
  <c r="U332" i="6"/>
  <c r="N333" i="6"/>
  <c r="O333" i="6"/>
  <c r="P333" i="6"/>
  <c r="Q333" i="6"/>
  <c r="R333" i="6"/>
  <c r="S333" i="6"/>
  <c r="T333" i="6"/>
  <c r="U333" i="6"/>
  <c r="N334" i="6"/>
  <c r="O334" i="6"/>
  <c r="P334" i="6"/>
  <c r="Q334" i="6"/>
  <c r="R334" i="6"/>
  <c r="S334" i="6"/>
  <c r="T334" i="6"/>
  <c r="U334" i="6"/>
  <c r="N335" i="6"/>
  <c r="O335" i="6"/>
  <c r="P335" i="6"/>
  <c r="Q335" i="6"/>
  <c r="R335" i="6"/>
  <c r="S335" i="6"/>
  <c r="T335" i="6"/>
  <c r="U335" i="6"/>
  <c r="N336" i="6"/>
  <c r="O336" i="6"/>
  <c r="P336" i="6"/>
  <c r="Q336" i="6"/>
  <c r="R336" i="6"/>
  <c r="S336" i="6"/>
  <c r="T336" i="6"/>
  <c r="U336" i="6"/>
  <c r="N337" i="6"/>
  <c r="O337" i="6"/>
  <c r="P337" i="6"/>
  <c r="Q337" i="6"/>
  <c r="R337" i="6"/>
  <c r="S337" i="6"/>
  <c r="T337" i="6"/>
  <c r="U337" i="6"/>
  <c r="N338" i="6"/>
  <c r="O338" i="6"/>
  <c r="P338" i="6"/>
  <c r="Q338" i="6"/>
  <c r="R338" i="6"/>
  <c r="S338" i="6"/>
  <c r="T338" i="6"/>
  <c r="U338" i="6"/>
  <c r="N339" i="6"/>
  <c r="O339" i="6"/>
  <c r="P339" i="6"/>
  <c r="Q339" i="6"/>
  <c r="R339" i="6"/>
  <c r="S339" i="6"/>
  <c r="T339" i="6"/>
  <c r="U339" i="6"/>
  <c r="N340" i="6"/>
  <c r="O340" i="6"/>
  <c r="P340" i="6"/>
  <c r="Q340" i="6"/>
  <c r="R340" i="6"/>
  <c r="S340" i="6"/>
  <c r="T340" i="6"/>
  <c r="U340" i="6"/>
  <c r="N341" i="6"/>
  <c r="O341" i="6"/>
  <c r="P341" i="6"/>
  <c r="Q341" i="6"/>
  <c r="R341" i="6"/>
  <c r="S341" i="6"/>
  <c r="T341" i="6"/>
  <c r="U341" i="6"/>
  <c r="N342" i="6"/>
  <c r="O342" i="6"/>
  <c r="P342" i="6"/>
  <c r="Q342" i="6"/>
  <c r="R342" i="6"/>
  <c r="S342" i="6"/>
  <c r="T342" i="6"/>
  <c r="U342" i="6"/>
  <c r="N343" i="6"/>
  <c r="O343" i="6"/>
  <c r="P343" i="6"/>
  <c r="Q343" i="6"/>
  <c r="R343" i="6"/>
  <c r="S343" i="6"/>
  <c r="T343" i="6"/>
  <c r="U343" i="6"/>
  <c r="N344" i="6"/>
  <c r="O344" i="6"/>
  <c r="P344" i="6"/>
  <c r="Q344" i="6"/>
  <c r="R344" i="6"/>
  <c r="S344" i="6"/>
  <c r="T344" i="6"/>
  <c r="U344" i="6"/>
  <c r="N345" i="6"/>
  <c r="O345" i="6"/>
  <c r="P345" i="6"/>
  <c r="Q345" i="6"/>
  <c r="R345" i="6"/>
  <c r="S345" i="6"/>
  <c r="T345" i="6"/>
  <c r="U345" i="6"/>
  <c r="N346" i="6"/>
  <c r="O346" i="6"/>
  <c r="P346" i="6"/>
  <c r="Q346" i="6"/>
  <c r="R346" i="6"/>
  <c r="S346" i="6"/>
  <c r="T346" i="6"/>
  <c r="U346" i="6"/>
  <c r="N347" i="6"/>
  <c r="O347" i="6"/>
  <c r="P347" i="6"/>
  <c r="Q347" i="6"/>
  <c r="R347" i="6"/>
  <c r="S347" i="6"/>
  <c r="T347" i="6"/>
  <c r="U347" i="6"/>
  <c r="N348" i="6"/>
  <c r="O348" i="6"/>
  <c r="P348" i="6"/>
  <c r="Q348" i="6"/>
  <c r="R348" i="6"/>
  <c r="S348" i="6"/>
  <c r="T348" i="6"/>
  <c r="U348" i="6"/>
  <c r="N349" i="6"/>
  <c r="O349" i="6"/>
  <c r="P349" i="6"/>
  <c r="Q349" i="6"/>
  <c r="R349" i="6"/>
  <c r="S349" i="6"/>
  <c r="T349" i="6"/>
  <c r="U349" i="6"/>
  <c r="N350" i="6"/>
  <c r="O350" i="6"/>
  <c r="P350" i="6"/>
  <c r="Q350" i="6"/>
  <c r="R350" i="6"/>
  <c r="S350" i="6"/>
  <c r="T350" i="6"/>
  <c r="U350" i="6"/>
  <c r="N351" i="6"/>
  <c r="O351" i="6"/>
  <c r="P351" i="6"/>
  <c r="Q351" i="6"/>
  <c r="R351" i="6"/>
  <c r="S351" i="6"/>
  <c r="T351" i="6"/>
  <c r="U351" i="6"/>
  <c r="N352" i="6"/>
  <c r="O352" i="6"/>
  <c r="P352" i="6"/>
  <c r="Q352" i="6"/>
  <c r="R352" i="6"/>
  <c r="S352" i="6"/>
  <c r="T352" i="6"/>
  <c r="U352" i="6"/>
  <c r="N353" i="6"/>
  <c r="O353" i="6"/>
  <c r="P353" i="6"/>
  <c r="Q353" i="6"/>
  <c r="R353" i="6"/>
  <c r="S353" i="6"/>
  <c r="T353" i="6"/>
  <c r="U353" i="6"/>
  <c r="N354" i="6"/>
  <c r="O354" i="6"/>
  <c r="P354" i="6"/>
  <c r="Q354" i="6"/>
  <c r="R354" i="6"/>
  <c r="S354" i="6"/>
  <c r="T354" i="6"/>
  <c r="U354" i="6"/>
  <c r="N355" i="6"/>
  <c r="O355" i="6"/>
  <c r="P355" i="6"/>
  <c r="Q355" i="6"/>
  <c r="R355" i="6"/>
  <c r="S355" i="6"/>
  <c r="T355" i="6"/>
  <c r="U355" i="6"/>
  <c r="N356" i="6"/>
  <c r="O356" i="6"/>
  <c r="P356" i="6"/>
  <c r="Q356" i="6"/>
  <c r="R356" i="6"/>
  <c r="S356" i="6"/>
  <c r="T356" i="6"/>
  <c r="U356" i="6"/>
  <c r="N357" i="6"/>
  <c r="O357" i="6"/>
  <c r="P357" i="6"/>
  <c r="Q357" i="6"/>
  <c r="R357" i="6"/>
  <c r="S357" i="6"/>
  <c r="T357" i="6"/>
  <c r="U357" i="6"/>
  <c r="N358" i="6"/>
  <c r="O358" i="6"/>
  <c r="P358" i="6"/>
  <c r="Q358" i="6"/>
  <c r="R358" i="6"/>
  <c r="S358" i="6"/>
  <c r="T358" i="6"/>
  <c r="U358" i="6"/>
  <c r="N359" i="6"/>
  <c r="O359" i="6"/>
  <c r="P359" i="6"/>
  <c r="Q359" i="6"/>
  <c r="R359" i="6"/>
  <c r="S359" i="6"/>
  <c r="T359" i="6"/>
  <c r="U359" i="6"/>
  <c r="N360" i="6"/>
  <c r="O360" i="6"/>
  <c r="P360" i="6"/>
  <c r="Q360" i="6"/>
  <c r="R360" i="6"/>
  <c r="S360" i="6"/>
  <c r="T360" i="6"/>
  <c r="U360" i="6"/>
  <c r="N361" i="6"/>
  <c r="O361" i="6"/>
  <c r="P361" i="6"/>
  <c r="Q361" i="6"/>
  <c r="R361" i="6"/>
  <c r="S361" i="6"/>
  <c r="T361" i="6"/>
  <c r="U361" i="6"/>
  <c r="N362" i="6"/>
  <c r="O362" i="6"/>
  <c r="P362" i="6"/>
  <c r="Q362" i="6"/>
  <c r="R362" i="6"/>
  <c r="S362" i="6"/>
  <c r="T362" i="6"/>
  <c r="U362" i="6"/>
  <c r="N363" i="6"/>
  <c r="O363" i="6"/>
  <c r="P363" i="6"/>
  <c r="Q363" i="6"/>
  <c r="R363" i="6"/>
  <c r="S363" i="6"/>
  <c r="T363" i="6"/>
  <c r="U363" i="6"/>
  <c r="N364" i="6"/>
  <c r="O364" i="6"/>
  <c r="P364" i="6"/>
  <c r="Q364" i="6"/>
  <c r="R364" i="6"/>
  <c r="S364" i="6"/>
  <c r="T364" i="6"/>
  <c r="U364" i="6"/>
  <c r="N365" i="6"/>
  <c r="O365" i="6"/>
  <c r="P365" i="6"/>
  <c r="Q365" i="6"/>
  <c r="R365" i="6"/>
  <c r="S365" i="6"/>
  <c r="T365" i="6"/>
  <c r="U365" i="6"/>
  <c r="N366" i="6"/>
  <c r="O366" i="6"/>
  <c r="P366" i="6"/>
  <c r="Q366" i="6"/>
  <c r="R366" i="6"/>
  <c r="S366" i="6"/>
  <c r="T366" i="6"/>
  <c r="U366" i="6"/>
  <c r="N367" i="6"/>
  <c r="O367" i="6"/>
  <c r="P367" i="6"/>
  <c r="Q367" i="6"/>
  <c r="R367" i="6"/>
  <c r="S367" i="6"/>
  <c r="T367" i="6"/>
  <c r="U367" i="6"/>
  <c r="O2" i="6"/>
  <c r="P2" i="6"/>
  <c r="Q2" i="6"/>
  <c r="R2" i="6"/>
  <c r="S2" i="6"/>
  <c r="T2" i="6"/>
  <c r="U2" i="6"/>
  <c r="N2" i="6"/>
  <c r="T10" i="4"/>
  <c r="S10" i="4"/>
  <c r="R10" i="4"/>
  <c r="Q10" i="4"/>
  <c r="P10" i="4"/>
  <c r="O10" i="4"/>
  <c r="N10" i="4"/>
  <c r="M10" i="4"/>
  <c r="S1" i="7"/>
  <c r="R1" i="7"/>
  <c r="Q1" i="7"/>
  <c r="P1" i="7"/>
  <c r="O1" i="7"/>
  <c r="N1" i="7"/>
  <c r="M1" i="7"/>
  <c r="L1" i="7"/>
  <c r="C2" i="3"/>
  <c r="U1" i="6"/>
  <c r="T1" i="6"/>
  <c r="S1" i="6"/>
  <c r="R1" i="6" l="1"/>
  <c r="Q1" i="6" l="1"/>
  <c r="P1" i="6"/>
  <c r="O1" i="6"/>
  <c r="N1" i="6"/>
  <c r="E7" i="4"/>
  <c r="B23" i="4"/>
  <c r="B22" i="4"/>
  <c r="B21" i="4"/>
  <c r="B20" i="4"/>
  <c r="B19" i="4"/>
  <c r="B18" i="4"/>
  <c r="B17" i="4"/>
  <c r="B16" i="4"/>
  <c r="B15" i="4"/>
  <c r="B14" i="4"/>
  <c r="B13" i="4"/>
  <c r="B12" i="4"/>
  <c r="E6" i="4" l="1"/>
  <c r="D5" i="4"/>
  <c r="C5" i="4"/>
  <c r="V2" i="7" l="1"/>
  <c r="W2" i="7" l="1"/>
  <c r="X2" i="7" l="1"/>
  <c r="Y2" i="7" l="1"/>
  <c r="Z2" i="7" l="1"/>
  <c r="AA2" i="7" l="1"/>
  <c r="AB2" i="7" l="1"/>
  <c r="B2" i="6"/>
  <c r="C2" i="6" l="1"/>
  <c r="M2" i="6" a="1"/>
  <c r="M2" i="6" s="1"/>
  <c r="K2" i="6"/>
  <c r="F2" i="6"/>
  <c r="G2" i="6" s="1"/>
  <c r="L2" i="6"/>
  <c r="B3" i="6"/>
  <c r="B2" i="7"/>
  <c r="C2" i="7"/>
  <c r="V3" i="7"/>
  <c r="AC2" i="7"/>
  <c r="I2" i="7" s="1"/>
  <c r="D2" i="6"/>
  <c r="D2" i="3"/>
  <c r="A2" i="3"/>
  <c r="M13" i="4" l="1"/>
  <c r="M14" i="4"/>
  <c r="M15" i="4"/>
  <c r="M16" i="4"/>
  <c r="M17" i="4"/>
  <c r="M18" i="4"/>
  <c r="M19" i="4"/>
  <c r="M20" i="4"/>
  <c r="M21" i="4"/>
  <c r="M22" i="4"/>
  <c r="M23" i="4"/>
  <c r="N12" i="4"/>
  <c r="N2" i="7"/>
  <c r="N13" i="4"/>
  <c r="N14" i="4"/>
  <c r="N15" i="4"/>
  <c r="N16" i="4"/>
  <c r="N17" i="4"/>
  <c r="N18" i="4"/>
  <c r="N19" i="4"/>
  <c r="N20" i="4"/>
  <c r="N21" i="4"/>
  <c r="N22" i="4"/>
  <c r="N23" i="4"/>
  <c r="O12" i="4"/>
  <c r="O2" i="7"/>
  <c r="O13" i="4"/>
  <c r="O14" i="4"/>
  <c r="O15" i="4"/>
  <c r="O16" i="4"/>
  <c r="O17" i="4"/>
  <c r="O18" i="4"/>
  <c r="O19" i="4"/>
  <c r="O20" i="4"/>
  <c r="O21" i="4"/>
  <c r="O22" i="4"/>
  <c r="O23" i="4"/>
  <c r="Q12" i="4"/>
  <c r="Q2" i="7"/>
  <c r="P13" i="4"/>
  <c r="P14" i="4"/>
  <c r="P15" i="4"/>
  <c r="P16" i="4"/>
  <c r="P17" i="4"/>
  <c r="P18" i="4"/>
  <c r="P19" i="4"/>
  <c r="P20" i="4"/>
  <c r="P21" i="4"/>
  <c r="P22" i="4"/>
  <c r="P23" i="4"/>
  <c r="R12" i="4"/>
  <c r="S2" i="7"/>
  <c r="Q13" i="4"/>
  <c r="Q14" i="4"/>
  <c r="Q15" i="4"/>
  <c r="Q16" i="4"/>
  <c r="Q17" i="4"/>
  <c r="Q18" i="4"/>
  <c r="Q19" i="4"/>
  <c r="Q20" i="4"/>
  <c r="Q21" i="4"/>
  <c r="Q22" i="4"/>
  <c r="Q23" i="4"/>
  <c r="S12" i="4"/>
  <c r="R13" i="4"/>
  <c r="R14" i="4"/>
  <c r="R15" i="4"/>
  <c r="R16" i="4"/>
  <c r="R17" i="4"/>
  <c r="R18" i="4"/>
  <c r="R19" i="4"/>
  <c r="R20" i="4"/>
  <c r="R21" i="4"/>
  <c r="R22" i="4"/>
  <c r="R23" i="4"/>
  <c r="T12" i="4"/>
  <c r="S13" i="4"/>
  <c r="S14" i="4"/>
  <c r="S15" i="4"/>
  <c r="S16" i="4"/>
  <c r="S17" i="4"/>
  <c r="S18" i="4"/>
  <c r="S19" i="4"/>
  <c r="S20" i="4"/>
  <c r="S21" i="4"/>
  <c r="S22" i="4"/>
  <c r="S23" i="4"/>
  <c r="M12" i="4"/>
  <c r="L2" i="7"/>
  <c r="T13" i="4"/>
  <c r="T14" i="4"/>
  <c r="T15" i="4"/>
  <c r="T16" i="4"/>
  <c r="T17" i="4"/>
  <c r="T18" i="4"/>
  <c r="T19" i="4"/>
  <c r="T20" i="4"/>
  <c r="T21" i="4"/>
  <c r="T22" i="4"/>
  <c r="T23" i="4"/>
  <c r="M2" i="7"/>
  <c r="P12" i="4"/>
  <c r="R2" i="7"/>
  <c r="P2" i="7"/>
  <c r="H2" i="6"/>
  <c r="I2" i="6" s="1"/>
  <c r="C3" i="6"/>
  <c r="B4" i="6"/>
  <c r="M3" i="6" a="1"/>
  <c r="M3" i="6" s="1"/>
  <c r="H3" i="6"/>
  <c r="I3" i="6" s="1"/>
  <c r="K3" i="6"/>
  <c r="F3" i="6"/>
  <c r="G3" i="6" s="1"/>
  <c r="L3" i="6"/>
  <c r="W3" i="7"/>
  <c r="D3" i="6"/>
  <c r="J2" i="7" l="1"/>
  <c r="K2" i="7" s="1"/>
  <c r="R24" i="4"/>
  <c r="S24" i="4"/>
  <c r="P24" i="4"/>
  <c r="T24" i="4"/>
  <c r="N24" i="4"/>
  <c r="M24" i="4"/>
  <c r="O24" i="4"/>
  <c r="Q24" i="4"/>
  <c r="C4" i="6"/>
  <c r="B5" i="6"/>
  <c r="M4" i="6" a="1"/>
  <c r="M4" i="6" s="1"/>
  <c r="L4" i="6"/>
  <c r="F4" i="6"/>
  <c r="G4" i="6" s="1"/>
  <c r="K4" i="6"/>
  <c r="E2" i="7"/>
  <c r="X3" i="7"/>
  <c r="D4" i="6"/>
  <c r="A2" i="6"/>
  <c r="H4" i="6" l="1"/>
  <c r="I4" i="6" s="1"/>
  <c r="C5" i="6"/>
  <c r="Y3" i="7"/>
  <c r="B6" i="6"/>
  <c r="M5" i="6" a="1"/>
  <c r="M5" i="6" s="1"/>
  <c r="L5" i="6"/>
  <c r="K5" i="6"/>
  <c r="F5" i="6"/>
  <c r="G5" i="6" s="1"/>
  <c r="D5" i="6"/>
  <c r="H5" i="6" l="1"/>
  <c r="I5" i="6" s="1"/>
  <c r="C6" i="6"/>
  <c r="B7" i="6"/>
  <c r="M6" i="6" a="1"/>
  <c r="M6" i="6" s="1"/>
  <c r="L6" i="6"/>
  <c r="F6" i="6"/>
  <c r="G6" i="6" s="1"/>
  <c r="K6" i="6"/>
  <c r="F2" i="7"/>
  <c r="Z3" i="7"/>
  <c r="D6" i="6"/>
  <c r="H6" i="6" l="1"/>
  <c r="I6" i="6" s="1"/>
  <c r="C7" i="6"/>
  <c r="AA3" i="7"/>
  <c r="B8" i="6"/>
  <c r="M7" i="6" a="1"/>
  <c r="M7" i="6" s="1"/>
  <c r="L7" i="6"/>
  <c r="K7" i="6"/>
  <c r="F7" i="6"/>
  <c r="G7" i="6" s="1"/>
  <c r="G2" i="7"/>
  <c r="D7" i="6"/>
  <c r="A3" i="6"/>
  <c r="A4" i="6"/>
  <c r="H7" i="6" l="1"/>
  <c r="I7" i="6" s="1"/>
  <c r="C8" i="6"/>
  <c r="B9" i="6"/>
  <c r="M8" i="6" a="1"/>
  <c r="M8" i="6" s="1"/>
  <c r="H8" i="6"/>
  <c r="I8" i="6" s="1"/>
  <c r="L8" i="6"/>
  <c r="K8" i="6"/>
  <c r="F8" i="6"/>
  <c r="G8" i="6" s="1"/>
  <c r="AB3" i="7"/>
  <c r="AC3" i="7" s="1"/>
  <c r="D8" i="6"/>
  <c r="A5" i="6"/>
  <c r="C9" i="6" l="1"/>
  <c r="I3" i="7"/>
  <c r="V4" i="7"/>
  <c r="B10" i="6"/>
  <c r="M9" i="6" a="1"/>
  <c r="M9" i="6" s="1"/>
  <c r="L9" i="6"/>
  <c r="K9" i="6"/>
  <c r="F9" i="6"/>
  <c r="G9" i="6" s="1"/>
  <c r="D9" i="6"/>
  <c r="A6" i="6"/>
  <c r="H9" i="6" l="1"/>
  <c r="I9" i="6" s="1"/>
  <c r="M3" i="7"/>
  <c r="L3" i="7"/>
  <c r="Q3" i="7"/>
  <c r="S3" i="7"/>
  <c r="N3" i="7"/>
  <c r="P3" i="7"/>
  <c r="R3" i="7"/>
  <c r="O3" i="7"/>
  <c r="C10" i="6"/>
  <c r="B11" i="6"/>
  <c r="M10" i="6" a="1"/>
  <c r="M10" i="6" s="1"/>
  <c r="L10" i="6"/>
  <c r="K10" i="6"/>
  <c r="F10" i="6"/>
  <c r="G10" i="6" s="1"/>
  <c r="W4" i="7"/>
  <c r="D10" i="6"/>
  <c r="A7" i="6"/>
  <c r="J3" i="7" l="1"/>
  <c r="H10" i="6"/>
  <c r="I10" i="6" s="1"/>
  <c r="C11" i="6"/>
  <c r="X4" i="7"/>
  <c r="B12" i="6"/>
  <c r="M11" i="6" a="1"/>
  <c r="M11" i="6" s="1"/>
  <c r="H11" i="6"/>
  <c r="I11" i="6" s="1"/>
  <c r="L11" i="6"/>
  <c r="K11" i="6"/>
  <c r="F11" i="6"/>
  <c r="G11" i="6" s="1"/>
  <c r="D11" i="6"/>
  <c r="A8" i="6"/>
  <c r="C12" i="6" l="1"/>
  <c r="B13" i="6"/>
  <c r="M12" i="6" a="1"/>
  <c r="M12" i="6" s="1"/>
  <c r="L12" i="6"/>
  <c r="K12" i="6"/>
  <c r="F12" i="6"/>
  <c r="G12" i="6" s="1"/>
  <c r="Y4" i="7"/>
  <c r="D12" i="6"/>
  <c r="A9" i="6"/>
  <c r="H12" i="6" l="1"/>
  <c r="I12" i="6" s="1"/>
  <c r="C13" i="6"/>
  <c r="Z4" i="7"/>
  <c r="B14" i="6"/>
  <c r="M13" i="6" a="1"/>
  <c r="M13" i="6" s="1"/>
  <c r="H13" i="6"/>
  <c r="I13" i="6" s="1"/>
  <c r="L13" i="6"/>
  <c r="K13" i="6"/>
  <c r="F13" i="6"/>
  <c r="G13" i="6" s="1"/>
  <c r="D13" i="6"/>
  <c r="A10" i="6"/>
  <c r="C14" i="6" l="1"/>
  <c r="B15" i="6"/>
  <c r="M14" i="6" a="1"/>
  <c r="M14" i="6" s="1"/>
  <c r="L14" i="6"/>
  <c r="K14" i="6"/>
  <c r="F14" i="6"/>
  <c r="G14" i="6" s="1"/>
  <c r="AA4" i="7"/>
  <c r="D14" i="6"/>
  <c r="A11" i="6"/>
  <c r="H14" i="6" l="1"/>
  <c r="I14" i="6" s="1"/>
  <c r="C15" i="6"/>
  <c r="AB4" i="7"/>
  <c r="B16" i="6"/>
  <c r="M15" i="6" a="1"/>
  <c r="M15" i="6" s="1"/>
  <c r="L15" i="6"/>
  <c r="K15" i="6"/>
  <c r="F15" i="6"/>
  <c r="G15" i="6" s="1"/>
  <c r="D15" i="6"/>
  <c r="A12" i="6"/>
  <c r="H15" i="6" l="1"/>
  <c r="I15" i="6" s="1"/>
  <c r="C16" i="6"/>
  <c r="B17" i="6"/>
  <c r="M16" i="6" a="1"/>
  <c r="M16" i="6" s="1"/>
  <c r="H16" i="6"/>
  <c r="I16" i="6" s="1"/>
  <c r="L16" i="6"/>
  <c r="K16" i="6"/>
  <c r="F16" i="6"/>
  <c r="G16" i="6" s="1"/>
  <c r="AC4" i="7"/>
  <c r="I4" i="7" s="1"/>
  <c r="V5" i="7"/>
  <c r="D16" i="6"/>
  <c r="A13" i="6"/>
  <c r="L4" i="7" l="1"/>
  <c r="S4" i="7"/>
  <c r="M4" i="7"/>
  <c r="N4" i="7"/>
  <c r="Q4" i="7"/>
  <c r="P4" i="7"/>
  <c r="O4" i="7"/>
  <c r="R4" i="7"/>
  <c r="C17" i="6"/>
  <c r="W5" i="7"/>
  <c r="B18" i="6"/>
  <c r="M17" i="6" a="1"/>
  <c r="M17" i="6" s="1"/>
  <c r="H17" i="6"/>
  <c r="I17" i="6" s="1"/>
  <c r="L17" i="6"/>
  <c r="K17" i="6"/>
  <c r="F17" i="6"/>
  <c r="G17" i="6" s="1"/>
  <c r="D17" i="6"/>
  <c r="A14" i="6"/>
  <c r="J4" i="7" l="1"/>
  <c r="C18" i="6"/>
  <c r="B19" i="6"/>
  <c r="M18" i="6" a="1"/>
  <c r="M18" i="6" s="1"/>
  <c r="L18" i="6"/>
  <c r="F18" i="6"/>
  <c r="G18" i="6" s="1"/>
  <c r="K18" i="6"/>
  <c r="X5" i="7"/>
  <c r="D18" i="6"/>
  <c r="A15" i="6"/>
  <c r="H18" i="6" l="1"/>
  <c r="I18" i="6" s="1"/>
  <c r="C19" i="6"/>
  <c r="Y5" i="7"/>
  <c r="B20" i="6"/>
  <c r="M19" i="6" a="1"/>
  <c r="M19" i="6" s="1"/>
  <c r="L19" i="6"/>
  <c r="K19" i="6"/>
  <c r="F19" i="6"/>
  <c r="G19" i="6" s="1"/>
  <c r="D19" i="6"/>
  <c r="A16" i="6"/>
  <c r="H19" i="6" l="1"/>
  <c r="I19" i="6" s="1"/>
  <c r="C20" i="6"/>
  <c r="B21" i="6"/>
  <c r="M20" i="6" a="1"/>
  <c r="M20" i="6" s="1"/>
  <c r="L20" i="6"/>
  <c r="H20" i="6"/>
  <c r="I20" i="6" s="1"/>
  <c r="K20" i="6"/>
  <c r="F20" i="6"/>
  <c r="G20" i="6" s="1"/>
  <c r="Z5" i="7"/>
  <c r="D20" i="6"/>
  <c r="A17" i="6"/>
  <c r="C21" i="6" l="1"/>
  <c r="AA5" i="7"/>
  <c r="B22" i="6"/>
  <c r="M21" i="6" a="1"/>
  <c r="M21" i="6" s="1"/>
  <c r="H21" i="6"/>
  <c r="I21" i="6" s="1"/>
  <c r="L21" i="6"/>
  <c r="K21" i="6"/>
  <c r="F21" i="6"/>
  <c r="G21" i="6" s="1"/>
  <c r="D21" i="6"/>
  <c r="A18" i="6"/>
  <c r="C22" i="6" l="1"/>
  <c r="B23" i="6"/>
  <c r="M22" i="6" a="1"/>
  <c r="M22" i="6" s="1"/>
  <c r="L22" i="6"/>
  <c r="F22" i="6"/>
  <c r="G22" i="6" s="1"/>
  <c r="K22" i="6"/>
  <c r="AB5" i="7"/>
  <c r="D22" i="6"/>
  <c r="A19" i="6"/>
  <c r="H22" i="6" l="1"/>
  <c r="I22" i="6" s="1"/>
  <c r="C23" i="6"/>
  <c r="AC5" i="7"/>
  <c r="I5" i="7" s="1"/>
  <c r="V6" i="7"/>
  <c r="B24" i="6"/>
  <c r="M23" i="6" a="1"/>
  <c r="M23" i="6" s="1"/>
  <c r="L23" i="6"/>
  <c r="K23" i="6"/>
  <c r="F23" i="6"/>
  <c r="G23" i="6" s="1"/>
  <c r="D23" i="6"/>
  <c r="A20" i="6"/>
  <c r="H23" i="6" l="1"/>
  <c r="I23" i="6" s="1"/>
  <c r="Q5" i="7"/>
  <c r="L5" i="7"/>
  <c r="J5" i="7" s="1"/>
  <c r="R5" i="7"/>
  <c r="N5" i="7"/>
  <c r="P5" i="7"/>
  <c r="O5" i="7"/>
  <c r="M5" i="7"/>
  <c r="S5" i="7"/>
  <c r="C24" i="6"/>
  <c r="B25" i="6"/>
  <c r="M24" i="6" a="1"/>
  <c r="M24" i="6" s="1"/>
  <c r="H24" i="6"/>
  <c r="I24" i="6" s="1"/>
  <c r="K24" i="6"/>
  <c r="L24" i="6"/>
  <c r="F24" i="6"/>
  <c r="G24" i="6" s="1"/>
  <c r="W6" i="7"/>
  <c r="D24" i="6"/>
  <c r="A21" i="6"/>
  <c r="C25" i="6" l="1"/>
  <c r="X6" i="7"/>
  <c r="B26" i="6"/>
  <c r="M25" i="6" a="1"/>
  <c r="M25" i="6" s="1"/>
  <c r="H25" i="6"/>
  <c r="I25" i="6" s="1"/>
  <c r="K25" i="6"/>
  <c r="L25" i="6"/>
  <c r="F25" i="6"/>
  <c r="G25" i="6" s="1"/>
  <c r="D25" i="6"/>
  <c r="A22" i="6"/>
  <c r="C26" i="6" l="1"/>
  <c r="B27" i="6"/>
  <c r="M26" i="6" a="1"/>
  <c r="M26" i="6" s="1"/>
  <c r="H26" i="6"/>
  <c r="I26" i="6" s="1"/>
  <c r="L26" i="6"/>
  <c r="F26" i="6"/>
  <c r="G26" i="6" s="1"/>
  <c r="K26" i="6"/>
  <c r="Y6" i="7"/>
  <c r="D26" i="6"/>
  <c r="A23" i="6"/>
  <c r="C27" i="6" l="1"/>
  <c r="Z6" i="7"/>
  <c r="B28" i="6"/>
  <c r="M27" i="6" a="1"/>
  <c r="M27" i="6" s="1"/>
  <c r="H27" i="6"/>
  <c r="I27" i="6" s="1"/>
  <c r="L27" i="6"/>
  <c r="K27" i="6"/>
  <c r="F27" i="6"/>
  <c r="G27" i="6" s="1"/>
  <c r="D27" i="6"/>
  <c r="A24" i="6"/>
  <c r="C28" i="6" l="1"/>
  <c r="B29" i="6"/>
  <c r="M28" i="6" a="1"/>
  <c r="M28" i="6" s="1"/>
  <c r="H28" i="6"/>
  <c r="I28" i="6" s="1"/>
  <c r="L28" i="6"/>
  <c r="K28" i="6"/>
  <c r="F28" i="6"/>
  <c r="G28" i="6" s="1"/>
  <c r="AA6" i="7"/>
  <c r="D28" i="6"/>
  <c r="A25" i="6"/>
  <c r="C29" i="6" l="1"/>
  <c r="AB6" i="7"/>
  <c r="B30" i="6"/>
  <c r="M29" i="6" a="1"/>
  <c r="M29" i="6" s="1"/>
  <c r="H29" i="6"/>
  <c r="I29" i="6" s="1"/>
  <c r="L29" i="6"/>
  <c r="K29" i="6"/>
  <c r="F29" i="6"/>
  <c r="G29" i="6" s="1"/>
  <c r="D29" i="6"/>
  <c r="A26" i="6"/>
  <c r="C30" i="6" l="1"/>
  <c r="B31" i="6"/>
  <c r="M30" i="6" a="1"/>
  <c r="M30" i="6" s="1"/>
  <c r="L30" i="6"/>
  <c r="K30" i="6"/>
  <c r="F30" i="6"/>
  <c r="G30" i="6" s="1"/>
  <c r="AC6" i="7"/>
  <c r="I6" i="7" s="1"/>
  <c r="V7" i="7"/>
  <c r="D30" i="6"/>
  <c r="A27" i="6"/>
  <c r="H30" i="6" l="1"/>
  <c r="I30" i="6" s="1"/>
  <c r="N6" i="7"/>
  <c r="R6" i="7"/>
  <c r="P6" i="7"/>
  <c r="M6" i="7"/>
  <c r="L6" i="7"/>
  <c r="J6" i="7" s="1"/>
  <c r="S6" i="7"/>
  <c r="O6" i="7"/>
  <c r="Q6" i="7"/>
  <c r="C31" i="6"/>
  <c r="W7" i="7"/>
  <c r="B32" i="6"/>
  <c r="M31" i="6" a="1"/>
  <c r="M31" i="6" s="1"/>
  <c r="L31" i="6"/>
  <c r="K31" i="6"/>
  <c r="F31" i="6"/>
  <c r="G31" i="6" s="1"/>
  <c r="D31" i="6"/>
  <c r="A28" i="6"/>
  <c r="H31" i="6" l="1"/>
  <c r="I31" i="6" s="1"/>
  <c r="C32" i="6"/>
  <c r="B33" i="6"/>
  <c r="M32" i="6" a="1"/>
  <c r="M32" i="6" s="1"/>
  <c r="H32" i="6"/>
  <c r="I32" i="6" s="1"/>
  <c r="L32" i="6"/>
  <c r="K32" i="6"/>
  <c r="F32" i="6"/>
  <c r="G32" i="6" s="1"/>
  <c r="X7" i="7"/>
  <c r="D32" i="6"/>
  <c r="A29" i="6"/>
  <c r="C33" i="6" l="1"/>
  <c r="Y7" i="7"/>
  <c r="B34" i="6"/>
  <c r="M33" i="6" a="1"/>
  <c r="M33" i="6" s="1"/>
  <c r="L33" i="6"/>
  <c r="K33" i="6"/>
  <c r="F33" i="6"/>
  <c r="G33" i="6" s="1"/>
  <c r="D33" i="6"/>
  <c r="A30" i="6"/>
  <c r="H33" i="6" l="1"/>
  <c r="C34" i="6"/>
  <c r="I33" i="6"/>
  <c r="B35" i="6"/>
  <c r="M34" i="6" a="1"/>
  <c r="M34" i="6" s="1"/>
  <c r="L34" i="6"/>
  <c r="K34" i="6"/>
  <c r="F34" i="6"/>
  <c r="G34" i="6" s="1"/>
  <c r="Z7" i="7"/>
  <c r="D34" i="6"/>
  <c r="A31" i="6"/>
  <c r="H34" i="6" l="1"/>
  <c r="I34" i="6" s="1"/>
  <c r="C35" i="6"/>
  <c r="AA7" i="7"/>
  <c r="B36" i="6"/>
  <c r="M35" i="6" a="1"/>
  <c r="M35" i="6" s="1"/>
  <c r="L35" i="6"/>
  <c r="K35" i="6"/>
  <c r="F35" i="6"/>
  <c r="G35" i="6" s="1"/>
  <c r="D35" i="6"/>
  <c r="A32" i="6"/>
  <c r="H35" i="6" l="1"/>
  <c r="I35" i="6" s="1"/>
  <c r="C36" i="6"/>
  <c r="B37" i="6"/>
  <c r="M36" i="6" a="1"/>
  <c r="M36" i="6" s="1"/>
  <c r="L36" i="6"/>
  <c r="H36" i="6"/>
  <c r="I36" i="6" s="1"/>
  <c r="K36" i="6"/>
  <c r="F36" i="6"/>
  <c r="G36" i="6" s="1"/>
  <c r="AB7" i="7"/>
  <c r="D36" i="6"/>
  <c r="A33" i="6"/>
  <c r="C37" i="6" l="1"/>
  <c r="AC7" i="7"/>
  <c r="I7" i="7" s="1"/>
  <c r="V8" i="7"/>
  <c r="B38" i="6"/>
  <c r="M37" i="6" a="1"/>
  <c r="M37" i="6" s="1"/>
  <c r="L37" i="6"/>
  <c r="K37" i="6"/>
  <c r="F37" i="6"/>
  <c r="G37" i="6" s="1"/>
  <c r="D37" i="6"/>
  <c r="A34" i="6"/>
  <c r="H37" i="6" l="1"/>
  <c r="I37" i="6" s="1"/>
  <c r="O7" i="7"/>
  <c r="S7" i="7"/>
  <c r="P7" i="7"/>
  <c r="R7" i="7"/>
  <c r="N7" i="7"/>
  <c r="Q7" i="7"/>
  <c r="M7" i="7"/>
  <c r="L7" i="7"/>
  <c r="C38" i="6"/>
  <c r="B39" i="6"/>
  <c r="M38" i="6" a="1"/>
  <c r="M38" i="6" s="1"/>
  <c r="L38" i="6"/>
  <c r="H38" i="6"/>
  <c r="I38" i="6" s="1"/>
  <c r="K38" i="6"/>
  <c r="F38" i="6"/>
  <c r="G38" i="6" s="1"/>
  <c r="W8" i="7"/>
  <c r="D38" i="6"/>
  <c r="A35" i="6"/>
  <c r="J7" i="7" l="1"/>
  <c r="C39" i="6"/>
  <c r="X8" i="7"/>
  <c r="B40" i="6"/>
  <c r="M39" i="6" a="1"/>
  <c r="M39" i="6" s="1"/>
  <c r="L39" i="6"/>
  <c r="K39" i="6"/>
  <c r="H39" i="6"/>
  <c r="I39" i="6" s="1"/>
  <c r="F39" i="6"/>
  <c r="G39" i="6" s="1"/>
  <c r="D39" i="6"/>
  <c r="A36" i="6"/>
  <c r="C40" i="6" l="1"/>
  <c r="B41" i="6"/>
  <c r="M40" i="6" a="1"/>
  <c r="M40" i="6" s="1"/>
  <c r="H40" i="6"/>
  <c r="I40" i="6" s="1"/>
  <c r="K40" i="6"/>
  <c r="L40" i="6"/>
  <c r="F40" i="6"/>
  <c r="G40" i="6" s="1"/>
  <c r="Y8" i="7"/>
  <c r="D40" i="6"/>
  <c r="A37" i="6"/>
  <c r="C41" i="6" l="1"/>
  <c r="Z8" i="7"/>
  <c r="B42" i="6"/>
  <c r="M41" i="6" a="1"/>
  <c r="M41" i="6" s="1"/>
  <c r="K41" i="6"/>
  <c r="L41" i="6"/>
  <c r="F41" i="6"/>
  <c r="G41" i="6" s="1"/>
  <c r="D41" i="6"/>
  <c r="A38" i="6"/>
  <c r="H41" i="6" l="1"/>
  <c r="I41" i="6" s="1"/>
  <c r="C42" i="6"/>
  <c r="B43" i="6"/>
  <c r="M42" i="6" a="1"/>
  <c r="M42" i="6" s="1"/>
  <c r="H42" i="6"/>
  <c r="I42" i="6" s="1"/>
  <c r="L42" i="6"/>
  <c r="K42" i="6"/>
  <c r="F42" i="6"/>
  <c r="G42" i="6" s="1"/>
  <c r="AA8" i="7"/>
  <c r="D42" i="6"/>
  <c r="A39" i="6"/>
  <c r="C43" i="6" l="1"/>
  <c r="AB8" i="7"/>
  <c r="B44" i="6"/>
  <c r="M43" i="6" a="1"/>
  <c r="M43" i="6" s="1"/>
  <c r="H43" i="6"/>
  <c r="I43" i="6" s="1"/>
  <c r="L43" i="6"/>
  <c r="K43" i="6"/>
  <c r="F43" i="6"/>
  <c r="G43" i="6" s="1"/>
  <c r="D43" i="6"/>
  <c r="A40" i="6"/>
  <c r="C44" i="6" l="1"/>
  <c r="B45" i="6"/>
  <c r="M44" i="6" a="1"/>
  <c r="M44" i="6" s="1"/>
  <c r="L44" i="6"/>
  <c r="H44" i="6"/>
  <c r="I44" i="6" s="1"/>
  <c r="K44" i="6"/>
  <c r="F44" i="6"/>
  <c r="G44" i="6" s="1"/>
  <c r="AC8" i="7"/>
  <c r="I8" i="7" s="1"/>
  <c r="V9" i="7"/>
  <c r="D44" i="6"/>
  <c r="A41" i="6"/>
  <c r="Q8" i="7" l="1"/>
  <c r="M8" i="7"/>
  <c r="N8" i="7"/>
  <c r="L8" i="7"/>
  <c r="R8" i="7"/>
  <c r="O8" i="7"/>
  <c r="S8" i="7"/>
  <c r="P8" i="7"/>
  <c r="C45" i="6"/>
  <c r="W9" i="7"/>
  <c r="B46" i="6"/>
  <c r="M45" i="6" a="1"/>
  <c r="M45" i="6" s="1"/>
  <c r="L45" i="6"/>
  <c r="K45" i="6"/>
  <c r="F45" i="6"/>
  <c r="G45" i="6" s="1"/>
  <c r="D45" i="6"/>
  <c r="A42" i="6"/>
  <c r="J8" i="7" l="1"/>
  <c r="H45" i="6"/>
  <c r="I45" i="6" s="1"/>
  <c r="C46" i="6"/>
  <c r="B47" i="6"/>
  <c r="M46" i="6" a="1"/>
  <c r="M46" i="6" s="1"/>
  <c r="H46" i="6"/>
  <c r="I46" i="6" s="1"/>
  <c r="L46" i="6"/>
  <c r="F46" i="6"/>
  <c r="G46" i="6" s="1"/>
  <c r="K46" i="6"/>
  <c r="X9" i="7"/>
  <c r="D46" i="6"/>
  <c r="A43" i="6"/>
  <c r="C47" i="6" l="1"/>
  <c r="Y9" i="7"/>
  <c r="B48" i="6"/>
  <c r="M47" i="6" a="1"/>
  <c r="M47" i="6" s="1"/>
  <c r="H47" i="6"/>
  <c r="I47" i="6" s="1"/>
  <c r="L47" i="6"/>
  <c r="K47" i="6"/>
  <c r="F47" i="6"/>
  <c r="G47" i="6" s="1"/>
  <c r="D47" i="6"/>
  <c r="A44" i="6"/>
  <c r="C48" i="6" l="1"/>
  <c r="B49" i="6"/>
  <c r="M48" i="6" a="1"/>
  <c r="M48" i="6" s="1"/>
  <c r="H48" i="6"/>
  <c r="I48" i="6" s="1"/>
  <c r="K48" i="6"/>
  <c r="L48" i="6"/>
  <c r="F48" i="6"/>
  <c r="G48" i="6" s="1"/>
  <c r="Z9" i="7"/>
  <c r="D48" i="6"/>
  <c r="A45" i="6"/>
  <c r="C49" i="6" l="1"/>
  <c r="AA9" i="7"/>
  <c r="B50" i="6"/>
  <c r="M49" i="6" a="1"/>
  <c r="M49" i="6" s="1"/>
  <c r="L49" i="6"/>
  <c r="K49" i="6"/>
  <c r="F49" i="6"/>
  <c r="G49" i="6" s="1"/>
  <c r="D49" i="6"/>
  <c r="A46" i="6"/>
  <c r="H49" i="6" l="1"/>
  <c r="I49" i="6" s="1"/>
  <c r="C50" i="6"/>
  <c r="B51" i="6"/>
  <c r="M50" i="6" a="1"/>
  <c r="M50" i="6" s="1"/>
  <c r="H50" i="6"/>
  <c r="I50" i="6" s="1"/>
  <c r="L50" i="6"/>
  <c r="K50" i="6"/>
  <c r="F50" i="6"/>
  <c r="G50" i="6" s="1"/>
  <c r="AB9" i="7"/>
  <c r="D50" i="6"/>
  <c r="A47" i="6"/>
  <c r="C51" i="6" l="1"/>
  <c r="AC9" i="7"/>
  <c r="I9" i="7" s="1"/>
  <c r="V10" i="7"/>
  <c r="B52" i="6"/>
  <c r="M51" i="6" a="1"/>
  <c r="M51" i="6" s="1"/>
  <c r="H51" i="6"/>
  <c r="I51" i="6" s="1"/>
  <c r="L51" i="6"/>
  <c r="K51" i="6"/>
  <c r="F51" i="6"/>
  <c r="G51" i="6" s="1"/>
  <c r="D51" i="6"/>
  <c r="A48" i="6"/>
  <c r="P9" i="7" l="1"/>
  <c r="Q9" i="7"/>
  <c r="M9" i="7"/>
  <c r="L9" i="7"/>
  <c r="J9" i="7" s="1"/>
  <c r="N9" i="7"/>
  <c r="S9" i="7"/>
  <c r="O9" i="7"/>
  <c r="R9" i="7"/>
  <c r="C52" i="6"/>
  <c r="B53" i="6"/>
  <c r="M52" i="6" a="1"/>
  <c r="M52" i="6" s="1"/>
  <c r="L52" i="6"/>
  <c r="K52" i="6"/>
  <c r="F52" i="6"/>
  <c r="G52" i="6" s="1"/>
  <c r="W10" i="7"/>
  <c r="D52" i="6"/>
  <c r="A49" i="6"/>
  <c r="H52" i="6" l="1"/>
  <c r="I52" i="6" s="1"/>
  <c r="C53" i="6"/>
  <c r="X10" i="7"/>
  <c r="B54" i="6"/>
  <c r="M53" i="6" a="1"/>
  <c r="M53" i="6" s="1"/>
  <c r="H53" i="6"/>
  <c r="I53" i="6" s="1"/>
  <c r="L53" i="6"/>
  <c r="K53" i="6"/>
  <c r="F53" i="6"/>
  <c r="G53" i="6" s="1"/>
  <c r="D53" i="6"/>
  <c r="A50" i="6"/>
  <c r="C54" i="6" l="1"/>
  <c r="B55" i="6"/>
  <c r="M54" i="6" a="1"/>
  <c r="M54" i="6" s="1"/>
  <c r="L54" i="6"/>
  <c r="K54" i="6"/>
  <c r="F54" i="6"/>
  <c r="G54" i="6" s="1"/>
  <c r="Y10" i="7"/>
  <c r="D54" i="6"/>
  <c r="A51" i="6"/>
  <c r="H54" i="6" l="1"/>
  <c r="I54" i="6" s="1"/>
  <c r="C55" i="6"/>
  <c r="Z10" i="7"/>
  <c r="B56" i="6"/>
  <c r="M55" i="6" a="1"/>
  <c r="M55" i="6" s="1"/>
  <c r="L55" i="6"/>
  <c r="K55" i="6"/>
  <c r="F55" i="6"/>
  <c r="G55" i="6" s="1"/>
  <c r="D55" i="6"/>
  <c r="A52" i="6"/>
  <c r="H55" i="6" l="1"/>
  <c r="I55" i="6" s="1"/>
  <c r="C56" i="6"/>
  <c r="B57" i="6"/>
  <c r="M56" i="6" a="1"/>
  <c r="M56" i="6" s="1"/>
  <c r="L56" i="6"/>
  <c r="K56" i="6"/>
  <c r="F56" i="6"/>
  <c r="G56" i="6" s="1"/>
  <c r="AA10" i="7"/>
  <c r="D56" i="6"/>
  <c r="A53" i="6"/>
  <c r="H56" i="6" l="1"/>
  <c r="I56" i="6" s="1"/>
  <c r="C57" i="6"/>
  <c r="AB10" i="7"/>
  <c r="B58" i="6"/>
  <c r="M57" i="6" a="1"/>
  <c r="M57" i="6" s="1"/>
  <c r="H57" i="6"/>
  <c r="I57" i="6" s="1"/>
  <c r="L57" i="6"/>
  <c r="K57" i="6"/>
  <c r="F57" i="6"/>
  <c r="G57" i="6" s="1"/>
  <c r="D57" i="6"/>
  <c r="A54" i="6"/>
  <c r="C58" i="6" l="1"/>
  <c r="B59" i="6"/>
  <c r="M58" i="6" a="1"/>
  <c r="M58" i="6" s="1"/>
  <c r="H58" i="6"/>
  <c r="I58" i="6" s="1"/>
  <c r="L58" i="6"/>
  <c r="K58" i="6"/>
  <c r="F58" i="6"/>
  <c r="G58" i="6" s="1"/>
  <c r="AC10" i="7"/>
  <c r="I10" i="7" s="1"/>
  <c r="V11" i="7"/>
  <c r="D58" i="6"/>
  <c r="A55" i="6"/>
  <c r="O10" i="7" l="1"/>
  <c r="M10" i="7"/>
  <c r="P10" i="7"/>
  <c r="L10" i="7"/>
  <c r="Q10" i="7"/>
  <c r="S10" i="7"/>
  <c r="R10" i="7"/>
  <c r="N10" i="7"/>
  <c r="C59" i="6"/>
  <c r="W11" i="7"/>
  <c r="B60" i="6"/>
  <c r="M59" i="6" a="1"/>
  <c r="M59" i="6" s="1"/>
  <c r="L59" i="6"/>
  <c r="K59" i="6"/>
  <c r="F59" i="6"/>
  <c r="G59" i="6" s="1"/>
  <c r="D59" i="6"/>
  <c r="A56" i="6"/>
  <c r="J10" i="7" l="1"/>
  <c r="H59" i="6"/>
  <c r="I59" i="6" s="1"/>
  <c r="C60" i="6"/>
  <c r="B61" i="6"/>
  <c r="M60" i="6" a="1"/>
  <c r="M60" i="6" s="1"/>
  <c r="L60" i="6"/>
  <c r="H60" i="6"/>
  <c r="I60" i="6" s="1"/>
  <c r="K60" i="6"/>
  <c r="F60" i="6"/>
  <c r="G60" i="6" s="1"/>
  <c r="X11" i="7"/>
  <c r="D60" i="6"/>
  <c r="A57" i="6"/>
  <c r="C61" i="6" l="1"/>
  <c r="Y11" i="7"/>
  <c r="B62" i="6"/>
  <c r="M61" i="6" a="1"/>
  <c r="M61" i="6" s="1"/>
  <c r="L61" i="6"/>
  <c r="K61" i="6"/>
  <c r="F61" i="6"/>
  <c r="G61" i="6" s="1"/>
  <c r="D61" i="6"/>
  <c r="A58" i="6"/>
  <c r="H61" i="6" l="1"/>
  <c r="C62" i="6"/>
  <c r="I61" i="6"/>
  <c r="B63" i="6"/>
  <c r="M62" i="6" a="1"/>
  <c r="M62" i="6" s="1"/>
  <c r="L62" i="6"/>
  <c r="H62" i="6"/>
  <c r="I62" i="6" s="1"/>
  <c r="K62" i="6"/>
  <c r="F62" i="6"/>
  <c r="G62" i="6" s="1"/>
  <c r="Z11" i="7"/>
  <c r="D62" i="6"/>
  <c r="A59" i="6"/>
  <c r="C63" i="6" l="1"/>
  <c r="AA11" i="7"/>
  <c r="B64" i="6"/>
  <c r="M63" i="6" a="1"/>
  <c r="M63" i="6" s="1"/>
  <c r="L63" i="6"/>
  <c r="H63" i="6"/>
  <c r="I63" i="6" s="1"/>
  <c r="K63" i="6"/>
  <c r="F63" i="6"/>
  <c r="G63" i="6" s="1"/>
  <c r="D63" i="6"/>
  <c r="A60" i="6"/>
  <c r="C64" i="6" l="1"/>
  <c r="B65" i="6"/>
  <c r="M64" i="6" a="1"/>
  <c r="M64" i="6" s="1"/>
  <c r="H64" i="6"/>
  <c r="I64" i="6" s="1"/>
  <c r="K64" i="6"/>
  <c r="L64" i="6"/>
  <c r="F64" i="6"/>
  <c r="G64" i="6" s="1"/>
  <c r="AB11" i="7"/>
  <c r="D64" i="6"/>
  <c r="A61" i="6"/>
  <c r="C65" i="6" l="1"/>
  <c r="AC11" i="7"/>
  <c r="I11" i="7" s="1"/>
  <c r="V12" i="7"/>
  <c r="B66" i="6"/>
  <c r="M65" i="6" a="1"/>
  <c r="M65" i="6" s="1"/>
  <c r="K65" i="6"/>
  <c r="L65" i="6"/>
  <c r="F65" i="6"/>
  <c r="G65" i="6" s="1"/>
  <c r="D65" i="6"/>
  <c r="A62" i="6"/>
  <c r="H65" i="6" l="1"/>
  <c r="I65" i="6" s="1"/>
  <c r="O11" i="7"/>
  <c r="Q11" i="7"/>
  <c r="L11" i="7"/>
  <c r="R11" i="7"/>
  <c r="M11" i="7"/>
  <c r="N11" i="7"/>
  <c r="P11" i="7"/>
  <c r="S11" i="7"/>
  <c r="C66" i="6"/>
  <c r="B67" i="6"/>
  <c r="M66" i="6" a="1"/>
  <c r="M66" i="6" s="1"/>
  <c r="L66" i="6"/>
  <c r="K66" i="6"/>
  <c r="F66" i="6"/>
  <c r="G66" i="6" s="1"/>
  <c r="W12" i="7"/>
  <c r="D66" i="6"/>
  <c r="A63" i="6"/>
  <c r="J11" i="7" l="1"/>
  <c r="H66" i="6"/>
  <c r="I66" i="6" s="1"/>
  <c r="C67" i="6"/>
  <c r="X12" i="7"/>
  <c r="B68" i="6"/>
  <c r="M67" i="6" a="1"/>
  <c r="M67" i="6" s="1"/>
  <c r="H67" i="6"/>
  <c r="I67" i="6" s="1"/>
  <c r="K67" i="6"/>
  <c r="L67" i="6"/>
  <c r="F67" i="6"/>
  <c r="G67" i="6" s="1"/>
  <c r="D67" i="6"/>
  <c r="A64" i="6"/>
  <c r="C68" i="6" l="1"/>
  <c r="B69" i="6"/>
  <c r="M68" i="6" a="1"/>
  <c r="M68" i="6" s="1"/>
  <c r="H68" i="6"/>
  <c r="I68" i="6" s="1"/>
  <c r="L68" i="6"/>
  <c r="F68" i="6"/>
  <c r="G68" i="6" s="1"/>
  <c r="K68" i="6"/>
  <c r="Y12" i="7"/>
  <c r="D68" i="6"/>
  <c r="A65" i="6"/>
  <c r="C69" i="6" l="1"/>
  <c r="Z12" i="7"/>
  <c r="B70" i="6"/>
  <c r="M69" i="6" a="1"/>
  <c r="M69" i="6" s="1"/>
  <c r="L69" i="6"/>
  <c r="K69" i="6"/>
  <c r="F69" i="6"/>
  <c r="G69" i="6" s="1"/>
  <c r="D69" i="6"/>
  <c r="A66" i="6"/>
  <c r="H69" i="6" l="1"/>
  <c r="I69" i="6" s="1"/>
  <c r="C70" i="6"/>
  <c r="B71" i="6"/>
  <c r="M70" i="6" a="1"/>
  <c r="M70" i="6" s="1"/>
  <c r="H70" i="6"/>
  <c r="I70" i="6" s="1"/>
  <c r="L70" i="6"/>
  <c r="F70" i="6"/>
  <c r="G70" i="6" s="1"/>
  <c r="K70" i="6"/>
  <c r="AA12" i="7"/>
  <c r="D70" i="6"/>
  <c r="A67" i="6"/>
  <c r="C71" i="6" l="1"/>
  <c r="AB12" i="7"/>
  <c r="B72" i="6"/>
  <c r="M71" i="6" a="1"/>
  <c r="M71" i="6" s="1"/>
  <c r="H71" i="6"/>
  <c r="I71" i="6" s="1"/>
  <c r="L71" i="6"/>
  <c r="K71" i="6"/>
  <c r="F71" i="6"/>
  <c r="G71" i="6" s="1"/>
  <c r="D71" i="6"/>
  <c r="A68" i="6"/>
  <c r="C72" i="6" l="1"/>
  <c r="B73" i="6"/>
  <c r="M72" i="6" a="1"/>
  <c r="M72" i="6" s="1"/>
  <c r="H72" i="6"/>
  <c r="I72" i="6" s="1"/>
  <c r="L72" i="6"/>
  <c r="K72" i="6"/>
  <c r="F72" i="6"/>
  <c r="G72" i="6" s="1"/>
  <c r="AC12" i="7"/>
  <c r="I12" i="7" s="1"/>
  <c r="V13" i="7"/>
  <c r="D72" i="6"/>
  <c r="A69" i="6"/>
  <c r="L12" i="7" l="1"/>
  <c r="P12" i="7"/>
  <c r="R12" i="7"/>
  <c r="S12" i="7"/>
  <c r="N12" i="7"/>
  <c r="Q12" i="7"/>
  <c r="O12" i="7"/>
  <c r="M12" i="7"/>
  <c r="C73" i="6"/>
  <c r="W13" i="7"/>
  <c r="B74" i="6"/>
  <c r="M73" i="6" a="1"/>
  <c r="M73" i="6" s="1"/>
  <c r="H73" i="6"/>
  <c r="I73" i="6" s="1"/>
  <c r="L73" i="6"/>
  <c r="K73" i="6"/>
  <c r="F73" i="6"/>
  <c r="G73" i="6" s="1"/>
  <c r="D73" i="6"/>
  <c r="A70" i="6"/>
  <c r="J12" i="7" l="1"/>
  <c r="C74" i="6"/>
  <c r="B75" i="6"/>
  <c r="M74" i="6" a="1"/>
  <c r="M74" i="6" s="1"/>
  <c r="H74" i="6"/>
  <c r="I74" i="6" s="1"/>
  <c r="L74" i="6"/>
  <c r="K74" i="6"/>
  <c r="F74" i="6"/>
  <c r="G74" i="6" s="1"/>
  <c r="X13" i="7"/>
  <c r="D74" i="6"/>
  <c r="A71" i="6"/>
  <c r="C75" i="6" l="1"/>
  <c r="Y13" i="7"/>
  <c r="B76" i="6"/>
  <c r="M75" i="6" a="1"/>
  <c r="M75" i="6" s="1"/>
  <c r="H75" i="6"/>
  <c r="I75" i="6" s="1"/>
  <c r="L75" i="6"/>
  <c r="K75" i="6"/>
  <c r="F75" i="6"/>
  <c r="G75" i="6" s="1"/>
  <c r="D75" i="6"/>
  <c r="A72" i="6"/>
  <c r="C76" i="6" l="1"/>
  <c r="B77" i="6"/>
  <c r="M76" i="6" a="1"/>
  <c r="M76" i="6" s="1"/>
  <c r="L76" i="6"/>
  <c r="K76" i="6"/>
  <c r="F76" i="6"/>
  <c r="G76" i="6" s="1"/>
  <c r="Z13" i="7"/>
  <c r="D76" i="6"/>
  <c r="A73" i="6"/>
  <c r="H76" i="6" l="1"/>
  <c r="I76" i="6" s="1"/>
  <c r="C77" i="6"/>
  <c r="AA13" i="7"/>
  <c r="B78" i="6"/>
  <c r="M77" i="6" a="1"/>
  <c r="M77" i="6" s="1"/>
  <c r="H77" i="6"/>
  <c r="I77" i="6" s="1"/>
  <c r="L77" i="6"/>
  <c r="K77" i="6"/>
  <c r="F77" i="6"/>
  <c r="G77" i="6" s="1"/>
  <c r="D77" i="6"/>
  <c r="A74" i="6"/>
  <c r="C78" i="6" l="1"/>
  <c r="B79" i="6"/>
  <c r="M78" i="6" a="1"/>
  <c r="M78" i="6" s="1"/>
  <c r="L78" i="6"/>
  <c r="K78" i="6"/>
  <c r="F78" i="6"/>
  <c r="G78" i="6" s="1"/>
  <c r="AB13" i="7"/>
  <c r="D78" i="6"/>
  <c r="A75" i="6"/>
  <c r="H78" i="6" l="1"/>
  <c r="I78" i="6" s="1"/>
  <c r="C79" i="6"/>
  <c r="AC13" i="7"/>
  <c r="I13" i="7" s="1"/>
  <c r="V14" i="7"/>
  <c r="B80" i="6"/>
  <c r="M79" i="6" a="1"/>
  <c r="M79" i="6" s="1"/>
  <c r="L79" i="6"/>
  <c r="H79" i="6"/>
  <c r="I79" i="6" s="1"/>
  <c r="K79" i="6"/>
  <c r="F79" i="6"/>
  <c r="G79" i="6" s="1"/>
  <c r="D79" i="6"/>
  <c r="A76" i="6"/>
  <c r="M13" i="7" l="1"/>
  <c r="N13" i="7"/>
  <c r="L13" i="7"/>
  <c r="O13" i="7"/>
  <c r="P13" i="7"/>
  <c r="S13" i="7"/>
  <c r="R13" i="7"/>
  <c r="Q13" i="7"/>
  <c r="C80" i="6"/>
  <c r="B81" i="6"/>
  <c r="M80" i="6" a="1"/>
  <c r="M80" i="6" s="1"/>
  <c r="H80" i="6"/>
  <c r="I80" i="6" s="1"/>
  <c r="L80" i="6"/>
  <c r="K80" i="6"/>
  <c r="F80" i="6"/>
  <c r="G80" i="6" s="1"/>
  <c r="W14" i="7"/>
  <c r="D80" i="6"/>
  <c r="A77" i="6"/>
  <c r="J13" i="7" l="1"/>
  <c r="C81" i="6"/>
  <c r="X14" i="7"/>
  <c r="B82" i="6"/>
  <c r="M81" i="6" a="1"/>
  <c r="M81" i="6" s="1"/>
  <c r="H81" i="6"/>
  <c r="I81" i="6" s="1"/>
  <c r="L81" i="6"/>
  <c r="K81" i="6"/>
  <c r="F81" i="6"/>
  <c r="G81" i="6" s="1"/>
  <c r="D81" i="6"/>
  <c r="A78" i="6"/>
  <c r="C82" i="6" l="1"/>
  <c r="B83" i="6"/>
  <c r="M82" i="6" a="1"/>
  <c r="M82" i="6" s="1"/>
  <c r="H82" i="6"/>
  <c r="I82" i="6" s="1"/>
  <c r="L82" i="6"/>
  <c r="K82" i="6"/>
  <c r="F82" i="6"/>
  <c r="G82" i="6" s="1"/>
  <c r="Y14" i="7"/>
  <c r="D82" i="6"/>
  <c r="A79" i="6"/>
  <c r="C83" i="6" l="1"/>
  <c r="Z14" i="7"/>
  <c r="B84" i="6"/>
  <c r="M83" i="6" a="1"/>
  <c r="M83" i="6" s="1"/>
  <c r="H83" i="6"/>
  <c r="I83" i="6" s="1"/>
  <c r="L83" i="6"/>
  <c r="K83" i="6"/>
  <c r="F83" i="6"/>
  <c r="G83" i="6" s="1"/>
  <c r="D83" i="6"/>
  <c r="A80" i="6"/>
  <c r="C84" i="6" l="1"/>
  <c r="B85" i="6"/>
  <c r="M84" i="6" a="1"/>
  <c r="M84" i="6" s="1"/>
  <c r="L84" i="6"/>
  <c r="H84" i="6"/>
  <c r="I84" i="6" s="1"/>
  <c r="K84" i="6"/>
  <c r="F84" i="6"/>
  <c r="G84" i="6" s="1"/>
  <c r="AA14" i="7"/>
  <c r="D84" i="6"/>
  <c r="A81" i="6"/>
  <c r="C85" i="6" l="1"/>
  <c r="AB14" i="7"/>
  <c r="B86" i="6"/>
  <c r="M85" i="6" a="1"/>
  <c r="M85" i="6" s="1"/>
  <c r="H85" i="6"/>
  <c r="I85" i="6" s="1"/>
  <c r="L85" i="6"/>
  <c r="K85" i="6"/>
  <c r="F85" i="6"/>
  <c r="G85" i="6" s="1"/>
  <c r="D85" i="6"/>
  <c r="A82" i="6"/>
  <c r="C86" i="6" l="1"/>
  <c r="B87" i="6"/>
  <c r="M86" i="6" a="1"/>
  <c r="M86" i="6" s="1"/>
  <c r="L86" i="6"/>
  <c r="H86" i="6"/>
  <c r="I86" i="6" s="1"/>
  <c r="F86" i="6"/>
  <c r="G86" i="6" s="1"/>
  <c r="K86" i="6"/>
  <c r="AC14" i="7"/>
  <c r="I14" i="7" s="1"/>
  <c r="V15" i="7"/>
  <c r="D86" i="6"/>
  <c r="A83" i="6"/>
  <c r="N14" i="7" l="1"/>
  <c r="O14" i="7"/>
  <c r="P14" i="7"/>
  <c r="M14" i="7"/>
  <c r="Q14" i="7"/>
  <c r="L14" i="7"/>
  <c r="J14" i="7" s="1"/>
  <c r="R14" i="7"/>
  <c r="S14" i="7"/>
  <c r="C87" i="6"/>
  <c r="W15" i="7"/>
  <c r="B88" i="6"/>
  <c r="M87" i="6" a="1"/>
  <c r="M87" i="6" s="1"/>
  <c r="H87" i="6"/>
  <c r="I87" i="6" s="1"/>
  <c r="L87" i="6"/>
  <c r="K87" i="6"/>
  <c r="F87" i="6"/>
  <c r="G87" i="6" s="1"/>
  <c r="D87" i="6"/>
  <c r="A84" i="6"/>
  <c r="C88" i="6" l="1"/>
  <c r="B89" i="6"/>
  <c r="M88" i="6" a="1"/>
  <c r="M88" i="6" s="1"/>
  <c r="H88" i="6"/>
  <c r="I88" i="6" s="1"/>
  <c r="K88" i="6"/>
  <c r="L88" i="6"/>
  <c r="F88" i="6"/>
  <c r="G88" i="6" s="1"/>
  <c r="X15" i="7"/>
  <c r="D88" i="6"/>
  <c r="A85" i="6"/>
  <c r="C89" i="6" l="1"/>
  <c r="Y15" i="7"/>
  <c r="B90" i="6"/>
  <c r="M89" i="6" a="1"/>
  <c r="M89" i="6" s="1"/>
  <c r="K89" i="6"/>
  <c r="L89" i="6"/>
  <c r="F89" i="6"/>
  <c r="G89" i="6" s="1"/>
  <c r="D89" i="6"/>
  <c r="A86" i="6"/>
  <c r="H89" i="6" l="1"/>
  <c r="I89" i="6" s="1"/>
  <c r="C90" i="6"/>
  <c r="B91" i="6"/>
  <c r="M90" i="6" a="1"/>
  <c r="M90" i="6" s="1"/>
  <c r="H90" i="6"/>
  <c r="I90" i="6" s="1"/>
  <c r="L90" i="6"/>
  <c r="F90" i="6"/>
  <c r="G90" i="6" s="1"/>
  <c r="K90" i="6"/>
  <c r="Z15" i="7"/>
  <c r="D90" i="6"/>
  <c r="A87" i="6"/>
  <c r="C91" i="6" l="1"/>
  <c r="AA15" i="7"/>
  <c r="B92" i="6"/>
  <c r="M91" i="6" a="1"/>
  <c r="M91" i="6" s="1"/>
  <c r="H91" i="6"/>
  <c r="I91" i="6" s="1"/>
  <c r="L91" i="6"/>
  <c r="K91" i="6"/>
  <c r="F91" i="6"/>
  <c r="G91" i="6" s="1"/>
  <c r="D91" i="6"/>
  <c r="A88" i="6"/>
  <c r="C92" i="6" l="1"/>
  <c r="B93" i="6"/>
  <c r="M92" i="6" a="1"/>
  <c r="M92" i="6" s="1"/>
  <c r="L92" i="6"/>
  <c r="K92" i="6"/>
  <c r="F92" i="6"/>
  <c r="G92" i="6" s="1"/>
  <c r="AB15" i="7"/>
  <c r="D92" i="6"/>
  <c r="A89" i="6"/>
  <c r="H92" i="6" l="1"/>
  <c r="C93" i="6"/>
  <c r="I92" i="6"/>
  <c r="AC15" i="7"/>
  <c r="I15" i="7" s="1"/>
  <c r="V16" i="7"/>
  <c r="B94" i="6"/>
  <c r="M93" i="6" a="1"/>
  <c r="M93" i="6" s="1"/>
  <c r="L93" i="6"/>
  <c r="K93" i="6"/>
  <c r="F93" i="6"/>
  <c r="G93" i="6" s="1"/>
  <c r="D93" i="6"/>
  <c r="A90" i="6"/>
  <c r="H93" i="6" l="1"/>
  <c r="I93" i="6" s="1"/>
  <c r="S15" i="7"/>
  <c r="R15" i="7"/>
  <c r="M15" i="7"/>
  <c r="N15" i="7"/>
  <c r="P15" i="7"/>
  <c r="O15" i="7"/>
  <c r="Q15" i="7"/>
  <c r="L15" i="7"/>
  <c r="C94" i="6"/>
  <c r="B95" i="6"/>
  <c r="M94" i="6" a="1"/>
  <c r="M94" i="6" s="1"/>
  <c r="H94" i="6"/>
  <c r="I94" i="6" s="1"/>
  <c r="L94" i="6"/>
  <c r="K94" i="6"/>
  <c r="F94" i="6"/>
  <c r="G94" i="6" s="1"/>
  <c r="W16" i="7"/>
  <c r="D94" i="6"/>
  <c r="A91" i="6"/>
  <c r="J15" i="7" l="1"/>
  <c r="C95" i="6"/>
  <c r="X16" i="7"/>
  <c r="B96" i="6"/>
  <c r="M95" i="6" a="1"/>
  <c r="M95" i="6" s="1"/>
  <c r="H95" i="6"/>
  <c r="I95" i="6" s="1"/>
  <c r="L95" i="6"/>
  <c r="K95" i="6"/>
  <c r="F95" i="6"/>
  <c r="G95" i="6" s="1"/>
  <c r="D95" i="6"/>
  <c r="A92" i="6"/>
  <c r="C96" i="6" l="1"/>
  <c r="B97" i="6"/>
  <c r="M96" i="6" a="1"/>
  <c r="M96" i="6" s="1"/>
  <c r="L96" i="6"/>
  <c r="K96" i="6"/>
  <c r="F96" i="6"/>
  <c r="G96" i="6" s="1"/>
  <c r="Y16" i="7"/>
  <c r="D96" i="6"/>
  <c r="A93" i="6"/>
  <c r="H96" i="6" l="1"/>
  <c r="I96" i="6" s="1"/>
  <c r="C97" i="6"/>
  <c r="Z16" i="7"/>
  <c r="B98" i="6"/>
  <c r="M97" i="6" a="1"/>
  <c r="M97" i="6" s="1"/>
  <c r="H97" i="6"/>
  <c r="I97" i="6" s="1"/>
  <c r="L97" i="6"/>
  <c r="K97" i="6"/>
  <c r="F97" i="6"/>
  <c r="G97" i="6" s="1"/>
  <c r="D97" i="6"/>
  <c r="A94" i="6"/>
  <c r="C98" i="6" l="1"/>
  <c r="B99" i="6"/>
  <c r="M98" i="6" a="1"/>
  <c r="M98" i="6" s="1"/>
  <c r="L98" i="6"/>
  <c r="K98" i="6"/>
  <c r="F98" i="6"/>
  <c r="G98" i="6" s="1"/>
  <c r="AA16" i="7"/>
  <c r="D98" i="6"/>
  <c r="A95" i="6"/>
  <c r="H98" i="6" l="1"/>
  <c r="I98" i="6" s="1"/>
  <c r="C99" i="6"/>
  <c r="AB16" i="7"/>
  <c r="B100" i="6"/>
  <c r="M99" i="6" a="1"/>
  <c r="M99" i="6" s="1"/>
  <c r="H99" i="6"/>
  <c r="I99" i="6" s="1"/>
  <c r="L99" i="6"/>
  <c r="K99" i="6"/>
  <c r="F99" i="6"/>
  <c r="G99" i="6" s="1"/>
  <c r="D99" i="6"/>
  <c r="A96" i="6"/>
  <c r="C100" i="6" l="1"/>
  <c r="B101" i="6"/>
  <c r="M100" i="6" a="1"/>
  <c r="M100" i="6" s="1"/>
  <c r="L100" i="6"/>
  <c r="K100" i="6"/>
  <c r="F100" i="6"/>
  <c r="G100" i="6" s="1"/>
  <c r="AC16" i="7"/>
  <c r="I16" i="7" s="1"/>
  <c r="V17" i="7"/>
  <c r="D100" i="6"/>
  <c r="A97" i="6"/>
  <c r="H100" i="6" l="1"/>
  <c r="I100" i="6" s="1"/>
  <c r="P16" i="7"/>
  <c r="M16" i="7"/>
  <c r="Q16" i="7"/>
  <c r="S16" i="7"/>
  <c r="O16" i="7"/>
  <c r="R16" i="7"/>
  <c r="N16" i="7"/>
  <c r="L16" i="7"/>
  <c r="C101" i="6"/>
  <c r="W17" i="7"/>
  <c r="B102" i="6"/>
  <c r="M101" i="6" a="1"/>
  <c r="M101" i="6" s="1"/>
  <c r="H101" i="6"/>
  <c r="I101" i="6" s="1"/>
  <c r="L101" i="6"/>
  <c r="K101" i="6"/>
  <c r="F101" i="6"/>
  <c r="G101" i="6" s="1"/>
  <c r="D101" i="6"/>
  <c r="A98" i="6"/>
  <c r="J16" i="7" l="1"/>
  <c r="C102" i="6"/>
  <c r="B103" i="6"/>
  <c r="M102" i="6" a="1"/>
  <c r="M102" i="6" s="1"/>
  <c r="L102" i="6"/>
  <c r="H102" i="6"/>
  <c r="I102" i="6" s="1"/>
  <c r="K102" i="6"/>
  <c r="F102" i="6"/>
  <c r="G102" i="6" s="1"/>
  <c r="X17" i="7"/>
  <c r="D102" i="6"/>
  <c r="A99" i="6"/>
  <c r="C103" i="6" l="1"/>
  <c r="Y17" i="7"/>
  <c r="B104" i="6"/>
  <c r="M103" i="6" a="1"/>
  <c r="M103" i="6" s="1"/>
  <c r="L103" i="6"/>
  <c r="H103" i="6"/>
  <c r="I103" i="6" s="1"/>
  <c r="K103" i="6"/>
  <c r="F103" i="6"/>
  <c r="G103" i="6" s="1"/>
  <c r="D103" i="6"/>
  <c r="A100" i="6"/>
  <c r="C104" i="6" l="1"/>
  <c r="B105" i="6"/>
  <c r="M104" i="6" a="1"/>
  <c r="M104" i="6" s="1"/>
  <c r="H104" i="6"/>
  <c r="I104" i="6" s="1"/>
  <c r="K104" i="6"/>
  <c r="L104" i="6"/>
  <c r="F104" i="6"/>
  <c r="G104" i="6" s="1"/>
  <c r="Z17" i="7"/>
  <c r="D104" i="6"/>
  <c r="A101" i="6"/>
  <c r="C105" i="6" l="1"/>
  <c r="AA17" i="7"/>
  <c r="B106" i="6"/>
  <c r="M105" i="6" a="1"/>
  <c r="M105" i="6" s="1"/>
  <c r="H105" i="6"/>
  <c r="I105" i="6" s="1"/>
  <c r="K105" i="6"/>
  <c r="L105" i="6"/>
  <c r="F105" i="6"/>
  <c r="G105" i="6" s="1"/>
  <c r="D105" i="6"/>
  <c r="A102" i="6"/>
  <c r="C106" i="6" l="1"/>
  <c r="B107" i="6"/>
  <c r="M106" i="6" a="1"/>
  <c r="M106" i="6" s="1"/>
  <c r="L106" i="6"/>
  <c r="K106" i="6"/>
  <c r="F106" i="6"/>
  <c r="G106" i="6" s="1"/>
  <c r="AB17" i="7"/>
  <c r="D106" i="6"/>
  <c r="A103" i="6"/>
  <c r="H106" i="6" l="1"/>
  <c r="I106" i="6" s="1"/>
  <c r="C107" i="6"/>
  <c r="AC17" i="7"/>
  <c r="I17" i="7" s="1"/>
  <c r="V18" i="7"/>
  <c r="B108" i="6"/>
  <c r="M107" i="6" a="1"/>
  <c r="M107" i="6" s="1"/>
  <c r="L107" i="6"/>
  <c r="K107" i="6"/>
  <c r="F107" i="6"/>
  <c r="G107" i="6" s="1"/>
  <c r="D107" i="6"/>
  <c r="A104" i="6"/>
  <c r="H107" i="6" l="1"/>
  <c r="I107" i="6" s="1"/>
  <c r="O17" i="7"/>
  <c r="N17" i="7"/>
  <c r="P17" i="7"/>
  <c r="L17" i="7"/>
  <c r="M17" i="7"/>
  <c r="R17" i="7"/>
  <c r="S17" i="7"/>
  <c r="Q17" i="7"/>
  <c r="C108" i="6"/>
  <c r="B109" i="6"/>
  <c r="M108" i="6" a="1"/>
  <c r="M108" i="6" s="1"/>
  <c r="L108" i="6"/>
  <c r="H108" i="6"/>
  <c r="I108" i="6" s="1"/>
  <c r="K108" i="6"/>
  <c r="F108" i="6"/>
  <c r="G108" i="6" s="1"/>
  <c r="W18" i="7"/>
  <c r="D108" i="6"/>
  <c r="A105" i="6"/>
  <c r="J17" i="7" l="1"/>
  <c r="C109" i="6"/>
  <c r="X18" i="7"/>
  <c r="B110" i="6"/>
  <c r="M109" i="6" a="1"/>
  <c r="M109" i="6" s="1"/>
  <c r="L109" i="6"/>
  <c r="H109" i="6"/>
  <c r="I109" i="6" s="1"/>
  <c r="K109" i="6"/>
  <c r="F109" i="6"/>
  <c r="G109" i="6" s="1"/>
  <c r="D109" i="6"/>
  <c r="A106" i="6"/>
  <c r="C110" i="6" l="1"/>
  <c r="B111" i="6"/>
  <c r="M110" i="6" a="1"/>
  <c r="M110" i="6" s="1"/>
  <c r="L110" i="6"/>
  <c r="F110" i="6"/>
  <c r="G110" i="6" s="1"/>
  <c r="K110" i="6"/>
  <c r="Y18" i="7"/>
  <c r="D110" i="6"/>
  <c r="A107" i="6"/>
  <c r="H110" i="6" l="1"/>
  <c r="I110" i="6" s="1"/>
  <c r="C111" i="6"/>
  <c r="Z18" i="7"/>
  <c r="B112" i="6"/>
  <c r="M111" i="6" a="1"/>
  <c r="M111" i="6" s="1"/>
  <c r="L111" i="6"/>
  <c r="K111" i="6"/>
  <c r="F111" i="6"/>
  <c r="G111" i="6" s="1"/>
  <c r="D111" i="6"/>
  <c r="A108" i="6"/>
  <c r="H111" i="6" l="1"/>
  <c r="I111" i="6" s="1"/>
  <c r="C112" i="6"/>
  <c r="B113" i="6"/>
  <c r="M112" i="6" a="1"/>
  <c r="M112" i="6" s="1"/>
  <c r="H112" i="6"/>
  <c r="I112" i="6" s="1"/>
  <c r="K112" i="6"/>
  <c r="L112" i="6"/>
  <c r="F112" i="6"/>
  <c r="G112" i="6" s="1"/>
  <c r="AA18" i="7"/>
  <c r="D112" i="6"/>
  <c r="A109" i="6"/>
  <c r="C113" i="6" l="1"/>
  <c r="AB18" i="7"/>
  <c r="B114" i="6"/>
  <c r="M113" i="6" a="1"/>
  <c r="M113" i="6" s="1"/>
  <c r="H113" i="6"/>
  <c r="I113" i="6" s="1"/>
  <c r="L113" i="6"/>
  <c r="K113" i="6"/>
  <c r="F113" i="6"/>
  <c r="G113" i="6" s="1"/>
  <c r="D113" i="6"/>
  <c r="A110" i="6"/>
  <c r="C114" i="6" l="1"/>
  <c r="B115" i="6"/>
  <c r="M114" i="6" a="1"/>
  <c r="M114" i="6" s="1"/>
  <c r="H114" i="6"/>
  <c r="I114" i="6" s="1"/>
  <c r="L114" i="6"/>
  <c r="K114" i="6"/>
  <c r="F114" i="6"/>
  <c r="G114" i="6" s="1"/>
  <c r="AC18" i="7"/>
  <c r="I18" i="7" s="1"/>
  <c r="V19" i="7"/>
  <c r="D114" i="6"/>
  <c r="A111" i="6"/>
  <c r="N18" i="7" l="1"/>
  <c r="R18" i="7"/>
  <c r="S18" i="7"/>
  <c r="P18" i="7"/>
  <c r="L18" i="7"/>
  <c r="Q18" i="7"/>
  <c r="O18" i="7"/>
  <c r="M18" i="7"/>
  <c r="C115" i="6"/>
  <c r="W19" i="7"/>
  <c r="B116" i="6"/>
  <c r="M115" i="6" a="1"/>
  <c r="M115" i="6" s="1"/>
  <c r="H115" i="6"/>
  <c r="I115" i="6" s="1"/>
  <c r="K115" i="6"/>
  <c r="L115" i="6"/>
  <c r="F115" i="6"/>
  <c r="G115" i="6" s="1"/>
  <c r="D115" i="6"/>
  <c r="A112" i="6"/>
  <c r="J18" i="7" l="1"/>
  <c r="C116" i="6"/>
  <c r="B117" i="6"/>
  <c r="M116" i="6" a="1"/>
  <c r="M116" i="6" s="1"/>
  <c r="L116" i="6"/>
  <c r="K116" i="6"/>
  <c r="F116" i="6"/>
  <c r="G116" i="6" s="1"/>
  <c r="X19" i="7"/>
  <c r="D116" i="6"/>
  <c r="A113" i="6"/>
  <c r="H116" i="6" l="1"/>
  <c r="I116" i="6" s="1"/>
  <c r="C117" i="6"/>
  <c r="Y19" i="7"/>
  <c r="B118" i="6"/>
  <c r="M117" i="6" a="1"/>
  <c r="M117" i="6" s="1"/>
  <c r="L117" i="6"/>
  <c r="H117" i="6"/>
  <c r="I117" i="6" s="1"/>
  <c r="K117" i="6"/>
  <c r="F117" i="6"/>
  <c r="G117" i="6" s="1"/>
  <c r="D117" i="6"/>
  <c r="A114" i="6"/>
  <c r="C118" i="6" l="1"/>
  <c r="B119" i="6"/>
  <c r="M118" i="6" a="1"/>
  <c r="M118" i="6" s="1"/>
  <c r="L118" i="6"/>
  <c r="H118" i="6"/>
  <c r="I118" i="6" s="1"/>
  <c r="K118" i="6"/>
  <c r="F118" i="6"/>
  <c r="G118" i="6" s="1"/>
  <c r="Z19" i="7"/>
  <c r="D118" i="6"/>
  <c r="A115" i="6"/>
  <c r="C119" i="6" l="1"/>
  <c r="AA19" i="7"/>
  <c r="B120" i="6"/>
  <c r="M119" i="6" a="1"/>
  <c r="M119" i="6" s="1"/>
  <c r="L119" i="6"/>
  <c r="H119" i="6"/>
  <c r="I119" i="6" s="1"/>
  <c r="K119" i="6"/>
  <c r="F119" i="6"/>
  <c r="G119" i="6" s="1"/>
  <c r="D119" i="6"/>
  <c r="A116" i="6"/>
  <c r="C120" i="6" l="1"/>
  <c r="B121" i="6"/>
  <c r="M120" i="6" a="1"/>
  <c r="M120" i="6" s="1"/>
  <c r="H120" i="6"/>
  <c r="I120" i="6" s="1"/>
  <c r="L120" i="6"/>
  <c r="K120" i="6"/>
  <c r="F120" i="6"/>
  <c r="G120" i="6" s="1"/>
  <c r="AB19" i="7"/>
  <c r="D120" i="6"/>
  <c r="A117" i="6"/>
  <c r="C121" i="6" l="1"/>
  <c r="AC19" i="7"/>
  <c r="I19" i="7" s="1"/>
  <c r="V20" i="7"/>
  <c r="B122" i="6"/>
  <c r="M121" i="6" a="1"/>
  <c r="M121" i="6" s="1"/>
  <c r="H121" i="6"/>
  <c r="I121" i="6" s="1"/>
  <c r="L121" i="6"/>
  <c r="K121" i="6"/>
  <c r="F121" i="6"/>
  <c r="G121" i="6" s="1"/>
  <c r="D121" i="6"/>
  <c r="A118" i="6"/>
  <c r="P19" i="7" l="1"/>
  <c r="L19" i="7"/>
  <c r="O19" i="7"/>
  <c r="M19" i="7"/>
  <c r="S19" i="7"/>
  <c r="N19" i="7"/>
  <c r="Q19" i="7"/>
  <c r="R19" i="7"/>
  <c r="C122" i="6"/>
  <c r="B123" i="6"/>
  <c r="M122" i="6" a="1"/>
  <c r="M122" i="6" s="1"/>
  <c r="L122" i="6"/>
  <c r="K122" i="6"/>
  <c r="F122" i="6"/>
  <c r="G122" i="6" s="1"/>
  <c r="W20" i="7"/>
  <c r="D122" i="6"/>
  <c r="A119" i="6"/>
  <c r="J19" i="7" l="1"/>
  <c r="H122" i="6"/>
  <c r="C123" i="6"/>
  <c r="I122" i="6"/>
  <c r="X20" i="7"/>
  <c r="B124" i="6"/>
  <c r="M123" i="6" a="1"/>
  <c r="M123" i="6" s="1"/>
  <c r="L123" i="6"/>
  <c r="K123" i="6"/>
  <c r="F123" i="6"/>
  <c r="G123" i="6" s="1"/>
  <c r="D123" i="6"/>
  <c r="A120" i="6"/>
  <c r="H123" i="6" l="1"/>
  <c r="I123" i="6" s="1"/>
  <c r="C124" i="6"/>
  <c r="B125" i="6"/>
  <c r="M124" i="6" a="1"/>
  <c r="M124" i="6" s="1"/>
  <c r="L124" i="6"/>
  <c r="H124" i="6"/>
  <c r="I124" i="6" s="1"/>
  <c r="K124" i="6"/>
  <c r="F124" i="6"/>
  <c r="G124" i="6" s="1"/>
  <c r="Y20" i="7"/>
  <c r="D124" i="6"/>
  <c r="A121" i="6"/>
  <c r="C125" i="6" l="1"/>
  <c r="Z20" i="7"/>
  <c r="B126" i="6"/>
  <c r="M125" i="6" a="1"/>
  <c r="M125" i="6" s="1"/>
  <c r="L125" i="6"/>
  <c r="H125" i="6"/>
  <c r="I125" i="6" s="1"/>
  <c r="K125" i="6"/>
  <c r="F125" i="6"/>
  <c r="G125" i="6" s="1"/>
  <c r="D125" i="6"/>
  <c r="A122" i="6"/>
  <c r="C126" i="6" l="1"/>
  <c r="B127" i="6"/>
  <c r="M126" i="6" a="1"/>
  <c r="M126" i="6" s="1"/>
  <c r="L126" i="6"/>
  <c r="K126" i="6"/>
  <c r="F126" i="6"/>
  <c r="G126" i="6" s="1"/>
  <c r="AA20" i="7"/>
  <c r="D126" i="6"/>
  <c r="A123" i="6"/>
  <c r="H126" i="6" l="1"/>
  <c r="I126" i="6" s="1"/>
  <c r="C127" i="6"/>
  <c r="AB20" i="7"/>
  <c r="B128" i="6"/>
  <c r="M127" i="6" a="1"/>
  <c r="M127" i="6" s="1"/>
  <c r="L127" i="6"/>
  <c r="K127" i="6"/>
  <c r="H127" i="6"/>
  <c r="I127" i="6" s="1"/>
  <c r="F127" i="6"/>
  <c r="G127" i="6" s="1"/>
  <c r="D127" i="6"/>
  <c r="A124" i="6"/>
  <c r="C128" i="6" l="1"/>
  <c r="B129" i="6"/>
  <c r="M128" i="6" a="1"/>
  <c r="M128" i="6" s="1"/>
  <c r="H128" i="6"/>
  <c r="I128" i="6" s="1"/>
  <c r="K128" i="6"/>
  <c r="L128" i="6"/>
  <c r="F128" i="6"/>
  <c r="G128" i="6" s="1"/>
  <c r="AC20" i="7"/>
  <c r="I20" i="7" s="1"/>
  <c r="V21" i="7"/>
  <c r="D128" i="6"/>
  <c r="A125" i="6"/>
  <c r="M20" i="7" l="1"/>
  <c r="L20" i="7"/>
  <c r="R20" i="7"/>
  <c r="N20" i="7"/>
  <c r="O20" i="7"/>
  <c r="Q20" i="7"/>
  <c r="S20" i="7"/>
  <c r="P20" i="7"/>
  <c r="C129" i="6"/>
  <c r="W21" i="7"/>
  <c r="B130" i="6"/>
  <c r="M129" i="6" a="1"/>
  <c r="M129" i="6" s="1"/>
  <c r="K129" i="6"/>
  <c r="H129" i="6"/>
  <c r="I129" i="6" s="1"/>
  <c r="L129" i="6"/>
  <c r="F129" i="6"/>
  <c r="G129" i="6" s="1"/>
  <c r="D129" i="6"/>
  <c r="A126" i="6"/>
  <c r="J20" i="7" l="1"/>
  <c r="C130" i="6"/>
  <c r="B131" i="6"/>
  <c r="M130" i="6" a="1"/>
  <c r="M130" i="6" s="1"/>
  <c r="H130" i="6"/>
  <c r="I130" i="6" s="1"/>
  <c r="L130" i="6"/>
  <c r="K130" i="6"/>
  <c r="F130" i="6"/>
  <c r="G130" i="6" s="1"/>
  <c r="X21" i="7"/>
  <c r="D130" i="6"/>
  <c r="A127" i="6"/>
  <c r="C131" i="6" l="1"/>
  <c r="Y21" i="7"/>
  <c r="B132" i="6"/>
  <c r="M131" i="6" a="1"/>
  <c r="M131" i="6" s="1"/>
  <c r="H131" i="6"/>
  <c r="I131" i="6" s="1"/>
  <c r="K131" i="6"/>
  <c r="L131" i="6"/>
  <c r="F131" i="6"/>
  <c r="G131" i="6" s="1"/>
  <c r="D131" i="6"/>
  <c r="A128" i="6"/>
  <c r="C132" i="6" l="1"/>
  <c r="B133" i="6"/>
  <c r="M132" i="6" a="1"/>
  <c r="M132" i="6" s="1"/>
  <c r="L132" i="6"/>
  <c r="H132" i="6"/>
  <c r="I132" i="6" s="1"/>
  <c r="K132" i="6"/>
  <c r="F132" i="6"/>
  <c r="G132" i="6" s="1"/>
  <c r="Z21" i="7"/>
  <c r="D132" i="6"/>
  <c r="A129" i="6"/>
  <c r="C133" i="6" l="1"/>
  <c r="AA21" i="7"/>
  <c r="B134" i="6"/>
  <c r="M133" i="6" a="1"/>
  <c r="M133" i="6" s="1"/>
  <c r="L133" i="6"/>
  <c r="H133" i="6"/>
  <c r="I133" i="6" s="1"/>
  <c r="K133" i="6"/>
  <c r="F133" i="6"/>
  <c r="G133" i="6" s="1"/>
  <c r="D133" i="6"/>
  <c r="A130" i="6"/>
  <c r="C134" i="6" l="1"/>
  <c r="B135" i="6"/>
  <c r="M134" i="6" a="1"/>
  <c r="M134" i="6" s="1"/>
  <c r="L134" i="6"/>
  <c r="F134" i="6"/>
  <c r="G134" i="6" s="1"/>
  <c r="K134" i="6"/>
  <c r="AB21" i="7"/>
  <c r="D134" i="6"/>
  <c r="A131" i="6"/>
  <c r="H134" i="6" l="1"/>
  <c r="I134" i="6" s="1"/>
  <c r="C135" i="6"/>
  <c r="AC21" i="7"/>
  <c r="I21" i="7" s="1"/>
  <c r="V22" i="7"/>
  <c r="B136" i="6"/>
  <c r="M135" i="6" a="1"/>
  <c r="M135" i="6" s="1"/>
  <c r="L135" i="6"/>
  <c r="K135" i="6"/>
  <c r="F135" i="6"/>
  <c r="G135" i="6" s="1"/>
  <c r="D135" i="6"/>
  <c r="A132" i="6"/>
  <c r="H135" i="6" l="1"/>
  <c r="I135" i="6" s="1"/>
  <c r="S21" i="7"/>
  <c r="O21" i="7"/>
  <c r="P21" i="7"/>
  <c r="Q21" i="7"/>
  <c r="L21" i="7"/>
  <c r="M21" i="7"/>
  <c r="R21" i="7"/>
  <c r="N21" i="7"/>
  <c r="C136" i="6"/>
  <c r="B137" i="6"/>
  <c r="D137" i="6" s="1"/>
  <c r="M136" i="6" a="1"/>
  <c r="M136" i="6" s="1"/>
  <c r="H136" i="6"/>
  <c r="I136" i="6" s="1"/>
  <c r="L136" i="6"/>
  <c r="K136" i="6"/>
  <c r="F136" i="6"/>
  <c r="G136" i="6" s="1"/>
  <c r="W22" i="7"/>
  <c r="D136" i="6"/>
  <c r="A133" i="6"/>
  <c r="J21" i="7" l="1"/>
  <c r="C137" i="6"/>
  <c r="X22" i="7"/>
  <c r="B138" i="6"/>
  <c r="M137" i="6" a="1"/>
  <c r="M137" i="6" s="1"/>
  <c r="H137" i="6"/>
  <c r="I137" i="6" s="1"/>
  <c r="K137" i="6"/>
  <c r="L137" i="6"/>
  <c r="F137" i="6"/>
  <c r="G137" i="6" s="1"/>
  <c r="A134" i="6"/>
  <c r="C138" i="6" l="1"/>
  <c r="B139" i="6"/>
  <c r="M138" i="6" a="1"/>
  <c r="M138" i="6" s="1"/>
  <c r="L138" i="6"/>
  <c r="K138" i="6"/>
  <c r="F138" i="6"/>
  <c r="G138" i="6" s="1"/>
  <c r="Y22" i="7"/>
  <c r="D138" i="6"/>
  <c r="A135" i="6"/>
  <c r="H138" i="6" l="1"/>
  <c r="I138" i="6" s="1"/>
  <c r="C139" i="6"/>
  <c r="Z22" i="7"/>
  <c r="B140" i="6"/>
  <c r="M139" i="6" a="1"/>
  <c r="M139" i="6" s="1"/>
  <c r="L139" i="6"/>
  <c r="K139" i="6"/>
  <c r="F139" i="6"/>
  <c r="G139" i="6" s="1"/>
  <c r="D139" i="6"/>
  <c r="A136" i="6"/>
  <c r="H139" i="6" l="1"/>
  <c r="I139" i="6" s="1"/>
  <c r="C140" i="6"/>
  <c r="B141" i="6"/>
  <c r="M140" i="6" a="1"/>
  <c r="M140" i="6" s="1"/>
  <c r="L140" i="6"/>
  <c r="H140" i="6"/>
  <c r="I140" i="6" s="1"/>
  <c r="K140" i="6"/>
  <c r="F140" i="6"/>
  <c r="G140" i="6" s="1"/>
  <c r="AA22" i="7"/>
  <c r="D140" i="6"/>
  <c r="A137" i="6"/>
  <c r="C141" i="6" l="1"/>
  <c r="AB22" i="7"/>
  <c r="B142" i="6"/>
  <c r="M141" i="6" a="1"/>
  <c r="M141" i="6" s="1"/>
  <c r="L141" i="6"/>
  <c r="H141" i="6"/>
  <c r="I141" i="6" s="1"/>
  <c r="K141" i="6"/>
  <c r="F141" i="6"/>
  <c r="G141" i="6" s="1"/>
  <c r="D141" i="6"/>
  <c r="A138" i="6"/>
  <c r="C142" i="6" l="1"/>
  <c r="B143" i="6"/>
  <c r="M142" i="6" a="1"/>
  <c r="M142" i="6" s="1"/>
  <c r="L142" i="6"/>
  <c r="H142" i="6"/>
  <c r="I142" i="6" s="1"/>
  <c r="K142" i="6"/>
  <c r="F142" i="6"/>
  <c r="G142" i="6" s="1"/>
  <c r="AC22" i="7"/>
  <c r="I22" i="7" s="1"/>
  <c r="V23" i="7"/>
  <c r="D142" i="6"/>
  <c r="A139" i="6"/>
  <c r="R22" i="7" l="1"/>
  <c r="S22" i="7"/>
  <c r="P22" i="7"/>
  <c r="M22" i="7"/>
  <c r="O22" i="7"/>
  <c r="N22" i="7"/>
  <c r="Q22" i="7"/>
  <c r="L22" i="7"/>
  <c r="C143" i="6"/>
  <c r="W23" i="7"/>
  <c r="B144" i="6"/>
  <c r="M143" i="6" a="1"/>
  <c r="M143" i="6" s="1"/>
  <c r="L143" i="6"/>
  <c r="H143" i="6"/>
  <c r="I143" i="6" s="1"/>
  <c r="K143" i="6"/>
  <c r="F143" i="6"/>
  <c r="G143" i="6" s="1"/>
  <c r="D143" i="6"/>
  <c r="A140" i="6"/>
  <c r="J22" i="7" l="1"/>
  <c r="C144" i="6"/>
  <c r="B145" i="6"/>
  <c r="M144" i="6" a="1"/>
  <c r="M144" i="6" s="1"/>
  <c r="L144" i="6"/>
  <c r="K144" i="6"/>
  <c r="F144" i="6"/>
  <c r="G144" i="6" s="1"/>
  <c r="X23" i="7"/>
  <c r="D144" i="6"/>
  <c r="A141" i="6"/>
  <c r="H144" i="6" l="1"/>
  <c r="I144" i="6" s="1"/>
  <c r="C145" i="6"/>
  <c r="Y23" i="7"/>
  <c r="B146" i="6"/>
  <c r="M145" i="6" a="1"/>
  <c r="M145" i="6" s="1"/>
  <c r="H145" i="6"/>
  <c r="I145" i="6" s="1"/>
  <c r="L145" i="6"/>
  <c r="K145" i="6"/>
  <c r="F145" i="6"/>
  <c r="G145" i="6" s="1"/>
  <c r="D145" i="6"/>
  <c r="A142" i="6"/>
  <c r="C146" i="6" l="1"/>
  <c r="B147" i="6"/>
  <c r="M146" i="6" a="1"/>
  <c r="M146" i="6" s="1"/>
  <c r="L146" i="6"/>
  <c r="K146" i="6"/>
  <c r="F146" i="6"/>
  <c r="G146" i="6" s="1"/>
  <c r="Z23" i="7"/>
  <c r="D146" i="6"/>
  <c r="A143" i="6"/>
  <c r="H146" i="6" l="1"/>
  <c r="I146" i="6" s="1"/>
  <c r="C147" i="6"/>
  <c r="AA23" i="7"/>
  <c r="B148" i="6"/>
  <c r="M147" i="6" a="1"/>
  <c r="M147" i="6" s="1"/>
  <c r="H147" i="6"/>
  <c r="I147" i="6" s="1"/>
  <c r="K147" i="6"/>
  <c r="L147" i="6"/>
  <c r="F147" i="6"/>
  <c r="G147" i="6" s="1"/>
  <c r="D147" i="6"/>
  <c r="A144" i="6"/>
  <c r="C148" i="6" l="1"/>
  <c r="B149" i="6"/>
  <c r="M148" i="6" a="1"/>
  <c r="M148" i="6" s="1"/>
  <c r="L148" i="6"/>
  <c r="K148" i="6"/>
  <c r="F148" i="6"/>
  <c r="G148" i="6" s="1"/>
  <c r="AB23" i="7"/>
  <c r="D148" i="6"/>
  <c r="A145" i="6"/>
  <c r="H148" i="6" l="1"/>
  <c r="I148" i="6" s="1"/>
  <c r="C149" i="6"/>
  <c r="AC23" i="7"/>
  <c r="I23" i="7" s="1"/>
  <c r="V24" i="7"/>
  <c r="B150" i="6"/>
  <c r="M149" i="6" a="1"/>
  <c r="M149" i="6" s="1"/>
  <c r="L149" i="6"/>
  <c r="H149" i="6"/>
  <c r="I149" i="6" s="1"/>
  <c r="K149" i="6"/>
  <c r="F149" i="6"/>
  <c r="G149" i="6" s="1"/>
  <c r="D149" i="6"/>
  <c r="A146" i="6"/>
  <c r="N23" i="7" l="1"/>
  <c r="R23" i="7"/>
  <c r="O23" i="7"/>
  <c r="P23" i="7"/>
  <c r="S23" i="7"/>
  <c r="L23" i="7"/>
  <c r="Q23" i="7"/>
  <c r="M23" i="7"/>
  <c r="C150" i="6"/>
  <c r="B151" i="6"/>
  <c r="M150" i="6" a="1"/>
  <c r="M150" i="6" s="1"/>
  <c r="L150" i="6"/>
  <c r="H150" i="6"/>
  <c r="I150" i="6" s="1"/>
  <c r="F150" i="6"/>
  <c r="G150" i="6" s="1"/>
  <c r="K150" i="6"/>
  <c r="W24" i="7"/>
  <c r="D150" i="6"/>
  <c r="A147" i="6"/>
  <c r="J23" i="7" l="1"/>
  <c r="C151" i="6"/>
  <c r="X24" i="7"/>
  <c r="B152" i="6"/>
  <c r="M151" i="6" a="1"/>
  <c r="M151" i="6" s="1"/>
  <c r="L151" i="6"/>
  <c r="K151" i="6"/>
  <c r="F151" i="6"/>
  <c r="G151" i="6" s="1"/>
  <c r="D151" i="6"/>
  <c r="A148" i="6"/>
  <c r="H151" i="6" l="1"/>
  <c r="I151" i="6" s="1"/>
  <c r="C152" i="6"/>
  <c r="B153" i="6"/>
  <c r="M152" i="6" a="1"/>
  <c r="M152" i="6" s="1"/>
  <c r="K152" i="6"/>
  <c r="L152" i="6"/>
  <c r="F152" i="6"/>
  <c r="G152" i="6" s="1"/>
  <c r="Y24" i="7"/>
  <c r="D152" i="6"/>
  <c r="A149" i="6"/>
  <c r="H152" i="6" l="1"/>
  <c r="I152" i="6" s="1"/>
  <c r="C153" i="6"/>
  <c r="Z24" i="7"/>
  <c r="B154" i="6"/>
  <c r="M153" i="6" a="1"/>
  <c r="M153" i="6" s="1"/>
  <c r="K153" i="6"/>
  <c r="L153" i="6"/>
  <c r="F153" i="6"/>
  <c r="G153" i="6" s="1"/>
  <c r="D153" i="6"/>
  <c r="A150" i="6"/>
  <c r="H153" i="6" l="1"/>
  <c r="I153" i="6" s="1"/>
  <c r="D154" i="6"/>
  <c r="C154" i="6"/>
  <c r="B155" i="6"/>
  <c r="M154" i="6" a="1"/>
  <c r="M154" i="6" s="1"/>
  <c r="H154" i="6"/>
  <c r="I154" i="6" s="1"/>
  <c r="L154" i="6"/>
  <c r="F154" i="6"/>
  <c r="G154" i="6" s="1"/>
  <c r="K154" i="6"/>
  <c r="AA24" i="7"/>
  <c r="D155" i="6"/>
  <c r="A151" i="6"/>
  <c r="C155" i="6" l="1"/>
  <c r="AB24" i="7"/>
  <c r="B156" i="6"/>
  <c r="M155" i="6" a="1"/>
  <c r="M155" i="6" s="1"/>
  <c r="L155" i="6"/>
  <c r="K155" i="6"/>
  <c r="F155" i="6"/>
  <c r="G155" i="6" s="1"/>
  <c r="A152" i="6"/>
  <c r="H155" i="6" l="1"/>
  <c r="I155" i="6" s="1"/>
  <c r="C156" i="6"/>
  <c r="B157" i="6"/>
  <c r="M156" i="6" a="1"/>
  <c r="M156" i="6" s="1"/>
  <c r="L156" i="6"/>
  <c r="K156" i="6"/>
  <c r="F156" i="6"/>
  <c r="G156" i="6" s="1"/>
  <c r="AC24" i="7"/>
  <c r="I24" i="7" s="1"/>
  <c r="V25" i="7"/>
  <c r="D156" i="6"/>
  <c r="A153" i="6"/>
  <c r="H156" i="6" l="1"/>
  <c r="I156" i="6" s="1"/>
  <c r="O24" i="7"/>
  <c r="Q24" i="7"/>
  <c r="P24" i="7"/>
  <c r="M24" i="7"/>
  <c r="S24" i="7"/>
  <c r="R24" i="7"/>
  <c r="L24" i="7"/>
  <c r="N24" i="7"/>
  <c r="C157" i="6"/>
  <c r="W25" i="7"/>
  <c r="B158" i="6"/>
  <c r="M157" i="6" a="1"/>
  <c r="M157" i="6" s="1"/>
  <c r="L157" i="6"/>
  <c r="H157" i="6"/>
  <c r="I157" i="6" s="1"/>
  <c r="K157" i="6"/>
  <c r="F157" i="6"/>
  <c r="G157" i="6" s="1"/>
  <c r="D157" i="6"/>
  <c r="A154" i="6"/>
  <c r="J24" i="7" l="1"/>
  <c r="C158" i="6"/>
  <c r="B159" i="6"/>
  <c r="M158" i="6" a="1"/>
  <c r="M158" i="6" s="1"/>
  <c r="L158" i="6"/>
  <c r="K158" i="6"/>
  <c r="H158" i="6"/>
  <c r="I158" i="6" s="1"/>
  <c r="F158" i="6"/>
  <c r="G158" i="6" s="1"/>
  <c r="X25" i="7"/>
  <c r="D158" i="6"/>
  <c r="A155" i="6"/>
  <c r="C159" i="6" l="1"/>
  <c r="Y25" i="7"/>
  <c r="B160" i="6"/>
  <c r="M159" i="6" a="1"/>
  <c r="M159" i="6" s="1"/>
  <c r="L159" i="6"/>
  <c r="H159" i="6"/>
  <c r="I159" i="6" s="1"/>
  <c r="K159" i="6"/>
  <c r="F159" i="6"/>
  <c r="G159" i="6" s="1"/>
  <c r="D159" i="6"/>
  <c r="A156" i="6"/>
  <c r="C160" i="6" l="1"/>
  <c r="B161" i="6"/>
  <c r="M160" i="6" a="1"/>
  <c r="M160" i="6" s="1"/>
  <c r="K160" i="6"/>
  <c r="L160" i="6"/>
  <c r="F160" i="6"/>
  <c r="G160" i="6" s="1"/>
  <c r="Z25" i="7"/>
  <c r="D160" i="6"/>
  <c r="A157" i="6"/>
  <c r="H160" i="6" l="1"/>
  <c r="I160" i="6" s="1"/>
  <c r="C161" i="6"/>
  <c r="AA25" i="7"/>
  <c r="B162" i="6"/>
  <c r="M161" i="6" a="1"/>
  <c r="M161" i="6" s="1"/>
  <c r="L161" i="6"/>
  <c r="K161" i="6"/>
  <c r="F161" i="6"/>
  <c r="G161" i="6" s="1"/>
  <c r="D161" i="6"/>
  <c r="A158" i="6"/>
  <c r="H161" i="6" l="1"/>
  <c r="I161" i="6" s="1"/>
  <c r="C162" i="6"/>
  <c r="B163" i="6"/>
  <c r="M162" i="6" a="1"/>
  <c r="M162" i="6" s="1"/>
  <c r="H162" i="6"/>
  <c r="I162" i="6" s="1"/>
  <c r="L162" i="6"/>
  <c r="K162" i="6"/>
  <c r="F162" i="6"/>
  <c r="G162" i="6" s="1"/>
  <c r="AB25" i="7"/>
  <c r="D162" i="6"/>
  <c r="A159" i="6"/>
  <c r="C163" i="6" l="1"/>
  <c r="AC25" i="7"/>
  <c r="I25" i="7" s="1"/>
  <c r="V26" i="7"/>
  <c r="B164" i="6"/>
  <c r="M163" i="6" a="1"/>
  <c r="M163" i="6" s="1"/>
  <c r="L163" i="6"/>
  <c r="K163" i="6"/>
  <c r="F163" i="6"/>
  <c r="G163" i="6" s="1"/>
  <c r="D163" i="6"/>
  <c r="A160" i="6"/>
  <c r="H163" i="6" l="1"/>
  <c r="I163" i="6" s="1"/>
  <c r="N25" i="7"/>
  <c r="O25" i="7"/>
  <c r="Q25" i="7"/>
  <c r="M25" i="7"/>
  <c r="P25" i="7"/>
  <c r="L25" i="7"/>
  <c r="J25" i="7" s="1"/>
  <c r="R25" i="7"/>
  <c r="S25" i="7"/>
  <c r="C164" i="6"/>
  <c r="B165" i="6"/>
  <c r="M164" i="6" a="1"/>
  <c r="M164" i="6" s="1"/>
  <c r="L164" i="6"/>
  <c r="K164" i="6"/>
  <c r="F164" i="6"/>
  <c r="G164" i="6" s="1"/>
  <c r="W26" i="7"/>
  <c r="D164" i="6"/>
  <c r="A161" i="6"/>
  <c r="H164" i="6" l="1"/>
  <c r="I164" i="6" s="1"/>
  <c r="C165" i="6"/>
  <c r="X26" i="7"/>
  <c r="B166" i="6"/>
  <c r="M165" i="6" a="1"/>
  <c r="M165" i="6" s="1"/>
  <c r="L165" i="6"/>
  <c r="K165" i="6"/>
  <c r="F165" i="6"/>
  <c r="G165" i="6" s="1"/>
  <c r="D165" i="6"/>
  <c r="A162" i="6"/>
  <c r="H165" i="6" l="1"/>
  <c r="I165" i="6" s="1"/>
  <c r="C166" i="6"/>
  <c r="B167" i="6"/>
  <c r="M166" i="6" a="1"/>
  <c r="M166" i="6" s="1"/>
  <c r="L166" i="6"/>
  <c r="H166" i="6"/>
  <c r="I166" i="6" s="1"/>
  <c r="K166" i="6"/>
  <c r="F166" i="6"/>
  <c r="G166" i="6" s="1"/>
  <c r="Y26" i="7"/>
  <c r="D166" i="6"/>
  <c r="A163" i="6"/>
  <c r="C167" i="6" l="1"/>
  <c r="Z26" i="7"/>
  <c r="B168" i="6"/>
  <c r="M167" i="6" a="1"/>
  <c r="M167" i="6" s="1"/>
  <c r="L167" i="6"/>
  <c r="K167" i="6"/>
  <c r="H167" i="6"/>
  <c r="I167" i="6" s="1"/>
  <c r="F167" i="6"/>
  <c r="G167" i="6" s="1"/>
  <c r="D167" i="6"/>
  <c r="A164" i="6"/>
  <c r="C168" i="6" l="1"/>
  <c r="B169" i="6"/>
  <c r="M168" i="6" a="1"/>
  <c r="M168" i="6" s="1"/>
  <c r="K168" i="6"/>
  <c r="L168" i="6"/>
  <c r="F168" i="6"/>
  <c r="G168" i="6" s="1"/>
  <c r="AA26" i="7"/>
  <c r="D168" i="6"/>
  <c r="A165" i="6"/>
  <c r="H168" i="6" l="1"/>
  <c r="I168" i="6" s="1"/>
  <c r="C169" i="6"/>
  <c r="AB26" i="7"/>
  <c r="B170" i="6"/>
  <c r="M169" i="6" a="1"/>
  <c r="M169" i="6" s="1"/>
  <c r="H169" i="6"/>
  <c r="I169" i="6" s="1"/>
  <c r="K169" i="6"/>
  <c r="L169" i="6"/>
  <c r="F169" i="6"/>
  <c r="G169" i="6" s="1"/>
  <c r="D169" i="6"/>
  <c r="A166" i="6"/>
  <c r="C170" i="6" l="1"/>
  <c r="B171" i="6"/>
  <c r="M170" i="6" a="1"/>
  <c r="M170" i="6" s="1"/>
  <c r="H170" i="6"/>
  <c r="I170" i="6" s="1"/>
  <c r="L170" i="6"/>
  <c r="K170" i="6"/>
  <c r="F170" i="6"/>
  <c r="G170" i="6" s="1"/>
  <c r="AC26" i="7"/>
  <c r="I26" i="7" s="1"/>
  <c r="V27" i="7"/>
  <c r="D170" i="6"/>
  <c r="A167" i="6"/>
  <c r="N26" i="7" l="1"/>
  <c r="R26" i="7"/>
  <c r="P26" i="7"/>
  <c r="L26" i="7"/>
  <c r="M26" i="7"/>
  <c r="O26" i="7"/>
  <c r="S26" i="7"/>
  <c r="Q26" i="7"/>
  <c r="C171" i="6"/>
  <c r="W27" i="7"/>
  <c r="B172" i="6"/>
  <c r="M171" i="6" a="1"/>
  <c r="M171" i="6" s="1"/>
  <c r="H171" i="6"/>
  <c r="I171" i="6" s="1"/>
  <c r="L171" i="6"/>
  <c r="K171" i="6"/>
  <c r="F171" i="6"/>
  <c r="G171" i="6" s="1"/>
  <c r="D171" i="6"/>
  <c r="A168" i="6"/>
  <c r="J26" i="7" l="1"/>
  <c r="C172" i="6"/>
  <c r="B173" i="6"/>
  <c r="M172" i="6" a="1"/>
  <c r="M172" i="6" s="1"/>
  <c r="L172" i="6"/>
  <c r="K172" i="6"/>
  <c r="F172" i="6"/>
  <c r="G172" i="6" s="1"/>
  <c r="X27" i="7"/>
  <c r="D172" i="6"/>
  <c r="A169" i="6"/>
  <c r="H172" i="6" l="1"/>
  <c r="I172" i="6" s="1"/>
  <c r="C173" i="6"/>
  <c r="Y27" i="7"/>
  <c r="B174" i="6"/>
  <c r="M173" i="6" a="1"/>
  <c r="M173" i="6" s="1"/>
  <c r="L173" i="6"/>
  <c r="H173" i="6"/>
  <c r="I173" i="6" s="1"/>
  <c r="K173" i="6"/>
  <c r="F173" i="6"/>
  <c r="G173" i="6" s="1"/>
  <c r="D173" i="6"/>
  <c r="D174" i="6"/>
  <c r="A170" i="6"/>
  <c r="C174" i="6" l="1"/>
  <c r="B175" i="6"/>
  <c r="M174" i="6" a="1"/>
  <c r="M174" i="6" s="1"/>
  <c r="L174" i="6"/>
  <c r="H174" i="6"/>
  <c r="I174" i="6" s="1"/>
  <c r="F174" i="6"/>
  <c r="G174" i="6" s="1"/>
  <c r="K174" i="6"/>
  <c r="Z27" i="7"/>
  <c r="A171" i="6"/>
  <c r="C175" i="6" l="1"/>
  <c r="AA27" i="7"/>
  <c r="B176" i="6"/>
  <c r="D176" i="6" s="1"/>
  <c r="M175" i="6" a="1"/>
  <c r="M175" i="6" s="1"/>
  <c r="L175" i="6"/>
  <c r="K175" i="6"/>
  <c r="H175" i="6"/>
  <c r="I175" i="6" s="1"/>
  <c r="F175" i="6"/>
  <c r="G175" i="6" s="1"/>
  <c r="D175" i="6"/>
  <c r="A172" i="6"/>
  <c r="C176" i="6" l="1"/>
  <c r="B177" i="6"/>
  <c r="M176" i="6" a="1"/>
  <c r="M176" i="6" s="1"/>
  <c r="H176" i="6"/>
  <c r="I176" i="6" s="1"/>
  <c r="L176" i="6"/>
  <c r="K176" i="6"/>
  <c r="F176" i="6"/>
  <c r="G176" i="6" s="1"/>
  <c r="AB27" i="7"/>
  <c r="A173" i="6"/>
  <c r="C177" i="6" l="1"/>
  <c r="AC27" i="7"/>
  <c r="I27" i="7" s="1"/>
  <c r="V28" i="7"/>
  <c r="B178" i="6"/>
  <c r="M177" i="6" a="1"/>
  <c r="M177" i="6" s="1"/>
  <c r="K177" i="6"/>
  <c r="H177" i="6"/>
  <c r="I177" i="6" s="1"/>
  <c r="L177" i="6"/>
  <c r="F177" i="6"/>
  <c r="G177" i="6" s="1"/>
  <c r="D177" i="6"/>
  <c r="A174" i="6"/>
  <c r="O27" i="7" l="1"/>
  <c r="S27" i="7"/>
  <c r="M27" i="7"/>
  <c r="L27" i="7"/>
  <c r="J27" i="7" s="1"/>
  <c r="R27" i="7"/>
  <c r="N27" i="7"/>
  <c r="P27" i="7"/>
  <c r="Q27" i="7"/>
  <c r="C178" i="6"/>
  <c r="B179" i="6"/>
  <c r="M178" i="6" a="1"/>
  <c r="M178" i="6" s="1"/>
  <c r="H178" i="6"/>
  <c r="I178" i="6" s="1"/>
  <c r="L178" i="6"/>
  <c r="K178" i="6"/>
  <c r="F178" i="6"/>
  <c r="G178" i="6" s="1"/>
  <c r="W28" i="7"/>
  <c r="D178" i="6"/>
  <c r="D179" i="6"/>
  <c r="A175" i="6"/>
  <c r="C179" i="6" l="1"/>
  <c r="X28" i="7"/>
  <c r="B180" i="6"/>
  <c r="M179" i="6" a="1"/>
  <c r="M179" i="6" s="1"/>
  <c r="L179" i="6"/>
  <c r="K179" i="6"/>
  <c r="F179" i="6"/>
  <c r="G179" i="6" s="1"/>
  <c r="A176" i="6"/>
  <c r="H179" i="6" l="1"/>
  <c r="I179" i="6" s="1"/>
  <c r="C180" i="6"/>
  <c r="B181" i="6"/>
  <c r="M180" i="6" a="1"/>
  <c r="M180" i="6" s="1"/>
  <c r="H180" i="6"/>
  <c r="I180" i="6" s="1"/>
  <c r="L180" i="6"/>
  <c r="K180" i="6"/>
  <c r="F180" i="6"/>
  <c r="G180" i="6" s="1"/>
  <c r="Y28" i="7"/>
  <c r="D180" i="6"/>
  <c r="A177" i="6"/>
  <c r="C181" i="6" l="1"/>
  <c r="Z28" i="7"/>
  <c r="B182" i="6"/>
  <c r="M181" i="6" a="1"/>
  <c r="M181" i="6" s="1"/>
  <c r="L181" i="6"/>
  <c r="H181" i="6"/>
  <c r="I181" i="6" s="1"/>
  <c r="K181" i="6"/>
  <c r="F181" i="6"/>
  <c r="G181" i="6" s="1"/>
  <c r="D181" i="6"/>
  <c r="A178" i="6"/>
  <c r="C182" i="6" l="1"/>
  <c r="B183" i="6"/>
  <c r="D183" i="6" s="1"/>
  <c r="M182" i="6" a="1"/>
  <c r="M182" i="6" s="1"/>
  <c r="L182" i="6"/>
  <c r="K182" i="6"/>
  <c r="F182" i="6"/>
  <c r="G182" i="6" s="1"/>
  <c r="AA28" i="7"/>
  <c r="D182" i="6"/>
  <c r="A179" i="6"/>
  <c r="H182" i="6" l="1"/>
  <c r="I182" i="6" s="1"/>
  <c r="C183" i="6"/>
  <c r="AB28" i="7"/>
  <c r="B184" i="6"/>
  <c r="M183" i="6" a="1"/>
  <c r="M183" i="6" s="1"/>
  <c r="L183" i="6"/>
  <c r="H183" i="6"/>
  <c r="K183" i="6"/>
  <c r="F183" i="6"/>
  <c r="G183" i="6" s="1"/>
  <c r="A180" i="6"/>
  <c r="C184" i="6" l="1"/>
  <c r="I183" i="6"/>
  <c r="B185" i="6"/>
  <c r="M184" i="6" a="1"/>
  <c r="M184" i="6" s="1"/>
  <c r="H184" i="6"/>
  <c r="I184" i="6" s="1"/>
  <c r="K184" i="6"/>
  <c r="L184" i="6"/>
  <c r="F184" i="6"/>
  <c r="G184" i="6" s="1"/>
  <c r="AC28" i="7"/>
  <c r="I28" i="7" s="1"/>
  <c r="V29" i="7"/>
  <c r="D184" i="6"/>
  <c r="A181" i="6"/>
  <c r="S28" i="7" l="1"/>
  <c r="N28" i="7"/>
  <c r="L28" i="7"/>
  <c r="J28" i="7" s="1"/>
  <c r="O28" i="7"/>
  <c r="P28" i="7"/>
  <c r="R28" i="7"/>
  <c r="M28" i="7"/>
  <c r="Q28" i="7"/>
  <c r="C185" i="6"/>
  <c r="W29" i="7"/>
  <c r="B186" i="6"/>
  <c r="M185" i="6" a="1"/>
  <c r="M185" i="6" s="1"/>
  <c r="K185" i="6"/>
  <c r="F185" i="6"/>
  <c r="G185" i="6" s="1"/>
  <c r="L185" i="6"/>
  <c r="D185" i="6"/>
  <c r="A182" i="6"/>
  <c r="H185" i="6" l="1"/>
  <c r="I185" i="6" s="1"/>
  <c r="C186" i="6"/>
  <c r="B187" i="6"/>
  <c r="M186" i="6" a="1"/>
  <c r="M186" i="6" s="1"/>
  <c r="H186" i="6"/>
  <c r="I186" i="6" s="1"/>
  <c r="L186" i="6"/>
  <c r="K186" i="6"/>
  <c r="F186" i="6"/>
  <c r="G186" i="6" s="1"/>
  <c r="X29" i="7"/>
  <c r="D186" i="6"/>
  <c r="A183" i="6"/>
  <c r="C187" i="6" l="1"/>
  <c r="Y29" i="7"/>
  <c r="B188" i="6"/>
  <c r="M187" i="6" a="1"/>
  <c r="M187" i="6" s="1"/>
  <c r="L187" i="6"/>
  <c r="K187" i="6"/>
  <c r="F187" i="6"/>
  <c r="G187" i="6" s="1"/>
  <c r="D187" i="6"/>
  <c r="A184" i="6"/>
  <c r="H187" i="6" l="1"/>
  <c r="I187" i="6" s="1"/>
  <c r="C188" i="6"/>
  <c r="B189" i="6"/>
  <c r="M188" i="6" a="1"/>
  <c r="M188" i="6" s="1"/>
  <c r="K188" i="6"/>
  <c r="L188" i="6"/>
  <c r="F188" i="6"/>
  <c r="G188" i="6" s="1"/>
  <c r="Z29" i="7"/>
  <c r="D188" i="6"/>
  <c r="A185" i="6"/>
  <c r="H188" i="6" l="1"/>
  <c r="I188" i="6" s="1"/>
  <c r="C189" i="6"/>
  <c r="AA29" i="7"/>
  <c r="B190" i="6"/>
  <c r="M189" i="6" a="1"/>
  <c r="M189" i="6" s="1"/>
  <c r="L189" i="6"/>
  <c r="H189" i="6"/>
  <c r="I189" i="6" s="1"/>
  <c r="K189" i="6"/>
  <c r="F189" i="6"/>
  <c r="G189" i="6" s="1"/>
  <c r="D189" i="6"/>
  <c r="A186" i="6"/>
  <c r="C190" i="6" l="1"/>
  <c r="D190" i="6"/>
  <c r="B191" i="6"/>
  <c r="M190" i="6" a="1"/>
  <c r="M190" i="6" s="1"/>
  <c r="L190" i="6"/>
  <c r="K190" i="6"/>
  <c r="F190" i="6"/>
  <c r="G190" i="6" s="1"/>
  <c r="AB29" i="7"/>
  <c r="A187" i="6"/>
  <c r="H190" i="6" l="1"/>
  <c r="I190" i="6" s="1"/>
  <c r="C191" i="6"/>
  <c r="AC29" i="7"/>
  <c r="I29" i="7" s="1"/>
  <c r="V30" i="7"/>
  <c r="B192" i="6"/>
  <c r="M191" i="6" a="1"/>
  <c r="M191" i="6" s="1"/>
  <c r="L191" i="6"/>
  <c r="K191" i="6"/>
  <c r="H191" i="6"/>
  <c r="I191" i="6" s="1"/>
  <c r="F191" i="6"/>
  <c r="G191" i="6" s="1"/>
  <c r="D191" i="6"/>
  <c r="A188" i="6"/>
  <c r="P29" i="7" l="1"/>
  <c r="M29" i="7"/>
  <c r="O29" i="7"/>
  <c r="N29" i="7"/>
  <c r="R29" i="7"/>
  <c r="Q29" i="7"/>
  <c r="S29" i="7"/>
  <c r="L29" i="7"/>
  <c r="J29" i="7" s="1"/>
  <c r="C192" i="6"/>
  <c r="B193" i="6"/>
  <c r="M192" i="6" a="1"/>
  <c r="M192" i="6" s="1"/>
  <c r="L192" i="6"/>
  <c r="K192" i="6"/>
  <c r="F192" i="6"/>
  <c r="G192" i="6" s="1"/>
  <c r="W30" i="7"/>
  <c r="D192" i="6"/>
  <c r="A189" i="6"/>
  <c r="H192" i="6" l="1"/>
  <c r="I192" i="6" s="1"/>
  <c r="C193" i="6"/>
  <c r="X30" i="7"/>
  <c r="B194" i="6"/>
  <c r="M193" i="6" a="1"/>
  <c r="M193" i="6" s="1"/>
  <c r="K193" i="6"/>
  <c r="L193" i="6"/>
  <c r="F193" i="6"/>
  <c r="G193" i="6" s="1"/>
  <c r="D193" i="6"/>
  <c r="A190" i="6"/>
  <c r="H193" i="6" l="1"/>
  <c r="I193" i="6" s="1"/>
  <c r="C194" i="6"/>
  <c r="B195" i="6"/>
  <c r="M194" i="6" a="1"/>
  <c r="M194" i="6" s="1"/>
  <c r="H194" i="6"/>
  <c r="I194" i="6" s="1"/>
  <c r="L194" i="6"/>
  <c r="K194" i="6"/>
  <c r="F194" i="6"/>
  <c r="G194" i="6" s="1"/>
  <c r="Y30" i="7"/>
  <c r="D194" i="6"/>
  <c r="A191" i="6"/>
  <c r="C195" i="6" l="1"/>
  <c r="Z30" i="7"/>
  <c r="B196" i="6"/>
  <c r="M195" i="6" a="1"/>
  <c r="M195" i="6" s="1"/>
  <c r="H195" i="6"/>
  <c r="I195" i="6" s="1"/>
  <c r="L195" i="6"/>
  <c r="K195" i="6"/>
  <c r="F195" i="6"/>
  <c r="G195" i="6" s="1"/>
  <c r="D195" i="6"/>
  <c r="A192" i="6"/>
  <c r="C196" i="6" l="1"/>
  <c r="B197" i="6"/>
  <c r="M196" i="6" a="1"/>
  <c r="M196" i="6" s="1"/>
  <c r="H196" i="6"/>
  <c r="I196" i="6" s="1"/>
  <c r="L196" i="6"/>
  <c r="F196" i="6"/>
  <c r="G196" i="6" s="1"/>
  <c r="K196" i="6"/>
  <c r="AA30" i="7"/>
  <c r="D196" i="6"/>
  <c r="A193" i="6"/>
  <c r="C197" i="6" l="1"/>
  <c r="AB30" i="7"/>
  <c r="B198" i="6"/>
  <c r="M197" i="6" a="1"/>
  <c r="M197" i="6" s="1"/>
  <c r="L197" i="6"/>
  <c r="H197" i="6"/>
  <c r="I197" i="6" s="1"/>
  <c r="K197" i="6"/>
  <c r="F197" i="6"/>
  <c r="G197" i="6" s="1"/>
  <c r="D197" i="6"/>
  <c r="A194" i="6"/>
  <c r="C198" i="6" l="1"/>
  <c r="B199" i="6"/>
  <c r="M198" i="6" a="1"/>
  <c r="M198" i="6" s="1"/>
  <c r="L198" i="6"/>
  <c r="H198" i="6"/>
  <c r="I198" i="6" s="1"/>
  <c r="F198" i="6"/>
  <c r="G198" i="6" s="1"/>
  <c r="K198" i="6"/>
  <c r="AC30" i="7"/>
  <c r="I30" i="7" s="1"/>
  <c r="V31" i="7"/>
  <c r="D198" i="6"/>
  <c r="A195" i="6"/>
  <c r="M30" i="7" l="1"/>
  <c r="S30" i="7"/>
  <c r="P30" i="7"/>
  <c r="R30" i="7"/>
  <c r="N30" i="7"/>
  <c r="L30" i="7"/>
  <c r="Q30" i="7"/>
  <c r="O30" i="7"/>
  <c r="C199" i="6"/>
  <c r="W31" i="7"/>
  <c r="B200" i="6"/>
  <c r="M199" i="6" a="1"/>
  <c r="M199" i="6" s="1"/>
  <c r="L199" i="6"/>
  <c r="K199" i="6"/>
  <c r="H199" i="6"/>
  <c r="I199" i="6" s="1"/>
  <c r="F199" i="6"/>
  <c r="G199" i="6" s="1"/>
  <c r="D199" i="6"/>
  <c r="A196" i="6"/>
  <c r="J30" i="7" l="1"/>
  <c r="C200" i="6"/>
  <c r="B201" i="6"/>
  <c r="M200" i="6" a="1"/>
  <c r="M200" i="6" s="1"/>
  <c r="K200" i="6"/>
  <c r="L200" i="6"/>
  <c r="F200" i="6"/>
  <c r="G200" i="6" s="1"/>
  <c r="X31" i="7"/>
  <c r="D200" i="6"/>
  <c r="A197" i="6"/>
  <c r="H200" i="6" l="1"/>
  <c r="I200" i="6" s="1"/>
  <c r="C201" i="6"/>
  <c r="Y31" i="7"/>
  <c r="B202" i="6"/>
  <c r="M201" i="6" a="1"/>
  <c r="M201" i="6" s="1"/>
  <c r="H201" i="6"/>
  <c r="I201" i="6" s="1"/>
  <c r="K201" i="6"/>
  <c r="L201" i="6"/>
  <c r="F201" i="6"/>
  <c r="G201" i="6" s="1"/>
  <c r="D201" i="6"/>
  <c r="A198" i="6"/>
  <c r="C202" i="6" l="1"/>
  <c r="B203" i="6"/>
  <c r="M202" i="6" a="1"/>
  <c r="M202" i="6" s="1"/>
  <c r="L202" i="6"/>
  <c r="K202" i="6"/>
  <c r="F202" i="6"/>
  <c r="G202" i="6" s="1"/>
  <c r="Z31" i="7"/>
  <c r="D202" i="6"/>
  <c r="A199" i="6"/>
  <c r="H202" i="6" l="1"/>
  <c r="I202" i="6" s="1"/>
  <c r="C203" i="6"/>
  <c r="AA31" i="7"/>
  <c r="B204" i="6"/>
  <c r="M203" i="6" a="1"/>
  <c r="M203" i="6" s="1"/>
  <c r="H203" i="6"/>
  <c r="I203" i="6" s="1"/>
  <c r="L203" i="6"/>
  <c r="K203" i="6"/>
  <c r="F203" i="6"/>
  <c r="G203" i="6" s="1"/>
  <c r="D203" i="6"/>
  <c r="D204" i="6"/>
  <c r="A200" i="6"/>
  <c r="C204" i="6" l="1"/>
  <c r="B205" i="6"/>
  <c r="M204" i="6" a="1"/>
  <c r="M204" i="6" s="1"/>
  <c r="H204" i="6"/>
  <c r="I204" i="6" s="1"/>
  <c r="K204" i="6"/>
  <c r="L204" i="6"/>
  <c r="F204" i="6"/>
  <c r="G204" i="6" s="1"/>
  <c r="AB31" i="7"/>
  <c r="A201" i="6"/>
  <c r="C205" i="6" l="1"/>
  <c r="AC31" i="7"/>
  <c r="I31" i="7" s="1"/>
  <c r="V32" i="7"/>
  <c r="B206" i="6"/>
  <c r="M205" i="6" a="1"/>
  <c r="M205" i="6" s="1"/>
  <c r="L205" i="6"/>
  <c r="H205" i="6"/>
  <c r="I205" i="6" s="1"/>
  <c r="K205" i="6"/>
  <c r="F205" i="6"/>
  <c r="G205" i="6" s="1"/>
  <c r="D205" i="6"/>
  <c r="A202" i="6"/>
  <c r="O31" i="7" l="1"/>
  <c r="P31" i="7"/>
  <c r="M31" i="7"/>
  <c r="N31" i="7"/>
  <c r="S31" i="7"/>
  <c r="R31" i="7"/>
  <c r="Q31" i="7"/>
  <c r="L31" i="7"/>
  <c r="J31" i="7" s="1"/>
  <c r="C206" i="6"/>
  <c r="B207" i="6"/>
  <c r="M206" i="6" a="1"/>
  <c r="M206" i="6" s="1"/>
  <c r="L206" i="6"/>
  <c r="H206" i="6"/>
  <c r="I206" i="6" s="1"/>
  <c r="K206" i="6"/>
  <c r="F206" i="6"/>
  <c r="G206" i="6" s="1"/>
  <c r="W32" i="7"/>
  <c r="D206" i="6"/>
  <c r="A203" i="6"/>
  <c r="C207" i="6" l="1"/>
  <c r="X32" i="7"/>
  <c r="B208" i="6"/>
  <c r="M207" i="6" a="1"/>
  <c r="M207" i="6" s="1"/>
  <c r="L207" i="6"/>
  <c r="H207" i="6"/>
  <c r="I207" i="6" s="1"/>
  <c r="K207" i="6"/>
  <c r="F207" i="6"/>
  <c r="G207" i="6" s="1"/>
  <c r="D207" i="6"/>
  <c r="A204" i="6"/>
  <c r="C208" i="6" l="1"/>
  <c r="B209" i="6"/>
  <c r="M208" i="6" a="1"/>
  <c r="M208" i="6" s="1"/>
  <c r="K208" i="6"/>
  <c r="L208" i="6"/>
  <c r="F208" i="6"/>
  <c r="G208" i="6" s="1"/>
  <c r="Y32" i="7"/>
  <c r="D208" i="6"/>
  <c r="A205" i="6"/>
  <c r="H208" i="6" l="1"/>
  <c r="I208" i="6" s="1"/>
  <c r="C209" i="6"/>
  <c r="Z32" i="7"/>
  <c r="B210" i="6"/>
  <c r="M209" i="6" a="1"/>
  <c r="M209" i="6" s="1"/>
  <c r="L209" i="6"/>
  <c r="H209" i="6"/>
  <c r="I209" i="6" s="1"/>
  <c r="K209" i="6"/>
  <c r="F209" i="6"/>
  <c r="G209" i="6" s="1"/>
  <c r="D209" i="6"/>
  <c r="A206" i="6"/>
  <c r="C210" i="6" l="1"/>
  <c r="B211" i="6"/>
  <c r="D211" i="6" s="1"/>
  <c r="M210" i="6" a="1"/>
  <c r="M210" i="6" s="1"/>
  <c r="L210" i="6"/>
  <c r="K210" i="6"/>
  <c r="F210" i="6"/>
  <c r="G210" i="6" s="1"/>
  <c r="AA32" i="7"/>
  <c r="D210" i="6"/>
  <c r="A207" i="6"/>
  <c r="H210" i="6" l="1"/>
  <c r="I210" i="6" s="1"/>
  <c r="C211" i="6"/>
  <c r="AB32" i="7"/>
  <c r="B212" i="6"/>
  <c r="M211" i="6" a="1"/>
  <c r="M211" i="6" s="1"/>
  <c r="L211" i="6"/>
  <c r="K211" i="6"/>
  <c r="F211" i="6"/>
  <c r="G211" i="6" s="1"/>
  <c r="A208" i="6"/>
  <c r="H211" i="6" l="1"/>
  <c r="I211" i="6" s="1"/>
  <c r="C212" i="6"/>
  <c r="B213" i="6"/>
  <c r="M212" i="6" a="1"/>
  <c r="M212" i="6" s="1"/>
  <c r="L212" i="6"/>
  <c r="K212" i="6"/>
  <c r="F212" i="6"/>
  <c r="G212" i="6" s="1"/>
  <c r="AC32" i="7"/>
  <c r="I32" i="7" s="1"/>
  <c r="V33" i="7"/>
  <c r="D212" i="6"/>
  <c r="A209" i="6"/>
  <c r="H212" i="6" l="1"/>
  <c r="I212" i="6" s="1"/>
  <c r="Q32" i="7"/>
  <c r="P32" i="7"/>
  <c r="R32" i="7"/>
  <c r="M32" i="7"/>
  <c r="S32" i="7"/>
  <c r="N32" i="7"/>
  <c r="L32" i="7"/>
  <c r="O32" i="7"/>
  <c r="C213" i="6"/>
  <c r="W33" i="7"/>
  <c r="B214" i="6"/>
  <c r="M213" i="6" a="1"/>
  <c r="M213" i="6" s="1"/>
  <c r="L213" i="6"/>
  <c r="H213" i="6"/>
  <c r="I213" i="6" s="1"/>
  <c r="F213" i="6"/>
  <c r="G213" i="6" s="1"/>
  <c r="K213" i="6"/>
  <c r="D213" i="6"/>
  <c r="D214" i="6"/>
  <c r="A210" i="6"/>
  <c r="J32" i="7" l="1"/>
  <c r="C214" i="6"/>
  <c r="B215" i="6"/>
  <c r="M214" i="6" a="1"/>
  <c r="M214" i="6" s="1"/>
  <c r="L214" i="6"/>
  <c r="F214" i="6"/>
  <c r="G214" i="6" s="1"/>
  <c r="K214" i="6"/>
  <c r="X33" i="7"/>
  <c r="A211" i="6"/>
  <c r="H214" i="6" l="1"/>
  <c r="C215" i="6"/>
  <c r="I214" i="6"/>
  <c r="Y33" i="7"/>
  <c r="B216" i="6"/>
  <c r="M215" i="6" a="1"/>
  <c r="M215" i="6" s="1"/>
  <c r="K215" i="6"/>
  <c r="H215" i="6"/>
  <c r="I215" i="6" s="1"/>
  <c r="L215" i="6"/>
  <c r="F215" i="6"/>
  <c r="G215" i="6" s="1"/>
  <c r="D215" i="6"/>
  <c r="A212" i="6"/>
  <c r="C216" i="6" l="1"/>
  <c r="B217" i="6"/>
  <c r="M216" i="6" a="1"/>
  <c r="M216" i="6" s="1"/>
  <c r="H216" i="6"/>
  <c r="I216" i="6" s="1"/>
  <c r="K216" i="6"/>
  <c r="L216" i="6"/>
  <c r="F216" i="6"/>
  <c r="G216" i="6" s="1"/>
  <c r="Z33" i="7"/>
  <c r="D216" i="6"/>
  <c r="A213" i="6"/>
  <c r="C217" i="6" l="1"/>
  <c r="AA33" i="7"/>
  <c r="B218" i="6"/>
  <c r="M217" i="6" a="1"/>
  <c r="M217" i="6" s="1"/>
  <c r="K217" i="6"/>
  <c r="H217" i="6"/>
  <c r="I217" i="6" s="1"/>
  <c r="L217" i="6"/>
  <c r="F217" i="6"/>
  <c r="G217" i="6" s="1"/>
  <c r="D217" i="6"/>
  <c r="A214" i="6"/>
  <c r="C218" i="6" l="1"/>
  <c r="B219" i="6"/>
  <c r="M218" i="6" a="1"/>
  <c r="M218" i="6" s="1"/>
  <c r="L218" i="6"/>
  <c r="K218" i="6"/>
  <c r="F218" i="6"/>
  <c r="G218" i="6" s="1"/>
  <c r="AB33" i="7"/>
  <c r="D218" i="6"/>
  <c r="A215" i="6"/>
  <c r="H218" i="6" l="1"/>
  <c r="I218" i="6" s="1"/>
  <c r="C219" i="6"/>
  <c r="AC33" i="7"/>
  <c r="I33" i="7" s="1"/>
  <c r="V34" i="7"/>
  <c r="B220" i="6"/>
  <c r="M219" i="6" a="1"/>
  <c r="M219" i="6" s="1"/>
  <c r="H219" i="6"/>
  <c r="I219" i="6" s="1"/>
  <c r="L219" i="6"/>
  <c r="K219" i="6"/>
  <c r="F219" i="6"/>
  <c r="G219" i="6" s="1"/>
  <c r="D219" i="6"/>
  <c r="A216" i="6"/>
  <c r="N33" i="7" l="1"/>
  <c r="P33" i="7"/>
  <c r="R33" i="7"/>
  <c r="Q33" i="7"/>
  <c r="O33" i="7"/>
  <c r="L33" i="7"/>
  <c r="S33" i="7"/>
  <c r="M33" i="7"/>
  <c r="C220" i="6"/>
  <c r="B221" i="6"/>
  <c r="M220" i="6" a="1"/>
  <c r="M220" i="6" s="1"/>
  <c r="H220" i="6"/>
  <c r="I220" i="6" s="1"/>
  <c r="K220" i="6"/>
  <c r="F220" i="6"/>
  <c r="G220" i="6" s="1"/>
  <c r="L220" i="6"/>
  <c r="W34" i="7"/>
  <c r="D220" i="6"/>
  <c r="A217" i="6"/>
  <c r="J33" i="7" l="1"/>
  <c r="C221" i="6"/>
  <c r="X34" i="7"/>
  <c r="B222" i="6"/>
  <c r="M221" i="6" a="1"/>
  <c r="M221" i="6" s="1"/>
  <c r="H221" i="6"/>
  <c r="I221" i="6" s="1"/>
  <c r="L221" i="6"/>
  <c r="K221" i="6"/>
  <c r="F221" i="6"/>
  <c r="G221" i="6" s="1"/>
  <c r="D221" i="6"/>
  <c r="A218" i="6"/>
  <c r="C222" i="6" l="1"/>
  <c r="B223" i="6"/>
  <c r="M222" i="6" a="1"/>
  <c r="M222" i="6" s="1"/>
  <c r="L222" i="6"/>
  <c r="K222" i="6"/>
  <c r="F222" i="6"/>
  <c r="G222" i="6" s="1"/>
  <c r="Y34" i="7"/>
  <c r="D222" i="6"/>
  <c r="A219" i="6"/>
  <c r="H222" i="6" l="1"/>
  <c r="I222" i="6" s="1"/>
  <c r="C223" i="6"/>
  <c r="Z34" i="7"/>
  <c r="B224" i="6"/>
  <c r="M223" i="6" a="1"/>
  <c r="M223" i="6" s="1"/>
  <c r="H223" i="6"/>
  <c r="I223" i="6" s="1"/>
  <c r="K223" i="6"/>
  <c r="L223" i="6"/>
  <c r="F223" i="6"/>
  <c r="G223" i="6" s="1"/>
  <c r="D223" i="6"/>
  <c r="A220" i="6"/>
  <c r="C224" i="6" l="1"/>
  <c r="B225" i="6"/>
  <c r="M224" i="6" a="1"/>
  <c r="M224" i="6" s="1"/>
  <c r="H224" i="6"/>
  <c r="I224" i="6" s="1"/>
  <c r="K224" i="6"/>
  <c r="L224" i="6"/>
  <c r="F224" i="6"/>
  <c r="G224" i="6" s="1"/>
  <c r="AA34" i="7"/>
  <c r="D224" i="6"/>
  <c r="A221" i="6"/>
  <c r="C225" i="6" l="1"/>
  <c r="AB34" i="7"/>
  <c r="B226" i="6"/>
  <c r="M225" i="6" a="1"/>
  <c r="M225" i="6" s="1"/>
  <c r="H225" i="6"/>
  <c r="I225" i="6" s="1"/>
  <c r="K225" i="6"/>
  <c r="L225" i="6"/>
  <c r="F225" i="6"/>
  <c r="G225" i="6" s="1"/>
  <c r="D225" i="6"/>
  <c r="A222" i="6"/>
  <c r="C226" i="6" l="1"/>
  <c r="B227" i="6"/>
  <c r="M226" i="6" a="1"/>
  <c r="M226" i="6" s="1"/>
  <c r="L226" i="6"/>
  <c r="K226" i="6"/>
  <c r="F226" i="6"/>
  <c r="G226" i="6" s="1"/>
  <c r="AC34" i="7"/>
  <c r="I34" i="7" s="1"/>
  <c r="V35" i="7"/>
  <c r="D226" i="6"/>
  <c r="A223" i="6"/>
  <c r="H226" i="6" l="1"/>
  <c r="I226" i="6" s="1"/>
  <c r="N34" i="7"/>
  <c r="S34" i="7"/>
  <c r="M34" i="7"/>
  <c r="O34" i="7"/>
  <c r="L34" i="7"/>
  <c r="J34" i="7" s="1"/>
  <c r="P34" i="7"/>
  <c r="R34" i="7"/>
  <c r="Q34" i="7"/>
  <c r="C227" i="6"/>
  <c r="W35" i="7"/>
  <c r="B228" i="6"/>
  <c r="M227" i="6" a="1"/>
  <c r="M227" i="6" s="1"/>
  <c r="L227" i="6"/>
  <c r="K227" i="6"/>
  <c r="F227" i="6"/>
  <c r="G227" i="6" s="1"/>
  <c r="D227" i="6"/>
  <c r="A224" i="6"/>
  <c r="H227" i="6" l="1"/>
  <c r="I227" i="6" s="1"/>
  <c r="C228" i="6"/>
  <c r="B229" i="6"/>
  <c r="M228" i="6" a="1"/>
  <c r="M228" i="6" s="1"/>
  <c r="H228" i="6"/>
  <c r="I228" i="6" s="1"/>
  <c r="L228" i="6"/>
  <c r="K228" i="6"/>
  <c r="F228" i="6"/>
  <c r="G228" i="6" s="1"/>
  <c r="X35" i="7"/>
  <c r="D228" i="6"/>
  <c r="D229" i="6"/>
  <c r="A225" i="6"/>
  <c r="C229" i="6" l="1"/>
  <c r="Y35" i="7"/>
  <c r="B230" i="6"/>
  <c r="M229" i="6" a="1"/>
  <c r="M229" i="6" s="1"/>
  <c r="H229" i="6"/>
  <c r="I229" i="6" s="1"/>
  <c r="L229" i="6"/>
  <c r="F229" i="6"/>
  <c r="G229" i="6" s="1"/>
  <c r="K229" i="6"/>
  <c r="A226" i="6"/>
  <c r="C230" i="6" l="1"/>
  <c r="B231" i="6"/>
  <c r="M230" i="6" a="1"/>
  <c r="M230" i="6" s="1"/>
  <c r="H230" i="6"/>
  <c r="I230" i="6" s="1"/>
  <c r="L230" i="6"/>
  <c r="F230" i="6"/>
  <c r="G230" i="6" s="1"/>
  <c r="K230" i="6"/>
  <c r="Z35" i="7"/>
  <c r="D230" i="6"/>
  <c r="A227" i="6"/>
  <c r="C231" i="6" l="1"/>
  <c r="AA35" i="7"/>
  <c r="B232" i="6"/>
  <c r="M231" i="6" a="1"/>
  <c r="M231" i="6" s="1"/>
  <c r="K231" i="6"/>
  <c r="H231" i="6"/>
  <c r="I231" i="6" s="1"/>
  <c r="L231" i="6"/>
  <c r="F231" i="6"/>
  <c r="G231" i="6" s="1"/>
  <c r="D231" i="6"/>
  <c r="A228" i="6"/>
  <c r="C232" i="6" l="1"/>
  <c r="B233" i="6"/>
  <c r="M232" i="6" a="1"/>
  <c r="M232" i="6" s="1"/>
  <c r="K232" i="6"/>
  <c r="L232" i="6"/>
  <c r="F232" i="6"/>
  <c r="G232" i="6" s="1"/>
  <c r="AB35" i="7"/>
  <c r="D232" i="6"/>
  <c r="A229" i="6"/>
  <c r="H232" i="6" l="1"/>
  <c r="I232" i="6" s="1"/>
  <c r="C233" i="6"/>
  <c r="AC35" i="7"/>
  <c r="I35" i="7" s="1"/>
  <c r="V36" i="7"/>
  <c r="B234" i="6"/>
  <c r="M233" i="6" a="1"/>
  <c r="M233" i="6" s="1"/>
  <c r="H233" i="6"/>
  <c r="I233" i="6" s="1"/>
  <c r="K233" i="6"/>
  <c r="L233" i="6"/>
  <c r="F233" i="6"/>
  <c r="G233" i="6" s="1"/>
  <c r="D233" i="6"/>
  <c r="A230" i="6"/>
  <c r="N35" i="7" l="1"/>
  <c r="M35" i="7"/>
  <c r="L35" i="7"/>
  <c r="O35" i="7"/>
  <c r="Q35" i="7"/>
  <c r="R35" i="7"/>
  <c r="S35" i="7"/>
  <c r="P35" i="7"/>
  <c r="C234" i="6"/>
  <c r="B235" i="6"/>
  <c r="D235" i="6" s="1"/>
  <c r="M234" i="6" a="1"/>
  <c r="M234" i="6" s="1"/>
  <c r="H234" i="6"/>
  <c r="I234" i="6" s="1"/>
  <c r="K234" i="6"/>
  <c r="L234" i="6"/>
  <c r="F234" i="6"/>
  <c r="G234" i="6" s="1"/>
  <c r="W36" i="7"/>
  <c r="D234" i="6"/>
  <c r="A231" i="6"/>
  <c r="J35" i="7" l="1"/>
  <c r="C235" i="6"/>
  <c r="X36" i="7"/>
  <c r="B236" i="6"/>
  <c r="D236" i="6" s="1"/>
  <c r="M235" i="6" a="1"/>
  <c r="M235" i="6" s="1"/>
  <c r="H235" i="6"/>
  <c r="I235" i="6" s="1"/>
  <c r="L235" i="6"/>
  <c r="K235" i="6"/>
  <c r="F235" i="6"/>
  <c r="G235" i="6" s="1"/>
  <c r="A232" i="6"/>
  <c r="C236" i="6" l="1"/>
  <c r="B237" i="6"/>
  <c r="M236" i="6" a="1"/>
  <c r="M236" i="6" s="1"/>
  <c r="K236" i="6"/>
  <c r="L236" i="6"/>
  <c r="F236" i="6"/>
  <c r="G236" i="6" s="1"/>
  <c r="Y36" i="7"/>
  <c r="A233" i="6"/>
  <c r="H236" i="6" l="1"/>
  <c r="I236" i="6" s="1"/>
  <c r="C237" i="6"/>
  <c r="Z36" i="7"/>
  <c r="B238" i="6"/>
  <c r="M237" i="6" a="1"/>
  <c r="M237" i="6" s="1"/>
  <c r="L237" i="6"/>
  <c r="K237" i="6"/>
  <c r="F237" i="6"/>
  <c r="G237" i="6" s="1"/>
  <c r="D237" i="6"/>
  <c r="A234" i="6"/>
  <c r="H237" i="6" l="1"/>
  <c r="I237" i="6" s="1"/>
  <c r="C238" i="6"/>
  <c r="B239" i="6"/>
  <c r="M238" i="6" a="1"/>
  <c r="M238" i="6" s="1"/>
  <c r="L238" i="6"/>
  <c r="H238" i="6"/>
  <c r="I238" i="6" s="1"/>
  <c r="K238" i="6"/>
  <c r="F238" i="6"/>
  <c r="G238" i="6" s="1"/>
  <c r="AA36" i="7"/>
  <c r="D238" i="6"/>
  <c r="A235" i="6"/>
  <c r="C239" i="6" l="1"/>
  <c r="AB36" i="7"/>
  <c r="B240" i="6"/>
  <c r="M239" i="6" a="1"/>
  <c r="M239" i="6" s="1"/>
  <c r="K239" i="6"/>
  <c r="L239" i="6"/>
  <c r="H239" i="6"/>
  <c r="I239" i="6" s="1"/>
  <c r="F239" i="6"/>
  <c r="G239" i="6" s="1"/>
  <c r="D239" i="6"/>
  <c r="A236" i="6"/>
  <c r="C240" i="6" l="1"/>
  <c r="B241" i="6"/>
  <c r="M240" i="6" a="1"/>
  <c r="M240" i="6" s="1"/>
  <c r="K240" i="6"/>
  <c r="L240" i="6"/>
  <c r="F240" i="6"/>
  <c r="G240" i="6" s="1"/>
  <c r="AC36" i="7"/>
  <c r="I36" i="7" s="1"/>
  <c r="V37" i="7"/>
  <c r="D240" i="6"/>
  <c r="A237" i="6"/>
  <c r="H240" i="6" l="1"/>
  <c r="I240" i="6" s="1"/>
  <c r="N36" i="7"/>
  <c r="L36" i="7"/>
  <c r="O36" i="7"/>
  <c r="R36" i="7"/>
  <c r="S36" i="7"/>
  <c r="M36" i="7"/>
  <c r="P36" i="7"/>
  <c r="Q36" i="7"/>
  <c r="C241" i="6"/>
  <c r="W37" i="7"/>
  <c r="B242" i="6"/>
  <c r="M241" i="6" a="1"/>
  <c r="M241" i="6" s="1"/>
  <c r="K241" i="6"/>
  <c r="L241" i="6"/>
  <c r="F241" i="6"/>
  <c r="G241" i="6" s="1"/>
  <c r="D241" i="6"/>
  <c r="A238" i="6"/>
  <c r="J36" i="7" l="1"/>
  <c r="H241" i="6"/>
  <c r="I241" i="6" s="1"/>
  <c r="C242" i="6"/>
  <c r="B243" i="6"/>
  <c r="M242" i="6" a="1"/>
  <c r="M242" i="6" s="1"/>
  <c r="H242" i="6"/>
  <c r="I242" i="6" s="1"/>
  <c r="K242" i="6"/>
  <c r="L242" i="6"/>
  <c r="F242" i="6"/>
  <c r="G242" i="6" s="1"/>
  <c r="X37" i="7"/>
  <c r="D242" i="6"/>
  <c r="A239" i="6"/>
  <c r="C243" i="6" l="1"/>
  <c r="Y37" i="7"/>
  <c r="B244" i="6"/>
  <c r="M243" i="6" a="1"/>
  <c r="M243" i="6" s="1"/>
  <c r="H243" i="6"/>
  <c r="I243" i="6" s="1"/>
  <c r="L243" i="6"/>
  <c r="K243" i="6"/>
  <c r="F243" i="6"/>
  <c r="G243" i="6" s="1"/>
  <c r="D243" i="6"/>
  <c r="A240" i="6"/>
  <c r="C244" i="6" l="1"/>
  <c r="B245" i="6"/>
  <c r="M244" i="6" a="1"/>
  <c r="M244" i="6" s="1"/>
  <c r="H244" i="6"/>
  <c r="I244" i="6" s="1"/>
  <c r="K244" i="6"/>
  <c r="L244" i="6"/>
  <c r="F244" i="6"/>
  <c r="G244" i="6" s="1"/>
  <c r="Z37" i="7"/>
  <c r="D244" i="6"/>
  <c r="A241" i="6"/>
  <c r="C245" i="6" l="1"/>
  <c r="AA37" i="7"/>
  <c r="B246" i="6"/>
  <c r="M245" i="6" a="1"/>
  <c r="M245" i="6" s="1"/>
  <c r="H245" i="6"/>
  <c r="L245" i="6"/>
  <c r="F245" i="6"/>
  <c r="G245" i="6" s="1"/>
  <c r="K245" i="6"/>
  <c r="D245" i="6"/>
  <c r="A242" i="6"/>
  <c r="C246" i="6" l="1"/>
  <c r="I245" i="6"/>
  <c r="B247" i="6"/>
  <c r="M246" i="6" a="1"/>
  <c r="M246" i="6" s="1"/>
  <c r="H246" i="6"/>
  <c r="I246" i="6" s="1"/>
  <c r="L246" i="6"/>
  <c r="F246" i="6"/>
  <c r="G246" i="6" s="1"/>
  <c r="K246" i="6"/>
  <c r="AB37" i="7"/>
  <c r="D246" i="6"/>
  <c r="A243" i="6"/>
  <c r="C247" i="6" l="1"/>
  <c r="AC37" i="7"/>
  <c r="I37" i="7" s="1"/>
  <c r="V38" i="7"/>
  <c r="B248" i="6"/>
  <c r="M247" i="6" a="1"/>
  <c r="M247" i="6" s="1"/>
  <c r="K247" i="6"/>
  <c r="L247" i="6"/>
  <c r="F247" i="6"/>
  <c r="G247" i="6" s="1"/>
  <c r="D247" i="6"/>
  <c r="A244" i="6"/>
  <c r="H247" i="6" l="1"/>
  <c r="I247" i="6" s="1"/>
  <c r="M37" i="7"/>
  <c r="R37" i="7"/>
  <c r="S37" i="7"/>
  <c r="L37" i="7"/>
  <c r="N37" i="7"/>
  <c r="Q37" i="7"/>
  <c r="P37" i="7"/>
  <c r="O37" i="7"/>
  <c r="C248" i="6"/>
  <c r="B249" i="6"/>
  <c r="M248" i="6" a="1"/>
  <c r="M248" i="6" s="1"/>
  <c r="H248" i="6"/>
  <c r="I248" i="6" s="1"/>
  <c r="K248" i="6"/>
  <c r="L248" i="6"/>
  <c r="F248" i="6"/>
  <c r="G248" i="6" s="1"/>
  <c r="W38" i="7"/>
  <c r="D248" i="6"/>
  <c r="A245" i="6"/>
  <c r="J37" i="7" l="1"/>
  <c r="C249" i="6"/>
  <c r="X38" i="7"/>
  <c r="B250" i="6"/>
  <c r="M249" i="6" a="1"/>
  <c r="M249" i="6" s="1"/>
  <c r="H249" i="6"/>
  <c r="I249" i="6" s="1"/>
  <c r="K249" i="6"/>
  <c r="L249" i="6"/>
  <c r="F249" i="6"/>
  <c r="G249" i="6" s="1"/>
  <c r="D249" i="6"/>
  <c r="A246" i="6"/>
  <c r="C250" i="6" l="1"/>
  <c r="B251" i="6"/>
  <c r="M250" i="6" a="1"/>
  <c r="M250" i="6" s="1"/>
  <c r="K250" i="6"/>
  <c r="L250" i="6"/>
  <c r="F250" i="6"/>
  <c r="G250" i="6" s="1"/>
  <c r="Y38" i="7"/>
  <c r="D250" i="6"/>
  <c r="A247" i="6"/>
  <c r="H250" i="6" l="1"/>
  <c r="I250" i="6" s="1"/>
  <c r="C251" i="6"/>
  <c r="Z38" i="7"/>
  <c r="B252" i="6"/>
  <c r="M251" i="6" a="1"/>
  <c r="M251" i="6" s="1"/>
  <c r="L251" i="6"/>
  <c r="K251" i="6"/>
  <c r="F251" i="6"/>
  <c r="G251" i="6" s="1"/>
  <c r="D251" i="6"/>
  <c r="A248" i="6"/>
  <c r="H251" i="6" l="1"/>
  <c r="I251" i="6" s="1"/>
  <c r="C252" i="6"/>
  <c r="B253" i="6"/>
  <c r="M252" i="6" a="1"/>
  <c r="M252" i="6" s="1"/>
  <c r="H252" i="6"/>
  <c r="I252" i="6" s="1"/>
  <c r="K252" i="6"/>
  <c r="L252" i="6"/>
  <c r="F252" i="6"/>
  <c r="G252" i="6" s="1"/>
  <c r="AA38" i="7"/>
  <c r="D252" i="6"/>
  <c r="A249" i="6"/>
  <c r="C253" i="6" l="1"/>
  <c r="AB38" i="7"/>
  <c r="B254" i="6"/>
  <c r="M253" i="6" a="1"/>
  <c r="M253" i="6" s="1"/>
  <c r="H253" i="6"/>
  <c r="I253" i="6" s="1"/>
  <c r="L253" i="6"/>
  <c r="K253" i="6"/>
  <c r="F253" i="6"/>
  <c r="G253" i="6" s="1"/>
  <c r="D253" i="6"/>
  <c r="A250" i="6"/>
  <c r="C254" i="6" l="1"/>
  <c r="B255" i="6"/>
  <c r="M254" i="6" a="1"/>
  <c r="M254" i="6" s="1"/>
  <c r="L254" i="6"/>
  <c r="K254" i="6"/>
  <c r="F254" i="6"/>
  <c r="G254" i="6" s="1"/>
  <c r="AC38" i="7"/>
  <c r="I38" i="7" s="1"/>
  <c r="V39" i="7"/>
  <c r="D254" i="6"/>
  <c r="A251" i="6"/>
  <c r="H254" i="6" l="1"/>
  <c r="I254" i="6" s="1"/>
  <c r="P38" i="7"/>
  <c r="O38" i="7"/>
  <c r="Q38" i="7"/>
  <c r="M38" i="7"/>
  <c r="L38" i="7"/>
  <c r="J38" i="7" s="1"/>
  <c r="N38" i="7"/>
  <c r="S38" i="7"/>
  <c r="R38" i="7"/>
  <c r="C255" i="6"/>
  <c r="W39" i="7"/>
  <c r="B256" i="6"/>
  <c r="M255" i="6" a="1"/>
  <c r="M255" i="6" s="1"/>
  <c r="K255" i="6"/>
  <c r="H255" i="6"/>
  <c r="I255" i="6" s="1"/>
  <c r="L255" i="6"/>
  <c r="F255" i="6"/>
  <c r="G255" i="6" s="1"/>
  <c r="D255" i="6"/>
  <c r="A252" i="6"/>
  <c r="C256" i="6" l="1"/>
  <c r="B257" i="6"/>
  <c r="M256" i="6" a="1"/>
  <c r="M256" i="6" s="1"/>
  <c r="H256" i="6"/>
  <c r="I256" i="6" s="1"/>
  <c r="K256" i="6"/>
  <c r="L256" i="6"/>
  <c r="F256" i="6"/>
  <c r="G256" i="6" s="1"/>
  <c r="X39" i="7"/>
  <c r="D256" i="6"/>
  <c r="A253" i="6"/>
  <c r="C257" i="6" l="1"/>
  <c r="Y39" i="7"/>
  <c r="B258" i="6"/>
  <c r="M257" i="6" a="1"/>
  <c r="M257" i="6" s="1"/>
  <c r="K257" i="6"/>
  <c r="H257" i="6"/>
  <c r="I257" i="6" s="1"/>
  <c r="L257" i="6"/>
  <c r="F257" i="6"/>
  <c r="G257" i="6" s="1"/>
  <c r="D257" i="6"/>
  <c r="A254" i="6"/>
  <c r="C258" i="6" l="1"/>
  <c r="B259" i="6"/>
  <c r="M258" i="6" a="1"/>
  <c r="M258" i="6" s="1"/>
  <c r="H258" i="6"/>
  <c r="I258" i="6" s="1"/>
  <c r="L258" i="6"/>
  <c r="K258" i="6"/>
  <c r="F258" i="6"/>
  <c r="G258" i="6" s="1"/>
  <c r="Z39" i="7"/>
  <c r="D258" i="6"/>
  <c r="A255" i="6"/>
  <c r="C259" i="6" l="1"/>
  <c r="AA39" i="7"/>
  <c r="B260" i="6"/>
  <c r="M259" i="6" a="1"/>
  <c r="M259" i="6" s="1"/>
  <c r="H259" i="6"/>
  <c r="I259" i="6" s="1"/>
  <c r="L259" i="6"/>
  <c r="K259" i="6"/>
  <c r="F259" i="6"/>
  <c r="G259" i="6" s="1"/>
  <c r="D259" i="6"/>
  <c r="A256" i="6"/>
  <c r="C260" i="6" l="1"/>
  <c r="B261" i="6"/>
  <c r="M260" i="6" a="1"/>
  <c r="M260" i="6" s="1"/>
  <c r="L260" i="6"/>
  <c r="K260" i="6"/>
  <c r="F260" i="6"/>
  <c r="G260" i="6" s="1"/>
  <c r="AB39" i="7"/>
  <c r="D260" i="6"/>
  <c r="A257" i="6"/>
  <c r="H260" i="6" l="1"/>
  <c r="I260" i="6" s="1"/>
  <c r="C261" i="6"/>
  <c r="AC39" i="7"/>
  <c r="I39" i="7" s="1"/>
  <c r="V40" i="7"/>
  <c r="B262" i="6"/>
  <c r="M261" i="6" a="1"/>
  <c r="M261" i="6" s="1"/>
  <c r="H261" i="6"/>
  <c r="I261" i="6" s="1"/>
  <c r="L261" i="6"/>
  <c r="F261" i="6"/>
  <c r="G261" i="6" s="1"/>
  <c r="K261" i="6"/>
  <c r="D261" i="6"/>
  <c r="A258" i="6"/>
  <c r="P39" i="7" l="1"/>
  <c r="Q39" i="7"/>
  <c r="O39" i="7"/>
  <c r="S39" i="7"/>
  <c r="M39" i="7"/>
  <c r="R39" i="7"/>
  <c r="L39" i="7"/>
  <c r="N39" i="7"/>
  <c r="C262" i="6"/>
  <c r="B263" i="6"/>
  <c r="M262" i="6" a="1"/>
  <c r="M262" i="6" s="1"/>
  <c r="L262" i="6"/>
  <c r="H262" i="6"/>
  <c r="I262" i="6" s="1"/>
  <c r="F262" i="6"/>
  <c r="G262" i="6" s="1"/>
  <c r="K262" i="6"/>
  <c r="W40" i="7"/>
  <c r="D262" i="6"/>
  <c r="A259" i="6"/>
  <c r="J39" i="7" l="1"/>
  <c r="C263" i="6"/>
  <c r="X40" i="7"/>
  <c r="B264" i="6"/>
  <c r="M263" i="6" a="1"/>
  <c r="M263" i="6" s="1"/>
  <c r="K263" i="6"/>
  <c r="L263" i="6"/>
  <c r="H263" i="6"/>
  <c r="I263" i="6" s="1"/>
  <c r="F263" i="6"/>
  <c r="G263" i="6" s="1"/>
  <c r="D263" i="6"/>
  <c r="A260" i="6"/>
  <c r="C264" i="6" l="1"/>
  <c r="B265" i="6"/>
  <c r="M264" i="6" a="1"/>
  <c r="M264" i="6" s="1"/>
  <c r="H264" i="6"/>
  <c r="I264" i="6" s="1"/>
  <c r="K264" i="6"/>
  <c r="F264" i="6"/>
  <c r="G264" i="6" s="1"/>
  <c r="L264" i="6"/>
  <c r="Y40" i="7"/>
  <c r="D264" i="6"/>
  <c r="A261" i="6"/>
  <c r="C265" i="6" l="1"/>
  <c r="Z40" i="7"/>
  <c r="B266" i="6"/>
  <c r="M265" i="6" a="1"/>
  <c r="M265" i="6" s="1"/>
  <c r="H265" i="6"/>
  <c r="I265" i="6" s="1"/>
  <c r="K265" i="6"/>
  <c r="L265" i="6"/>
  <c r="F265" i="6"/>
  <c r="G265" i="6" s="1"/>
  <c r="D265" i="6"/>
  <c r="A262" i="6"/>
  <c r="C266" i="6" l="1"/>
  <c r="B267" i="6"/>
  <c r="M266" i="6" a="1"/>
  <c r="M266" i="6" s="1"/>
  <c r="H266" i="6"/>
  <c r="I266" i="6" s="1"/>
  <c r="K266" i="6"/>
  <c r="L266" i="6"/>
  <c r="F266" i="6"/>
  <c r="G266" i="6" s="1"/>
  <c r="AA40" i="7"/>
  <c r="D266" i="6"/>
  <c r="A263" i="6"/>
  <c r="C267" i="6" l="1"/>
  <c r="AB40" i="7"/>
  <c r="B268" i="6"/>
  <c r="M267" i="6" a="1"/>
  <c r="M267" i="6" s="1"/>
  <c r="H267" i="6"/>
  <c r="I267" i="6" s="1"/>
  <c r="L267" i="6"/>
  <c r="K267" i="6"/>
  <c r="F267" i="6"/>
  <c r="G267" i="6" s="1"/>
  <c r="D267" i="6"/>
  <c r="A264" i="6"/>
  <c r="C268" i="6" l="1"/>
  <c r="B269" i="6"/>
  <c r="M268" i="6" a="1"/>
  <c r="M268" i="6" s="1"/>
  <c r="H268" i="6"/>
  <c r="I268" i="6" s="1"/>
  <c r="L268" i="6"/>
  <c r="K268" i="6"/>
  <c r="F268" i="6"/>
  <c r="G268" i="6" s="1"/>
  <c r="AC40" i="7"/>
  <c r="I40" i="7" s="1"/>
  <c r="V41" i="7"/>
  <c r="D268" i="6"/>
  <c r="A265" i="6"/>
  <c r="N40" i="7" l="1"/>
  <c r="S40" i="7"/>
  <c r="O40" i="7"/>
  <c r="Q40" i="7"/>
  <c r="M40" i="7"/>
  <c r="R40" i="7"/>
  <c r="P40" i="7"/>
  <c r="L40" i="7"/>
  <c r="J40" i="7" s="1"/>
  <c r="C269" i="6"/>
  <c r="W41" i="7"/>
  <c r="B270" i="6"/>
  <c r="M269" i="6" a="1"/>
  <c r="M269" i="6" s="1"/>
  <c r="L269" i="6"/>
  <c r="K269" i="6"/>
  <c r="F269" i="6"/>
  <c r="G269" i="6" s="1"/>
  <c r="D269" i="6"/>
  <c r="A266" i="6"/>
  <c r="H269" i="6" l="1"/>
  <c r="I269" i="6" s="1"/>
  <c r="C270" i="6"/>
  <c r="B271" i="6"/>
  <c r="M270" i="6" a="1"/>
  <c r="M270" i="6" s="1"/>
  <c r="H270" i="6"/>
  <c r="I270" i="6" s="1"/>
  <c r="L270" i="6"/>
  <c r="K270" i="6"/>
  <c r="F270" i="6"/>
  <c r="G270" i="6" s="1"/>
  <c r="X41" i="7"/>
  <c r="D270" i="6"/>
  <c r="A267" i="6"/>
  <c r="C271" i="6" l="1"/>
  <c r="Y41" i="7"/>
  <c r="B272" i="6"/>
  <c r="M271" i="6" a="1"/>
  <c r="M271" i="6" s="1"/>
  <c r="H271" i="6"/>
  <c r="I271" i="6" s="1"/>
  <c r="K271" i="6"/>
  <c r="L271" i="6"/>
  <c r="F271" i="6"/>
  <c r="G271" i="6" s="1"/>
  <c r="D271" i="6"/>
  <c r="A268" i="6"/>
  <c r="C272" i="6" l="1"/>
  <c r="B273" i="6"/>
  <c r="M272" i="6" a="1"/>
  <c r="M272" i="6" s="1"/>
  <c r="K272" i="6"/>
  <c r="L272" i="6"/>
  <c r="F272" i="6"/>
  <c r="G272" i="6" s="1"/>
  <c r="Z41" i="7"/>
  <c r="D272" i="6"/>
  <c r="A269" i="6"/>
  <c r="H272" i="6" l="1"/>
  <c r="I272" i="6" s="1"/>
  <c r="C273" i="6"/>
  <c r="AA41" i="7"/>
  <c r="B274" i="6"/>
  <c r="M273" i="6" a="1"/>
  <c r="M273" i="6" s="1"/>
  <c r="K273" i="6"/>
  <c r="L273" i="6"/>
  <c r="F273" i="6"/>
  <c r="G273" i="6" s="1"/>
  <c r="D273" i="6"/>
  <c r="A270" i="6"/>
  <c r="H273" i="6" l="1"/>
  <c r="I273" i="6" s="1"/>
  <c r="C274" i="6"/>
  <c r="B275" i="6"/>
  <c r="M274" i="6" a="1"/>
  <c r="M274" i="6" s="1"/>
  <c r="H274" i="6"/>
  <c r="I274" i="6" s="1"/>
  <c r="L274" i="6"/>
  <c r="K274" i="6"/>
  <c r="F274" i="6"/>
  <c r="G274" i="6" s="1"/>
  <c r="AB41" i="7"/>
  <c r="D274" i="6"/>
  <c r="A271" i="6"/>
  <c r="C275" i="6" l="1"/>
  <c r="AC41" i="7"/>
  <c r="I41" i="7" s="1"/>
  <c r="V42" i="7"/>
  <c r="B276" i="6"/>
  <c r="M275" i="6" a="1"/>
  <c r="M275" i="6" s="1"/>
  <c r="H275" i="6"/>
  <c r="L275" i="6"/>
  <c r="K275" i="6"/>
  <c r="F275" i="6"/>
  <c r="G275" i="6" s="1"/>
  <c r="D275" i="6"/>
  <c r="A272" i="6"/>
  <c r="S41" i="7" l="1"/>
  <c r="N41" i="7"/>
  <c r="O41" i="7"/>
  <c r="R41" i="7"/>
  <c r="L41" i="7"/>
  <c r="J41" i="7" s="1"/>
  <c r="P41" i="7"/>
  <c r="Q41" i="7"/>
  <c r="M41" i="7"/>
  <c r="C276" i="6"/>
  <c r="I275" i="6"/>
  <c r="B277" i="6"/>
  <c r="M276" i="6" a="1"/>
  <c r="M276" i="6" s="1"/>
  <c r="H276" i="6"/>
  <c r="I276" i="6" s="1"/>
  <c r="L276" i="6"/>
  <c r="K276" i="6"/>
  <c r="F276" i="6"/>
  <c r="G276" i="6" s="1"/>
  <c r="W42" i="7"/>
  <c r="D276" i="6"/>
  <c r="A273" i="6"/>
  <c r="C277" i="6" l="1"/>
  <c r="X42" i="7"/>
  <c r="B278" i="6"/>
  <c r="M277" i="6" a="1"/>
  <c r="M277" i="6" s="1"/>
  <c r="H277" i="6"/>
  <c r="I277" i="6" s="1"/>
  <c r="L277" i="6"/>
  <c r="F277" i="6"/>
  <c r="G277" i="6" s="1"/>
  <c r="K277" i="6"/>
  <c r="D277" i="6"/>
  <c r="A274" i="6"/>
  <c r="C278" i="6" l="1"/>
  <c r="B279" i="6"/>
  <c r="M278" i="6" a="1"/>
  <c r="M278" i="6" s="1"/>
  <c r="L278" i="6"/>
  <c r="F278" i="6"/>
  <c r="G278" i="6" s="1"/>
  <c r="K278" i="6"/>
  <c r="Y42" i="7"/>
  <c r="D278" i="6"/>
  <c r="D279" i="6"/>
  <c r="A275" i="6"/>
  <c r="H278" i="6" l="1"/>
  <c r="I278" i="6" s="1"/>
  <c r="C279" i="6"/>
  <c r="Z42" i="7"/>
  <c r="B280" i="6"/>
  <c r="M279" i="6" a="1"/>
  <c r="M279" i="6" s="1"/>
  <c r="K279" i="6"/>
  <c r="L279" i="6"/>
  <c r="H279" i="6"/>
  <c r="I279" i="6" s="1"/>
  <c r="F279" i="6"/>
  <c r="G279" i="6" s="1"/>
  <c r="A276" i="6"/>
  <c r="C280" i="6" l="1"/>
  <c r="D280" i="6"/>
  <c r="B281" i="6"/>
  <c r="M280" i="6" a="1"/>
  <c r="M280" i="6" s="1"/>
  <c r="H280" i="6"/>
  <c r="I280" i="6" s="1"/>
  <c r="K280" i="6"/>
  <c r="L280" i="6"/>
  <c r="F280" i="6"/>
  <c r="G280" i="6" s="1"/>
  <c r="AA42" i="7"/>
  <c r="A277" i="6"/>
  <c r="C281" i="6" l="1"/>
  <c r="AB42" i="7"/>
  <c r="B282" i="6"/>
  <c r="M281" i="6" a="1"/>
  <c r="M281" i="6" s="1"/>
  <c r="K281" i="6"/>
  <c r="H281" i="6"/>
  <c r="I281" i="6" s="1"/>
  <c r="L281" i="6"/>
  <c r="F281" i="6"/>
  <c r="G281" i="6" s="1"/>
  <c r="D281" i="6"/>
  <c r="A278" i="6"/>
  <c r="C282" i="6" l="1"/>
  <c r="B283" i="6"/>
  <c r="M282" i="6" a="1"/>
  <c r="M282" i="6" s="1"/>
  <c r="K282" i="6"/>
  <c r="L282" i="6"/>
  <c r="F282" i="6"/>
  <c r="G282" i="6" s="1"/>
  <c r="AC42" i="7"/>
  <c r="I42" i="7" s="1"/>
  <c r="V43" i="7"/>
  <c r="D282" i="6"/>
  <c r="A279" i="6"/>
  <c r="H282" i="6" l="1"/>
  <c r="I282" i="6" s="1"/>
  <c r="Q42" i="7"/>
  <c r="S42" i="7"/>
  <c r="R42" i="7"/>
  <c r="M42" i="7"/>
  <c r="L42" i="7"/>
  <c r="P42" i="7"/>
  <c r="N42" i="7"/>
  <c r="O42" i="7"/>
  <c r="C283" i="6"/>
  <c r="W43" i="7"/>
  <c r="B284" i="6"/>
  <c r="M283" i="6" a="1"/>
  <c r="M283" i="6" s="1"/>
  <c r="H283" i="6"/>
  <c r="I283" i="6" s="1"/>
  <c r="L283" i="6"/>
  <c r="K283" i="6"/>
  <c r="F283" i="6"/>
  <c r="G283" i="6" s="1"/>
  <c r="D283" i="6"/>
  <c r="A280" i="6"/>
  <c r="J42" i="7" l="1"/>
  <c r="C284" i="6"/>
  <c r="B285" i="6"/>
  <c r="M284" i="6" a="1"/>
  <c r="M284" i="6" s="1"/>
  <c r="H284" i="6"/>
  <c r="I284" i="6" s="1"/>
  <c r="K284" i="6"/>
  <c r="F284" i="6"/>
  <c r="G284" i="6" s="1"/>
  <c r="L284" i="6"/>
  <c r="X43" i="7"/>
  <c r="D284" i="6"/>
  <c r="A281" i="6"/>
  <c r="C285" i="6" l="1"/>
  <c r="Y43" i="7"/>
  <c r="B286" i="6"/>
  <c r="M285" i="6" a="1"/>
  <c r="M285" i="6" s="1"/>
  <c r="H285" i="6"/>
  <c r="I285" i="6" s="1"/>
  <c r="L285" i="6"/>
  <c r="K285" i="6"/>
  <c r="F285" i="6"/>
  <c r="G285" i="6" s="1"/>
  <c r="D285" i="6"/>
  <c r="A282" i="6"/>
  <c r="C286" i="6" l="1"/>
  <c r="B287" i="6"/>
  <c r="M286" i="6" a="1"/>
  <c r="M286" i="6" s="1"/>
  <c r="L286" i="6"/>
  <c r="K286" i="6"/>
  <c r="F286" i="6"/>
  <c r="G286" i="6" s="1"/>
  <c r="Z43" i="7"/>
  <c r="D286" i="6"/>
  <c r="A283" i="6"/>
  <c r="H286" i="6" l="1"/>
  <c r="I286" i="6" s="1"/>
  <c r="C287" i="6"/>
  <c r="AA43" i="7"/>
  <c r="B288" i="6"/>
  <c r="M287" i="6" a="1"/>
  <c r="M287" i="6" s="1"/>
  <c r="H287" i="6"/>
  <c r="I287" i="6" s="1"/>
  <c r="K287" i="6"/>
  <c r="L287" i="6"/>
  <c r="F287" i="6"/>
  <c r="G287" i="6" s="1"/>
  <c r="D287" i="6"/>
  <c r="A284" i="6"/>
  <c r="C288" i="6" l="1"/>
  <c r="B289" i="6"/>
  <c r="M288" i="6" a="1"/>
  <c r="M288" i="6" s="1"/>
  <c r="K288" i="6"/>
  <c r="L288" i="6"/>
  <c r="F288" i="6"/>
  <c r="G288" i="6" s="1"/>
  <c r="AB43" i="7"/>
  <c r="D288" i="6"/>
  <c r="A285" i="6"/>
  <c r="H288" i="6" l="1"/>
  <c r="I288" i="6" s="1"/>
  <c r="C289" i="6"/>
  <c r="AC43" i="7"/>
  <c r="I43" i="7" s="1"/>
  <c r="V44" i="7"/>
  <c r="B290" i="6"/>
  <c r="M289" i="6" a="1"/>
  <c r="M289" i="6" s="1"/>
  <c r="H289" i="6"/>
  <c r="I289" i="6" s="1"/>
  <c r="K289" i="6"/>
  <c r="L289" i="6"/>
  <c r="F289" i="6"/>
  <c r="G289" i="6" s="1"/>
  <c r="D289" i="6"/>
  <c r="A286" i="6"/>
  <c r="S43" i="7" l="1"/>
  <c r="O43" i="7"/>
  <c r="Q43" i="7"/>
  <c r="L43" i="7"/>
  <c r="M43" i="7"/>
  <c r="N43" i="7"/>
  <c r="R43" i="7"/>
  <c r="P43" i="7"/>
  <c r="C290" i="6"/>
  <c r="B291" i="6"/>
  <c r="M290" i="6" a="1"/>
  <c r="M290" i="6" s="1"/>
  <c r="L290" i="6"/>
  <c r="K290" i="6"/>
  <c r="F290" i="6"/>
  <c r="G290" i="6" s="1"/>
  <c r="W44" i="7"/>
  <c r="D290" i="6"/>
  <c r="A287" i="6"/>
  <c r="J43" i="7" l="1"/>
  <c r="H290" i="6"/>
  <c r="I290" i="6" s="1"/>
  <c r="C291" i="6"/>
  <c r="X44" i="7"/>
  <c r="B292" i="6"/>
  <c r="M291" i="6" a="1"/>
  <c r="M291" i="6" s="1"/>
  <c r="H291" i="6"/>
  <c r="I291" i="6" s="1"/>
  <c r="L291" i="6"/>
  <c r="K291" i="6"/>
  <c r="F291" i="6"/>
  <c r="G291" i="6" s="1"/>
  <c r="D291" i="6"/>
  <c r="A288" i="6"/>
  <c r="C292" i="6" l="1"/>
  <c r="B293" i="6"/>
  <c r="M292" i="6" a="1"/>
  <c r="M292" i="6" s="1"/>
  <c r="L292" i="6"/>
  <c r="K292" i="6"/>
  <c r="F292" i="6"/>
  <c r="G292" i="6" s="1"/>
  <c r="Y44" i="7"/>
  <c r="D292" i="6"/>
  <c r="A289" i="6"/>
  <c r="H292" i="6" l="1"/>
  <c r="I292" i="6" s="1"/>
  <c r="C293" i="6"/>
  <c r="Z44" i="7"/>
  <c r="B294" i="6"/>
  <c r="M293" i="6" a="1"/>
  <c r="M293" i="6" s="1"/>
  <c r="L293" i="6"/>
  <c r="F293" i="6"/>
  <c r="G293" i="6" s="1"/>
  <c r="K293" i="6"/>
  <c r="D293" i="6"/>
  <c r="A290" i="6"/>
  <c r="H293" i="6" l="1"/>
  <c r="I293" i="6" s="1"/>
  <c r="C294" i="6"/>
  <c r="B295" i="6"/>
  <c r="M294" i="6" a="1"/>
  <c r="M294" i="6" s="1"/>
  <c r="L294" i="6"/>
  <c r="F294" i="6"/>
  <c r="G294" i="6" s="1"/>
  <c r="K294" i="6"/>
  <c r="AA44" i="7"/>
  <c r="D294" i="6"/>
  <c r="A291" i="6"/>
  <c r="H294" i="6" l="1"/>
  <c r="I294" i="6" s="1"/>
  <c r="C295" i="6"/>
  <c r="AB44" i="7"/>
  <c r="B296" i="6"/>
  <c r="M295" i="6" a="1"/>
  <c r="M295" i="6" s="1"/>
  <c r="K295" i="6"/>
  <c r="H295" i="6"/>
  <c r="I295" i="6" s="1"/>
  <c r="L295" i="6"/>
  <c r="F295" i="6"/>
  <c r="G295" i="6" s="1"/>
  <c r="D295" i="6"/>
  <c r="A292" i="6"/>
  <c r="C296" i="6" l="1"/>
  <c r="B297" i="6"/>
  <c r="M296" i="6" a="1"/>
  <c r="M296" i="6" s="1"/>
  <c r="K296" i="6"/>
  <c r="L296" i="6"/>
  <c r="F296" i="6"/>
  <c r="G296" i="6" s="1"/>
  <c r="AC44" i="7"/>
  <c r="I44" i="7" s="1"/>
  <c r="V45" i="7"/>
  <c r="D296" i="6"/>
  <c r="A293" i="6"/>
  <c r="H296" i="6" l="1"/>
  <c r="I296" i="6" s="1"/>
  <c r="L44" i="7"/>
  <c r="M44" i="7"/>
  <c r="S44" i="7"/>
  <c r="N44" i="7"/>
  <c r="R44" i="7"/>
  <c r="O44" i="7"/>
  <c r="Q44" i="7"/>
  <c r="P44" i="7"/>
  <c r="C297" i="6"/>
  <c r="W45" i="7"/>
  <c r="B298" i="6"/>
  <c r="M297" i="6" a="1"/>
  <c r="M297" i="6" s="1"/>
  <c r="H297" i="6"/>
  <c r="I297" i="6" s="1"/>
  <c r="K297" i="6"/>
  <c r="L297" i="6"/>
  <c r="F297" i="6"/>
  <c r="G297" i="6" s="1"/>
  <c r="D297" i="6"/>
  <c r="A294" i="6"/>
  <c r="J44" i="7" l="1"/>
  <c r="C298" i="6"/>
  <c r="B299" i="6"/>
  <c r="M298" i="6" a="1"/>
  <c r="M298" i="6" s="1"/>
  <c r="K298" i="6"/>
  <c r="L298" i="6"/>
  <c r="F298" i="6"/>
  <c r="G298" i="6" s="1"/>
  <c r="X45" i="7"/>
  <c r="D298" i="6"/>
  <c r="A295" i="6"/>
  <c r="H298" i="6" l="1"/>
  <c r="I298" i="6" s="1"/>
  <c r="C299" i="6"/>
  <c r="Y45" i="7"/>
  <c r="B300" i="6"/>
  <c r="M299" i="6" a="1"/>
  <c r="M299" i="6" s="1"/>
  <c r="L299" i="6"/>
  <c r="K299" i="6"/>
  <c r="F299" i="6"/>
  <c r="G299" i="6" s="1"/>
  <c r="D299" i="6"/>
  <c r="A296" i="6"/>
  <c r="H299" i="6" l="1"/>
  <c r="I299" i="6" s="1"/>
  <c r="C300" i="6"/>
  <c r="B301" i="6"/>
  <c r="M300" i="6" a="1"/>
  <c r="M300" i="6" s="1"/>
  <c r="K300" i="6"/>
  <c r="L300" i="6"/>
  <c r="F300" i="6"/>
  <c r="G300" i="6" s="1"/>
  <c r="Z45" i="7"/>
  <c r="D300" i="6"/>
  <c r="A297" i="6"/>
  <c r="H300" i="6" l="1"/>
  <c r="I300" i="6" s="1"/>
  <c r="C301" i="6"/>
  <c r="AA45" i="7"/>
  <c r="B302" i="6"/>
  <c r="M301" i="6" a="1"/>
  <c r="M301" i="6" s="1"/>
  <c r="H301" i="6"/>
  <c r="I301" i="6" s="1"/>
  <c r="L301" i="6"/>
  <c r="K301" i="6"/>
  <c r="F301" i="6"/>
  <c r="G301" i="6" s="1"/>
  <c r="D301" i="6"/>
  <c r="A298" i="6"/>
  <c r="C302" i="6" l="1"/>
  <c r="B303" i="6"/>
  <c r="M302" i="6" a="1"/>
  <c r="M302" i="6" s="1"/>
  <c r="L302" i="6"/>
  <c r="K302" i="6"/>
  <c r="F302" i="6"/>
  <c r="G302" i="6" s="1"/>
  <c r="AB45" i="7"/>
  <c r="D302" i="6"/>
  <c r="A299" i="6"/>
  <c r="H302" i="6" l="1"/>
  <c r="I302" i="6" s="1"/>
  <c r="C303" i="6"/>
  <c r="AC45" i="7"/>
  <c r="I45" i="7" s="1"/>
  <c r="V46" i="7"/>
  <c r="B304" i="6"/>
  <c r="M303" i="6" a="1"/>
  <c r="M303" i="6" s="1"/>
  <c r="K303" i="6"/>
  <c r="L303" i="6"/>
  <c r="H303" i="6"/>
  <c r="I303" i="6" s="1"/>
  <c r="F303" i="6"/>
  <c r="G303" i="6" s="1"/>
  <c r="D303" i="6"/>
  <c r="A300" i="6"/>
  <c r="O45" i="7" l="1"/>
  <c r="R45" i="7"/>
  <c r="P45" i="7"/>
  <c r="L45" i="7"/>
  <c r="Q45" i="7"/>
  <c r="S45" i="7"/>
  <c r="M45" i="7"/>
  <c r="N45" i="7"/>
  <c r="C304" i="6"/>
  <c r="B305" i="6"/>
  <c r="M304" i="6" a="1"/>
  <c r="M304" i="6" s="1"/>
  <c r="H304" i="6"/>
  <c r="I304" i="6" s="1"/>
  <c r="K304" i="6"/>
  <c r="L304" i="6"/>
  <c r="F304" i="6"/>
  <c r="G304" i="6" s="1"/>
  <c r="W46" i="7"/>
  <c r="D304" i="6"/>
  <c r="A301" i="6"/>
  <c r="J45" i="7" l="1"/>
  <c r="C305" i="6"/>
  <c r="X46" i="7"/>
  <c r="B306" i="6"/>
  <c r="M305" i="6" a="1"/>
  <c r="M305" i="6" s="1"/>
  <c r="K305" i="6"/>
  <c r="L305" i="6"/>
  <c r="F305" i="6"/>
  <c r="G305" i="6" s="1"/>
  <c r="D305" i="6"/>
  <c r="A302" i="6"/>
  <c r="H305" i="6" l="1"/>
  <c r="I305" i="6" s="1"/>
  <c r="C306" i="6"/>
  <c r="B307" i="6"/>
  <c r="M306" i="6" a="1"/>
  <c r="M306" i="6" s="1"/>
  <c r="H306" i="6"/>
  <c r="K306" i="6"/>
  <c r="L306" i="6"/>
  <c r="F306" i="6"/>
  <c r="G306" i="6" s="1"/>
  <c r="Y46" i="7"/>
  <c r="D306" i="6"/>
  <c r="A303" i="6"/>
  <c r="C307" i="6" l="1"/>
  <c r="I306" i="6"/>
  <c r="Z46" i="7"/>
  <c r="B308" i="6"/>
  <c r="M307" i="6" a="1"/>
  <c r="M307" i="6" s="1"/>
  <c r="L307" i="6"/>
  <c r="K307" i="6"/>
  <c r="F307" i="6"/>
  <c r="G307" i="6" s="1"/>
  <c r="D307" i="6"/>
  <c r="A304" i="6"/>
  <c r="H307" i="6" l="1"/>
  <c r="I307" i="6" s="1"/>
  <c r="C308" i="6"/>
  <c r="B309" i="6"/>
  <c r="M308" i="6" a="1"/>
  <c r="M308" i="6" s="1"/>
  <c r="H308" i="6"/>
  <c r="I308" i="6" s="1"/>
  <c r="K308" i="6"/>
  <c r="L308" i="6"/>
  <c r="F308" i="6"/>
  <c r="G308" i="6" s="1"/>
  <c r="AA46" i="7"/>
  <c r="D308" i="6"/>
  <c r="A305" i="6"/>
  <c r="C309" i="6" l="1"/>
  <c r="AB46" i="7"/>
  <c r="B310" i="6"/>
  <c r="M309" i="6" a="1"/>
  <c r="M309" i="6" s="1"/>
  <c r="L309" i="6"/>
  <c r="F309" i="6"/>
  <c r="G309" i="6" s="1"/>
  <c r="K309" i="6"/>
  <c r="D309" i="6"/>
  <c r="A306" i="6"/>
  <c r="H309" i="6" l="1"/>
  <c r="I309" i="6" s="1"/>
  <c r="C310" i="6"/>
  <c r="B311" i="6"/>
  <c r="M310" i="6" a="1"/>
  <c r="M310" i="6" s="1"/>
  <c r="H310" i="6"/>
  <c r="I310" i="6" s="1"/>
  <c r="L310" i="6"/>
  <c r="F310" i="6"/>
  <c r="G310" i="6" s="1"/>
  <c r="K310" i="6"/>
  <c r="AC46" i="7"/>
  <c r="I46" i="7" s="1"/>
  <c r="V47" i="7"/>
  <c r="D310" i="6"/>
  <c r="A307" i="6"/>
  <c r="L46" i="7" l="1"/>
  <c r="P46" i="7"/>
  <c r="N46" i="7"/>
  <c r="S46" i="7"/>
  <c r="Q46" i="7"/>
  <c r="O46" i="7"/>
  <c r="R46" i="7"/>
  <c r="M46" i="7"/>
  <c r="C311" i="6"/>
  <c r="W47" i="7"/>
  <c r="B312" i="6"/>
  <c r="M311" i="6" a="1"/>
  <c r="M311" i="6" s="1"/>
  <c r="H311" i="6"/>
  <c r="I311" i="6" s="1"/>
  <c r="K311" i="6"/>
  <c r="L311" i="6"/>
  <c r="F311" i="6"/>
  <c r="G311" i="6" s="1"/>
  <c r="D311" i="6"/>
  <c r="A308" i="6"/>
  <c r="J46" i="7" l="1"/>
  <c r="C312" i="6"/>
  <c r="B313" i="6"/>
  <c r="M312" i="6" a="1"/>
  <c r="M312" i="6" s="1"/>
  <c r="K312" i="6"/>
  <c r="L312" i="6"/>
  <c r="F312" i="6"/>
  <c r="G312" i="6" s="1"/>
  <c r="X47" i="7"/>
  <c r="D312" i="6"/>
  <c r="A309" i="6"/>
  <c r="H312" i="6" l="1"/>
  <c r="I312" i="6" s="1"/>
  <c r="C313" i="6"/>
  <c r="Y47" i="7"/>
  <c r="B314" i="6"/>
  <c r="M313" i="6" a="1"/>
  <c r="M313" i="6" s="1"/>
  <c r="H313" i="6"/>
  <c r="I313" i="6" s="1"/>
  <c r="K313" i="6"/>
  <c r="L313" i="6"/>
  <c r="F313" i="6"/>
  <c r="G313" i="6" s="1"/>
  <c r="D313" i="6"/>
  <c r="A310" i="6"/>
  <c r="C314" i="6" l="1"/>
  <c r="B315" i="6"/>
  <c r="M314" i="6" a="1"/>
  <c r="M314" i="6" s="1"/>
  <c r="H314" i="6"/>
  <c r="I314" i="6" s="1"/>
  <c r="K314" i="6"/>
  <c r="L314" i="6"/>
  <c r="F314" i="6"/>
  <c r="G314" i="6" s="1"/>
  <c r="Z47" i="7"/>
  <c r="D314" i="6"/>
  <c r="A311" i="6"/>
  <c r="C315" i="6" l="1"/>
  <c r="AA47" i="7"/>
  <c r="B316" i="6"/>
  <c r="M315" i="6" a="1"/>
  <c r="M315" i="6" s="1"/>
  <c r="L315" i="6"/>
  <c r="K315" i="6"/>
  <c r="F315" i="6"/>
  <c r="G315" i="6" s="1"/>
  <c r="D315" i="6"/>
  <c r="A312" i="6"/>
  <c r="H315" i="6" l="1"/>
  <c r="I315" i="6" s="1"/>
  <c r="C316" i="6"/>
  <c r="B317" i="6"/>
  <c r="M316" i="6" a="1"/>
  <c r="M316" i="6" s="1"/>
  <c r="H316" i="6"/>
  <c r="I316" i="6" s="1"/>
  <c r="K316" i="6"/>
  <c r="L316" i="6"/>
  <c r="F316" i="6"/>
  <c r="G316" i="6" s="1"/>
  <c r="AB47" i="7"/>
  <c r="D316" i="6"/>
  <c r="A313" i="6"/>
  <c r="C317" i="6" l="1"/>
  <c r="AC47" i="7"/>
  <c r="I47" i="7" s="1"/>
  <c r="V48" i="7"/>
  <c r="B318" i="6"/>
  <c r="M317" i="6" a="1"/>
  <c r="M317" i="6" s="1"/>
  <c r="L317" i="6"/>
  <c r="K317" i="6"/>
  <c r="F317" i="6"/>
  <c r="G317" i="6" s="1"/>
  <c r="D317" i="6"/>
  <c r="A314" i="6"/>
  <c r="H317" i="6" l="1"/>
  <c r="I317" i="6" s="1"/>
  <c r="P47" i="7"/>
  <c r="Q47" i="7"/>
  <c r="O47" i="7"/>
  <c r="N47" i="7"/>
  <c r="R47" i="7"/>
  <c r="S47" i="7"/>
  <c r="M47" i="7"/>
  <c r="L47" i="7"/>
  <c r="C318" i="6"/>
  <c r="B319" i="6"/>
  <c r="M318" i="6" a="1"/>
  <c r="M318" i="6" s="1"/>
  <c r="H318" i="6"/>
  <c r="I318" i="6" s="1"/>
  <c r="L318" i="6"/>
  <c r="K318" i="6"/>
  <c r="F318" i="6"/>
  <c r="G318" i="6" s="1"/>
  <c r="W48" i="7"/>
  <c r="D318" i="6"/>
  <c r="A315" i="6"/>
  <c r="J47" i="7" l="1"/>
  <c r="C319" i="6"/>
  <c r="X48" i="7"/>
  <c r="B320" i="6"/>
  <c r="M319" i="6" a="1"/>
  <c r="M319" i="6" s="1"/>
  <c r="K319" i="6"/>
  <c r="L319" i="6"/>
  <c r="F319" i="6"/>
  <c r="G319" i="6" s="1"/>
  <c r="D319" i="6"/>
  <c r="A316" i="6"/>
  <c r="H319" i="6" l="1"/>
  <c r="I319" i="6" s="1"/>
  <c r="C320" i="6"/>
  <c r="B321" i="6"/>
  <c r="M320" i="6" a="1"/>
  <c r="M320" i="6" s="1"/>
  <c r="K320" i="6"/>
  <c r="L320" i="6"/>
  <c r="F320" i="6"/>
  <c r="G320" i="6" s="1"/>
  <c r="Y48" i="7"/>
  <c r="D320" i="6"/>
  <c r="A317" i="6"/>
  <c r="H320" i="6" l="1"/>
  <c r="I320" i="6" s="1"/>
  <c r="C321" i="6"/>
  <c r="Z48" i="7"/>
  <c r="B322" i="6"/>
  <c r="M321" i="6" a="1"/>
  <c r="M321" i="6" s="1"/>
  <c r="K321" i="6"/>
  <c r="H321" i="6"/>
  <c r="I321" i="6" s="1"/>
  <c r="L321" i="6"/>
  <c r="F321" i="6"/>
  <c r="G321" i="6" s="1"/>
  <c r="D321" i="6"/>
  <c r="A318" i="6"/>
  <c r="C322" i="6" l="1"/>
  <c r="B323" i="6"/>
  <c r="M322" i="6" a="1"/>
  <c r="M322" i="6" s="1"/>
  <c r="L322" i="6"/>
  <c r="K322" i="6"/>
  <c r="F322" i="6"/>
  <c r="G322" i="6" s="1"/>
  <c r="AA48" i="7"/>
  <c r="D322" i="6"/>
  <c r="A319" i="6"/>
  <c r="H322" i="6" l="1"/>
  <c r="I322" i="6" s="1"/>
  <c r="C323" i="6"/>
  <c r="AB48" i="7"/>
  <c r="B324" i="6"/>
  <c r="M323" i="6" a="1"/>
  <c r="M323" i="6" s="1"/>
  <c r="H323" i="6"/>
  <c r="I323" i="6" s="1"/>
  <c r="L323" i="6"/>
  <c r="K323" i="6"/>
  <c r="F323" i="6"/>
  <c r="G323" i="6" s="1"/>
  <c r="D323" i="6"/>
  <c r="A320" i="6"/>
  <c r="C324" i="6" l="1"/>
  <c r="B325" i="6"/>
  <c r="M324" i="6" a="1"/>
  <c r="M324" i="6" s="1"/>
  <c r="L324" i="6"/>
  <c r="K324" i="6"/>
  <c r="F324" i="6"/>
  <c r="G324" i="6" s="1"/>
  <c r="AC48" i="7"/>
  <c r="I48" i="7" s="1"/>
  <c r="V49" i="7"/>
  <c r="D324" i="6"/>
  <c r="A321" i="6"/>
  <c r="H324" i="6" l="1"/>
  <c r="I324" i="6" s="1"/>
  <c r="N48" i="7"/>
  <c r="S48" i="7"/>
  <c r="O48" i="7"/>
  <c r="R48" i="7"/>
  <c r="Q48" i="7"/>
  <c r="P48" i="7"/>
  <c r="L48" i="7"/>
  <c r="J48" i="7" s="1"/>
  <c r="M48" i="7"/>
  <c r="C325" i="6"/>
  <c r="W49" i="7"/>
  <c r="B326" i="6"/>
  <c r="M325" i="6" a="1"/>
  <c r="M325" i="6" s="1"/>
  <c r="L325" i="6"/>
  <c r="F325" i="6"/>
  <c r="G325" i="6" s="1"/>
  <c r="K325" i="6"/>
  <c r="D325" i="6"/>
  <c r="A322" i="6"/>
  <c r="H325" i="6" l="1"/>
  <c r="I325" i="6" s="1"/>
  <c r="C326" i="6"/>
  <c r="B327" i="6"/>
  <c r="M326" i="6" a="1"/>
  <c r="M326" i="6" s="1"/>
  <c r="L326" i="6"/>
  <c r="H326" i="6"/>
  <c r="I326" i="6" s="1"/>
  <c r="F326" i="6"/>
  <c r="G326" i="6" s="1"/>
  <c r="K326" i="6"/>
  <c r="X49" i="7"/>
  <c r="D326" i="6"/>
  <c r="A323" i="6"/>
  <c r="C327" i="6" l="1"/>
  <c r="Y49" i="7"/>
  <c r="B328" i="6"/>
  <c r="M327" i="6" a="1"/>
  <c r="M327" i="6" s="1"/>
  <c r="K327" i="6"/>
  <c r="L327" i="6"/>
  <c r="F327" i="6"/>
  <c r="G327" i="6" s="1"/>
  <c r="D327" i="6"/>
  <c r="A324" i="6"/>
  <c r="H327" i="6" l="1"/>
  <c r="I327" i="6" s="1"/>
  <c r="C328" i="6"/>
  <c r="B329" i="6"/>
  <c r="M328" i="6" a="1"/>
  <c r="M328" i="6" s="1"/>
  <c r="H328" i="6"/>
  <c r="I328" i="6" s="1"/>
  <c r="K328" i="6"/>
  <c r="L328" i="6"/>
  <c r="F328" i="6"/>
  <c r="G328" i="6" s="1"/>
  <c r="Z49" i="7"/>
  <c r="D328" i="6"/>
  <c r="A325" i="6"/>
  <c r="C329" i="6" l="1"/>
  <c r="AA49" i="7"/>
  <c r="B330" i="6"/>
  <c r="M329" i="6" a="1"/>
  <c r="M329" i="6" s="1"/>
  <c r="L329" i="6"/>
  <c r="K329" i="6"/>
  <c r="F329" i="6"/>
  <c r="G329" i="6" s="1"/>
  <c r="D329" i="6"/>
  <c r="A326" i="6"/>
  <c r="H329" i="6" l="1"/>
  <c r="I329" i="6" s="1"/>
  <c r="C330" i="6"/>
  <c r="B331" i="6"/>
  <c r="M330" i="6" a="1"/>
  <c r="M330" i="6" s="1"/>
  <c r="H330" i="6"/>
  <c r="I330" i="6" s="1"/>
  <c r="K330" i="6"/>
  <c r="L330" i="6"/>
  <c r="F330" i="6"/>
  <c r="G330" i="6" s="1"/>
  <c r="AB49" i="7"/>
  <c r="D330" i="6"/>
  <c r="A327" i="6"/>
  <c r="C331" i="6" l="1"/>
  <c r="AC49" i="7"/>
  <c r="I49" i="7" s="1"/>
  <c r="V50" i="7"/>
  <c r="B332" i="6"/>
  <c r="M331" i="6" a="1"/>
  <c r="M331" i="6" s="1"/>
  <c r="L331" i="6"/>
  <c r="K331" i="6"/>
  <c r="F331" i="6"/>
  <c r="G331" i="6" s="1"/>
  <c r="D331" i="6"/>
  <c r="A328" i="6"/>
  <c r="H331" i="6" l="1"/>
  <c r="I331" i="6" s="1"/>
  <c r="M49" i="7"/>
  <c r="P49" i="7"/>
  <c r="R49" i="7"/>
  <c r="Q49" i="7"/>
  <c r="S49" i="7"/>
  <c r="N49" i="7"/>
  <c r="L49" i="7"/>
  <c r="J49" i="7" s="1"/>
  <c r="O49" i="7"/>
  <c r="C332" i="6"/>
  <c r="B333" i="6"/>
  <c r="M332" i="6" a="1"/>
  <c r="M332" i="6" s="1"/>
  <c r="H332" i="6"/>
  <c r="I332" i="6" s="1"/>
  <c r="L332" i="6"/>
  <c r="K332" i="6"/>
  <c r="F332" i="6"/>
  <c r="G332" i="6" s="1"/>
  <c r="W50" i="7"/>
  <c r="D332" i="6"/>
  <c r="A329" i="6"/>
  <c r="C333" i="6" l="1"/>
  <c r="X50" i="7"/>
  <c r="B334" i="6"/>
  <c r="M333" i="6" a="1"/>
  <c r="M333" i="6" s="1"/>
  <c r="H333" i="6"/>
  <c r="I333" i="6" s="1"/>
  <c r="L333" i="6"/>
  <c r="K333" i="6"/>
  <c r="F333" i="6"/>
  <c r="G333" i="6" s="1"/>
  <c r="D333" i="6"/>
  <c r="A330" i="6"/>
  <c r="C334" i="6" l="1"/>
  <c r="B335" i="6"/>
  <c r="M334" i="6" a="1"/>
  <c r="M334" i="6" s="1"/>
  <c r="H334" i="6"/>
  <c r="I334" i="6" s="1"/>
  <c r="L334" i="6"/>
  <c r="K334" i="6"/>
  <c r="F334" i="6"/>
  <c r="G334" i="6" s="1"/>
  <c r="Y50" i="7"/>
  <c r="D334" i="6"/>
  <c r="A331" i="6"/>
  <c r="C335" i="6" l="1"/>
  <c r="Z50" i="7"/>
  <c r="B336" i="6"/>
  <c r="M335" i="6" a="1"/>
  <c r="M335" i="6" s="1"/>
  <c r="H335" i="6"/>
  <c r="I335" i="6" s="1"/>
  <c r="K335" i="6"/>
  <c r="L335" i="6"/>
  <c r="F335" i="6"/>
  <c r="G335" i="6" s="1"/>
  <c r="D335" i="6"/>
  <c r="A332" i="6"/>
  <c r="C336" i="6" l="1"/>
  <c r="B337" i="6"/>
  <c r="M336" i="6" a="1"/>
  <c r="M336" i="6" s="1"/>
  <c r="K336" i="6"/>
  <c r="L336" i="6"/>
  <c r="F336" i="6"/>
  <c r="G336" i="6" s="1"/>
  <c r="AA50" i="7"/>
  <c r="D336" i="6"/>
  <c r="A333" i="6"/>
  <c r="H336" i="6" l="1"/>
  <c r="C337" i="6"/>
  <c r="I336" i="6"/>
  <c r="AB50" i="7"/>
  <c r="B338" i="6"/>
  <c r="M337" i="6" a="1"/>
  <c r="M337" i="6" s="1"/>
  <c r="L337" i="6"/>
  <c r="K337" i="6"/>
  <c r="F337" i="6"/>
  <c r="G337" i="6" s="1"/>
  <c r="D337" i="6"/>
  <c r="A334" i="6"/>
  <c r="H337" i="6" l="1"/>
  <c r="I337" i="6" s="1"/>
  <c r="C338" i="6"/>
  <c r="B339" i="6"/>
  <c r="M338" i="6" a="1"/>
  <c r="M338" i="6" s="1"/>
  <c r="H338" i="6"/>
  <c r="I338" i="6" s="1"/>
  <c r="L338" i="6"/>
  <c r="F338" i="6"/>
  <c r="G338" i="6" s="1"/>
  <c r="K338" i="6"/>
  <c r="AC50" i="7"/>
  <c r="I50" i="7" s="1"/>
  <c r="V51" i="7"/>
  <c r="D338" i="6"/>
  <c r="A335" i="6"/>
  <c r="Q50" i="7" l="1"/>
  <c r="N50" i="7"/>
  <c r="P50" i="7"/>
  <c r="L50" i="7"/>
  <c r="R50" i="7"/>
  <c r="S50" i="7"/>
  <c r="M50" i="7"/>
  <c r="O50" i="7"/>
  <c r="C339" i="6"/>
  <c r="W51" i="7"/>
  <c r="B340" i="6"/>
  <c r="M339" i="6" a="1"/>
  <c r="M339" i="6" s="1"/>
  <c r="L339" i="6"/>
  <c r="K339" i="6"/>
  <c r="F339" i="6"/>
  <c r="G339" i="6" s="1"/>
  <c r="D339" i="6"/>
  <c r="A336" i="6"/>
  <c r="J50" i="7" l="1"/>
  <c r="H339" i="6"/>
  <c r="I339" i="6" s="1"/>
  <c r="C340" i="6"/>
  <c r="B341" i="6"/>
  <c r="M340" i="6" a="1"/>
  <c r="M340" i="6" s="1"/>
  <c r="L340" i="6"/>
  <c r="K340" i="6"/>
  <c r="F340" i="6"/>
  <c r="G340" i="6" s="1"/>
  <c r="X51" i="7"/>
  <c r="D340" i="6"/>
  <c r="A337" i="6"/>
  <c r="H340" i="6" l="1"/>
  <c r="I340" i="6" s="1"/>
  <c r="C341" i="6"/>
  <c r="Y51" i="7"/>
  <c r="B342" i="6"/>
  <c r="M341" i="6" a="1"/>
  <c r="M341" i="6" s="1"/>
  <c r="L341" i="6"/>
  <c r="K341" i="6"/>
  <c r="F341" i="6"/>
  <c r="G341" i="6" s="1"/>
  <c r="D341" i="6"/>
  <c r="A338" i="6"/>
  <c r="H341" i="6" l="1"/>
  <c r="I341" i="6" s="1"/>
  <c r="C342" i="6"/>
  <c r="B343" i="6"/>
  <c r="M342" i="6" a="1"/>
  <c r="M342" i="6" s="1"/>
  <c r="L342" i="6"/>
  <c r="K342" i="6"/>
  <c r="F342" i="6"/>
  <c r="G342" i="6" s="1"/>
  <c r="Z51" i="7"/>
  <c r="D342" i="6"/>
  <c r="A339" i="6"/>
  <c r="H342" i="6" l="1"/>
  <c r="I342" i="6" s="1"/>
  <c r="C343" i="6"/>
  <c r="AA51" i="7"/>
  <c r="B344" i="6"/>
  <c r="M343" i="6" a="1"/>
  <c r="M343" i="6" s="1"/>
  <c r="K343" i="6"/>
  <c r="L343" i="6"/>
  <c r="F343" i="6"/>
  <c r="G343" i="6" s="1"/>
  <c r="D343" i="6"/>
  <c r="A340" i="6"/>
  <c r="H343" i="6" l="1"/>
  <c r="I343" i="6" s="1"/>
  <c r="C344" i="6"/>
  <c r="B345" i="6"/>
  <c r="M344" i="6" a="1"/>
  <c r="M344" i="6" s="1"/>
  <c r="H344" i="6"/>
  <c r="I344" i="6" s="1"/>
  <c r="K344" i="6"/>
  <c r="L344" i="6"/>
  <c r="F344" i="6"/>
  <c r="G344" i="6" s="1"/>
  <c r="AB51" i="7"/>
  <c r="D344" i="6"/>
  <c r="A341" i="6"/>
  <c r="C345" i="6" l="1"/>
  <c r="AC51" i="7"/>
  <c r="I51" i="7" s="1"/>
  <c r="V52" i="7"/>
  <c r="B346" i="6"/>
  <c r="M345" i="6" a="1"/>
  <c r="M345" i="6" s="1"/>
  <c r="L345" i="6"/>
  <c r="K345" i="6"/>
  <c r="F345" i="6"/>
  <c r="G345" i="6" s="1"/>
  <c r="D345" i="6"/>
  <c r="A342" i="6"/>
  <c r="H345" i="6" l="1"/>
  <c r="I345" i="6" s="1"/>
  <c r="O51" i="7"/>
  <c r="L51" i="7"/>
  <c r="N51" i="7"/>
  <c r="Q51" i="7"/>
  <c r="R51" i="7"/>
  <c r="P51" i="7"/>
  <c r="S51" i="7"/>
  <c r="M51" i="7"/>
  <c r="C346" i="6"/>
  <c r="B347" i="6"/>
  <c r="M346" i="6" a="1"/>
  <c r="M346" i="6" s="1"/>
  <c r="H346" i="6"/>
  <c r="I346" i="6" s="1"/>
  <c r="K346" i="6"/>
  <c r="L346" i="6"/>
  <c r="F346" i="6"/>
  <c r="G346" i="6" s="1"/>
  <c r="W52" i="7"/>
  <c r="D346" i="6"/>
  <c r="A343" i="6"/>
  <c r="J51" i="7" l="1"/>
  <c r="C347" i="6"/>
  <c r="X52" i="7"/>
  <c r="B348" i="6"/>
  <c r="M347" i="6" a="1"/>
  <c r="M347" i="6" s="1"/>
  <c r="H347" i="6"/>
  <c r="I347" i="6" s="1"/>
  <c r="L347" i="6"/>
  <c r="K347" i="6"/>
  <c r="F347" i="6"/>
  <c r="G347" i="6" s="1"/>
  <c r="D347" i="6"/>
  <c r="A344" i="6"/>
  <c r="C348" i="6" l="1"/>
  <c r="B349" i="6"/>
  <c r="M348" i="6" a="1"/>
  <c r="M348" i="6" s="1"/>
  <c r="K348" i="6"/>
  <c r="L348" i="6"/>
  <c r="F348" i="6"/>
  <c r="G348" i="6" s="1"/>
  <c r="Y52" i="7"/>
  <c r="D348" i="6"/>
  <c r="A345" i="6"/>
  <c r="H348" i="6" l="1"/>
  <c r="I348" i="6" s="1"/>
  <c r="C349" i="6"/>
  <c r="Z52" i="7"/>
  <c r="B350" i="6"/>
  <c r="M349" i="6" a="1"/>
  <c r="M349" i="6" s="1"/>
  <c r="H349" i="6"/>
  <c r="I349" i="6" s="1"/>
  <c r="L349" i="6"/>
  <c r="F349" i="6"/>
  <c r="G349" i="6" s="1"/>
  <c r="K349" i="6"/>
  <c r="D349" i="6"/>
  <c r="A346" i="6"/>
  <c r="C350" i="6" l="1"/>
  <c r="B351" i="6"/>
  <c r="M350" i="6" a="1"/>
  <c r="M350" i="6" s="1"/>
  <c r="L350" i="6"/>
  <c r="F350" i="6"/>
  <c r="G350" i="6" s="1"/>
  <c r="K350" i="6"/>
  <c r="AA52" i="7"/>
  <c r="D350" i="6"/>
  <c r="A347" i="6"/>
  <c r="H350" i="6" l="1"/>
  <c r="I350" i="6" s="1"/>
  <c r="C351" i="6"/>
  <c r="AB52" i="7"/>
  <c r="B352" i="6"/>
  <c r="M351" i="6" a="1"/>
  <c r="M351" i="6" s="1"/>
  <c r="H351" i="6"/>
  <c r="I351" i="6" s="1"/>
  <c r="K351" i="6"/>
  <c r="L351" i="6"/>
  <c r="F351" i="6"/>
  <c r="G351" i="6" s="1"/>
  <c r="D351" i="6"/>
  <c r="A348" i="6"/>
  <c r="C352" i="6" l="1"/>
  <c r="B353" i="6"/>
  <c r="M352" i="6" a="1"/>
  <c r="M352" i="6" s="1"/>
  <c r="H352" i="6"/>
  <c r="I352" i="6" s="1"/>
  <c r="K352" i="6"/>
  <c r="L352" i="6"/>
  <c r="F352" i="6"/>
  <c r="G352" i="6" s="1"/>
  <c r="AC52" i="7"/>
  <c r="I52" i="7" s="1"/>
  <c r="V53" i="7"/>
  <c r="D352" i="6"/>
  <c r="A349" i="6"/>
  <c r="L52" i="7" l="1"/>
  <c r="O52" i="7"/>
  <c r="R52" i="7"/>
  <c r="P52" i="7"/>
  <c r="N52" i="7"/>
  <c r="S52" i="7"/>
  <c r="Q52" i="7"/>
  <c r="M52" i="7"/>
  <c r="C353" i="6"/>
  <c r="W53" i="7"/>
  <c r="B354" i="6"/>
  <c r="M353" i="6" a="1"/>
  <c r="M353" i="6" s="1"/>
  <c r="L353" i="6"/>
  <c r="K353" i="6"/>
  <c r="F353" i="6"/>
  <c r="G353" i="6" s="1"/>
  <c r="D353" i="6"/>
  <c r="A350" i="6"/>
  <c r="J52" i="7" l="1"/>
  <c r="H353" i="6"/>
  <c r="I353" i="6" s="1"/>
  <c r="C354" i="6"/>
  <c r="B355" i="6"/>
  <c r="M354" i="6" a="1"/>
  <c r="M354" i="6" s="1"/>
  <c r="H354" i="6"/>
  <c r="I354" i="6" s="1"/>
  <c r="L354" i="6"/>
  <c r="K354" i="6"/>
  <c r="F354" i="6"/>
  <c r="G354" i="6" s="1"/>
  <c r="X53" i="7"/>
  <c r="D354" i="6"/>
  <c r="A351" i="6"/>
  <c r="C355" i="6" l="1"/>
  <c r="Y53" i="7"/>
  <c r="B356" i="6"/>
  <c r="M355" i="6" a="1"/>
  <c r="M355" i="6" s="1"/>
  <c r="H355" i="6"/>
  <c r="I355" i="6" s="1"/>
  <c r="L355" i="6"/>
  <c r="K355" i="6"/>
  <c r="F355" i="6"/>
  <c r="G355" i="6" s="1"/>
  <c r="D355" i="6"/>
  <c r="A352" i="6"/>
  <c r="C356" i="6" l="1"/>
  <c r="B357" i="6"/>
  <c r="M356" i="6" a="1"/>
  <c r="M356" i="6" s="1"/>
  <c r="H356" i="6"/>
  <c r="I356" i="6" s="1"/>
  <c r="L356" i="6"/>
  <c r="K356" i="6"/>
  <c r="F356" i="6"/>
  <c r="G356" i="6" s="1"/>
  <c r="Z53" i="7"/>
  <c r="D356" i="6"/>
  <c r="A353" i="6"/>
  <c r="C357" i="6" l="1"/>
  <c r="AA53" i="7"/>
  <c r="B358" i="6"/>
  <c r="M357" i="6" a="1"/>
  <c r="M357" i="6" s="1"/>
  <c r="H357" i="6"/>
  <c r="I357" i="6" s="1"/>
  <c r="L357" i="6"/>
  <c r="K357" i="6"/>
  <c r="F357" i="6"/>
  <c r="G357" i="6" s="1"/>
  <c r="D357" i="6"/>
  <c r="A354" i="6"/>
  <c r="C358" i="6" l="1"/>
  <c r="B359" i="6"/>
  <c r="M358" i="6" a="1"/>
  <c r="M358" i="6" s="1"/>
  <c r="L358" i="6"/>
  <c r="K358" i="6"/>
  <c r="F358" i="6"/>
  <c r="G358" i="6" s="1"/>
  <c r="AB53" i="7"/>
  <c r="D358" i="6"/>
  <c r="A355" i="6"/>
  <c r="H358" i="6" l="1"/>
  <c r="I358" i="6" s="1"/>
  <c r="C359" i="6"/>
  <c r="AC53" i="7"/>
  <c r="I53" i="7" s="1"/>
  <c r="V54" i="7"/>
  <c r="B360" i="6"/>
  <c r="M359" i="6" a="1"/>
  <c r="M359" i="6" s="1"/>
  <c r="K359" i="6"/>
  <c r="H359" i="6"/>
  <c r="I359" i="6" s="1"/>
  <c r="L359" i="6"/>
  <c r="F359" i="6"/>
  <c r="G359" i="6" s="1"/>
  <c r="D359" i="6"/>
  <c r="A356" i="6"/>
  <c r="S53" i="7" l="1"/>
  <c r="N53" i="7"/>
  <c r="O53" i="7"/>
  <c r="P53" i="7"/>
  <c r="Q53" i="7"/>
  <c r="M53" i="7"/>
  <c r="L53" i="7"/>
  <c r="R53" i="7"/>
  <c r="C360" i="6"/>
  <c r="B361" i="6"/>
  <c r="M360" i="6" a="1"/>
  <c r="M360" i="6" s="1"/>
  <c r="K360" i="6"/>
  <c r="L360" i="6"/>
  <c r="F360" i="6"/>
  <c r="G360" i="6" s="1"/>
  <c r="V55" i="7"/>
  <c r="AA54" i="7"/>
  <c r="Y54" i="7"/>
  <c r="X54" i="7"/>
  <c r="Z54" i="7"/>
  <c r="AB54" i="7"/>
  <c r="W54" i="7"/>
  <c r="D360" i="6"/>
  <c r="A357" i="6"/>
  <c r="J53" i="7" l="1"/>
  <c r="H360" i="6"/>
  <c r="I360" i="6" s="1"/>
  <c r="C361" i="6"/>
  <c r="AC54" i="7"/>
  <c r="I54" i="7" s="1"/>
  <c r="AC55" i="7"/>
  <c r="I55" i="7" s="1"/>
  <c r="B362" i="6"/>
  <c r="M361" i="6" a="1"/>
  <c r="M361" i="6" s="1"/>
  <c r="L361" i="6"/>
  <c r="K361" i="6"/>
  <c r="F361" i="6"/>
  <c r="G361" i="6" s="1"/>
  <c r="D361" i="6"/>
  <c r="A358" i="6"/>
  <c r="H361" i="6" l="1"/>
  <c r="I361" i="6" s="1"/>
  <c r="M55" i="7"/>
  <c r="R55" i="7"/>
  <c r="Q55" i="7"/>
  <c r="P55" i="7"/>
  <c r="L55" i="7"/>
  <c r="J55" i="7" s="1"/>
  <c r="K55" i="7" s="1"/>
  <c r="O55" i="7"/>
  <c r="N55" i="7"/>
  <c r="S55" i="7"/>
  <c r="M54" i="7"/>
  <c r="L54" i="7"/>
  <c r="S54" i="7"/>
  <c r="P54" i="7"/>
  <c r="N54" i="7"/>
  <c r="Q54" i="7"/>
  <c r="R54" i="7"/>
  <c r="O54" i="7"/>
  <c r="C362" i="6"/>
  <c r="B363" i="6"/>
  <c r="M362" i="6" a="1"/>
  <c r="M362" i="6" s="1"/>
  <c r="L362" i="6"/>
  <c r="K362" i="6"/>
  <c r="F362" i="6"/>
  <c r="G362" i="6" s="1"/>
  <c r="D362" i="6"/>
  <c r="A359" i="6"/>
  <c r="J54" i="7" l="1"/>
  <c r="K54" i="7" s="1"/>
  <c r="H362" i="6"/>
  <c r="I362" i="6" s="1"/>
  <c r="C363" i="6"/>
  <c r="B364" i="6"/>
  <c r="M363" i="6" a="1"/>
  <c r="M363" i="6" s="1"/>
  <c r="L363" i="6"/>
  <c r="K363" i="6"/>
  <c r="F363" i="6"/>
  <c r="G363" i="6" s="1"/>
  <c r="D363" i="6"/>
  <c r="A360" i="6"/>
  <c r="H363" i="6" l="1"/>
  <c r="I363" i="6" s="1"/>
  <c r="C364" i="6"/>
  <c r="B365" i="6"/>
  <c r="M364" i="6" a="1"/>
  <c r="M364" i="6" s="1"/>
  <c r="H364" i="6"/>
  <c r="I364" i="6" s="1"/>
  <c r="L364" i="6"/>
  <c r="F364" i="6"/>
  <c r="G364" i="6" s="1"/>
  <c r="K364" i="6"/>
  <c r="D364" i="6"/>
  <c r="A361" i="6"/>
  <c r="C365" i="6" l="1"/>
  <c r="D54" i="7"/>
  <c r="B366" i="6"/>
  <c r="M365" i="6" a="1"/>
  <c r="M365" i="6" s="1"/>
  <c r="H365" i="6"/>
  <c r="I365" i="6" s="1"/>
  <c r="L365" i="6"/>
  <c r="F365" i="6"/>
  <c r="G365" i="6" s="1"/>
  <c r="K365" i="6"/>
  <c r="D365" i="6"/>
  <c r="A362" i="6"/>
  <c r="H54" i="7" l="1"/>
  <c r="C366" i="6"/>
  <c r="F54" i="7"/>
  <c r="M366" i="6" a="1"/>
  <c r="M366" i="6" s="1"/>
  <c r="L366" i="6"/>
  <c r="H366" i="6"/>
  <c r="I366" i="6" s="1"/>
  <c r="K366" i="6"/>
  <c r="F366" i="6"/>
  <c r="G366" i="6" s="1"/>
  <c r="B367" i="6"/>
  <c r="D366" i="6"/>
  <c r="A366" i="6"/>
  <c r="B54" i="7"/>
  <c r="A363" i="6"/>
  <c r="F53" i="7" l="1"/>
  <c r="C367" i="6"/>
  <c r="J23" i="4"/>
  <c r="E53" i="7"/>
  <c r="D53" i="7"/>
  <c r="H53" i="7"/>
  <c r="G53" i="7"/>
  <c r="M367" i="6" a="1"/>
  <c r="M367" i="6" s="1"/>
  <c r="L367" i="6"/>
  <c r="K367" i="6"/>
  <c r="F367" i="6"/>
  <c r="G367" i="6" s="1"/>
  <c r="A367" i="6"/>
  <c r="D367" i="6"/>
  <c r="C54" i="7"/>
  <c r="A364" i="6"/>
  <c r="H367" i="6" l="1"/>
  <c r="H21" i="4"/>
  <c r="I20" i="4"/>
  <c r="B55" i="7"/>
  <c r="E18" i="4"/>
  <c r="I21" i="4"/>
  <c r="E16" i="4"/>
  <c r="J12" i="4"/>
  <c r="F17" i="4"/>
  <c r="F23" i="4"/>
  <c r="F21" i="4"/>
  <c r="F13" i="4"/>
  <c r="F15" i="4"/>
  <c r="F19" i="4"/>
  <c r="F16" i="4"/>
  <c r="F22" i="4"/>
  <c r="F18" i="4"/>
  <c r="F20" i="4"/>
  <c r="F14" i="4"/>
  <c r="F12" i="4"/>
  <c r="E12" i="4"/>
  <c r="H13" i="4"/>
  <c r="D22" i="4"/>
  <c r="G22" i="4"/>
  <c r="D16" i="4"/>
  <c r="D14" i="4"/>
  <c r="C19" i="4"/>
  <c r="E19" i="4"/>
  <c r="D17" i="4"/>
  <c r="C22" i="4"/>
  <c r="C14" i="4"/>
  <c r="D12" i="4"/>
  <c r="I12" i="4"/>
  <c r="H16" i="4"/>
  <c r="G13" i="4"/>
  <c r="G16" i="4"/>
  <c r="C21" i="4"/>
  <c r="C13" i="4"/>
  <c r="I23" i="4"/>
  <c r="H23" i="4"/>
  <c r="H15" i="4"/>
  <c r="G12" i="4"/>
  <c r="E17" i="4"/>
  <c r="D23" i="4"/>
  <c r="D15" i="4"/>
  <c r="C20" i="4"/>
  <c r="C12" i="4"/>
  <c r="I22" i="4"/>
  <c r="H22" i="4"/>
  <c r="H14" i="4"/>
  <c r="H12" i="4"/>
  <c r="E23" i="4"/>
  <c r="E15" i="4"/>
  <c r="D21" i="4"/>
  <c r="D13" i="4"/>
  <c r="C18" i="4"/>
  <c r="I15" i="4"/>
  <c r="I19" i="4"/>
  <c r="H20" i="4"/>
  <c r="G23" i="4"/>
  <c r="G21" i="4"/>
  <c r="E22" i="4"/>
  <c r="E14" i="4"/>
  <c r="D20" i="4"/>
  <c r="C17" i="4"/>
  <c r="I14" i="4"/>
  <c r="I18" i="4"/>
  <c r="H19" i="4"/>
  <c r="G19" i="4"/>
  <c r="G20" i="4"/>
  <c r="E21" i="4"/>
  <c r="E13" i="4"/>
  <c r="D19" i="4"/>
  <c r="C16" i="4"/>
  <c r="I13" i="4"/>
  <c r="I17" i="4"/>
  <c r="H18" i="4"/>
  <c r="G15" i="4"/>
  <c r="G18" i="4"/>
  <c r="J20" i="4"/>
  <c r="J21" i="4"/>
  <c r="J14" i="4"/>
  <c r="J13" i="4"/>
  <c r="J15" i="4"/>
  <c r="J19" i="4"/>
  <c r="J17" i="4"/>
  <c r="J18" i="4"/>
  <c r="J22" i="4"/>
  <c r="J16" i="4"/>
  <c r="E20" i="4"/>
  <c r="D18" i="4"/>
  <c r="C23" i="4"/>
  <c r="C15" i="4"/>
  <c r="I16" i="4"/>
  <c r="H17" i="4"/>
  <c r="G14" i="4"/>
  <c r="G17" i="4"/>
  <c r="I367" i="6"/>
  <c r="G54" i="7"/>
  <c r="H2" i="7"/>
  <c r="B3" i="7"/>
  <c r="D3" i="7"/>
  <c r="F3" i="7"/>
  <c r="C3" i="7"/>
  <c r="E3" i="7"/>
  <c r="H3" i="7"/>
  <c r="G3" i="7"/>
  <c r="C4" i="7"/>
  <c r="B4" i="7"/>
  <c r="E4" i="7"/>
  <c r="D4" i="7"/>
  <c r="G4" i="7"/>
  <c r="F4" i="7"/>
  <c r="H4" i="7"/>
  <c r="B5" i="7"/>
  <c r="D5" i="7"/>
  <c r="C5" i="7"/>
  <c r="E5" i="7"/>
  <c r="F5" i="7"/>
  <c r="G5" i="7"/>
  <c r="B6" i="7"/>
  <c r="H5" i="7"/>
  <c r="C6" i="7"/>
  <c r="F6" i="7"/>
  <c r="D6" i="7"/>
  <c r="E6" i="7"/>
  <c r="G6" i="7"/>
  <c r="B7" i="7"/>
  <c r="H6" i="7"/>
  <c r="D7" i="7"/>
  <c r="C7" i="7"/>
  <c r="E7" i="7"/>
  <c r="F7" i="7"/>
  <c r="H7" i="7"/>
  <c r="G7" i="7"/>
  <c r="C8" i="7"/>
  <c r="B8" i="7"/>
  <c r="D8" i="7"/>
  <c r="F8" i="7"/>
  <c r="E8" i="7"/>
  <c r="G8" i="7"/>
  <c r="B9" i="7"/>
  <c r="H8" i="7"/>
  <c r="D9" i="7"/>
  <c r="C9" i="7"/>
  <c r="F9" i="7"/>
  <c r="E9" i="7"/>
  <c r="B10" i="7"/>
  <c r="G9" i="7"/>
  <c r="H9" i="7"/>
  <c r="C10" i="7"/>
  <c r="E10" i="7"/>
  <c r="D10" i="7"/>
  <c r="F10" i="7"/>
  <c r="G10" i="7"/>
  <c r="H10" i="7"/>
  <c r="B11" i="7"/>
  <c r="D11" i="7"/>
  <c r="C11" i="7"/>
  <c r="E11" i="7"/>
  <c r="F11" i="7"/>
  <c r="G11" i="7"/>
  <c r="H11" i="7"/>
  <c r="B12" i="7"/>
  <c r="C12" i="7"/>
  <c r="D12" i="7"/>
  <c r="E12" i="7"/>
  <c r="G12" i="7"/>
  <c r="F12" i="7"/>
  <c r="B13" i="7"/>
  <c r="H12" i="7"/>
  <c r="C13" i="7"/>
  <c r="D13" i="7"/>
  <c r="F13" i="7"/>
  <c r="E13" i="7"/>
  <c r="H13" i="7"/>
  <c r="G13" i="7"/>
  <c r="B14" i="7"/>
  <c r="C14" i="7"/>
  <c r="E14" i="7"/>
  <c r="D14" i="7"/>
  <c r="G14" i="7"/>
  <c r="F14" i="7"/>
  <c r="H14" i="7"/>
  <c r="B15" i="7"/>
  <c r="D15" i="7"/>
  <c r="F15" i="7"/>
  <c r="C15" i="7"/>
  <c r="E15" i="7"/>
  <c r="G15" i="7"/>
  <c r="B16" i="7"/>
  <c r="C16" i="7"/>
  <c r="E16" i="7"/>
  <c r="H15" i="7"/>
  <c r="D16" i="7"/>
  <c r="F16" i="7"/>
  <c r="G16" i="7"/>
  <c r="H16" i="7"/>
  <c r="B17" i="7"/>
  <c r="C17" i="7"/>
  <c r="D17" i="7"/>
  <c r="E17" i="7"/>
  <c r="F17" i="7"/>
  <c r="G17" i="7"/>
  <c r="H17" i="7"/>
  <c r="C18" i="7"/>
  <c r="B18" i="7"/>
  <c r="E18" i="7"/>
  <c r="D18" i="7"/>
  <c r="G18" i="7"/>
  <c r="F18" i="7"/>
  <c r="B19" i="7"/>
  <c r="H18" i="7"/>
  <c r="D19" i="7"/>
  <c r="C19" i="7"/>
  <c r="E19" i="7"/>
  <c r="F19" i="7"/>
  <c r="G19" i="7"/>
  <c r="H19" i="7"/>
  <c r="B20" i="7"/>
  <c r="C20" i="7"/>
  <c r="E20" i="7"/>
  <c r="D20" i="7"/>
  <c r="G20" i="7"/>
  <c r="F20" i="7"/>
  <c r="H20" i="7"/>
  <c r="B21" i="7"/>
  <c r="D21" i="7"/>
  <c r="C21" i="7"/>
  <c r="E21" i="7"/>
  <c r="F21" i="7"/>
  <c r="G21" i="7"/>
  <c r="H21" i="7"/>
  <c r="B22" i="7"/>
  <c r="C22" i="7"/>
  <c r="D22" i="7"/>
  <c r="E22" i="7"/>
  <c r="F22" i="7"/>
  <c r="G22" i="7"/>
  <c r="H22" i="7"/>
  <c r="B23" i="7"/>
  <c r="C23" i="7"/>
  <c r="D23" i="7"/>
  <c r="E23" i="7"/>
  <c r="F23" i="7"/>
  <c r="H23" i="7"/>
  <c r="G23" i="7"/>
  <c r="B24" i="7"/>
  <c r="C24" i="7"/>
  <c r="D24" i="7"/>
  <c r="E24" i="7"/>
  <c r="F24" i="7"/>
  <c r="G24" i="7"/>
  <c r="B25" i="7"/>
  <c r="H24" i="7"/>
  <c r="C25" i="7"/>
  <c r="D25" i="7"/>
  <c r="E25" i="7"/>
  <c r="F25" i="7"/>
  <c r="G25" i="7"/>
  <c r="H25" i="7"/>
  <c r="C26" i="7"/>
  <c r="B26" i="7"/>
  <c r="D26" i="7"/>
  <c r="E26" i="7"/>
  <c r="F26" i="7"/>
  <c r="G26" i="7"/>
  <c r="B27" i="7"/>
  <c r="H26" i="7"/>
  <c r="C27" i="7"/>
  <c r="D27" i="7"/>
  <c r="E27" i="7"/>
  <c r="F27" i="7"/>
  <c r="H27" i="7"/>
  <c r="G27" i="7"/>
  <c r="B28" i="7"/>
  <c r="C28" i="7"/>
  <c r="D28" i="7"/>
  <c r="E28" i="7"/>
  <c r="G28" i="7"/>
  <c r="F28" i="7"/>
  <c r="B29" i="7"/>
  <c r="H28" i="7"/>
  <c r="C29" i="7"/>
  <c r="D29" i="7"/>
  <c r="E29" i="7"/>
  <c r="F29" i="7"/>
  <c r="H29" i="7"/>
  <c r="G29" i="7"/>
  <c r="B30" i="7"/>
  <c r="C30" i="7"/>
  <c r="E30" i="7"/>
  <c r="D30" i="7"/>
  <c r="G30" i="7"/>
  <c r="F30" i="7"/>
  <c r="H30" i="7"/>
  <c r="B31" i="7"/>
  <c r="C31" i="7"/>
  <c r="D31" i="7"/>
  <c r="F31" i="7"/>
  <c r="E31" i="7"/>
  <c r="H31" i="7"/>
  <c r="G31" i="7"/>
  <c r="B32" i="7"/>
  <c r="C32" i="7"/>
  <c r="D32" i="7"/>
  <c r="E32" i="7"/>
  <c r="G32" i="7"/>
  <c r="F32" i="7"/>
  <c r="H32" i="7"/>
  <c r="B33" i="7"/>
  <c r="C33" i="7"/>
  <c r="D33" i="7"/>
  <c r="E33" i="7"/>
  <c r="F33" i="7"/>
  <c r="H33" i="7"/>
  <c r="G33" i="7"/>
  <c r="B34" i="7"/>
  <c r="C34" i="7"/>
  <c r="D34" i="7"/>
  <c r="E34" i="7"/>
  <c r="F34" i="7"/>
  <c r="G34" i="7"/>
  <c r="B35" i="7"/>
  <c r="H34" i="7"/>
  <c r="D35" i="7"/>
  <c r="C35" i="7"/>
  <c r="F35" i="7"/>
  <c r="E35" i="7"/>
  <c r="G35" i="7"/>
  <c r="H35" i="7"/>
  <c r="B36" i="7"/>
  <c r="C36" i="7"/>
  <c r="E36" i="7"/>
  <c r="D36" i="7"/>
  <c r="F36" i="7"/>
  <c r="G36" i="7"/>
  <c r="H36" i="7"/>
  <c r="B37" i="7"/>
  <c r="D37" i="7"/>
  <c r="C37" i="7"/>
  <c r="E37" i="7"/>
  <c r="F37" i="7"/>
  <c r="H37" i="7"/>
  <c r="G37" i="7"/>
  <c r="C38" i="7"/>
  <c r="B38" i="7"/>
  <c r="E38" i="7"/>
  <c r="D38" i="7"/>
  <c r="G38" i="7"/>
  <c r="F38" i="7"/>
  <c r="B39" i="7"/>
  <c r="H38" i="7"/>
  <c r="D39" i="7"/>
  <c r="C39" i="7"/>
  <c r="F39" i="7"/>
  <c r="E39" i="7"/>
  <c r="H39" i="7"/>
  <c r="G39" i="7"/>
  <c r="B40" i="7"/>
  <c r="C40" i="7"/>
  <c r="E40" i="7"/>
  <c r="D40" i="7"/>
  <c r="G40" i="7"/>
  <c r="F40" i="7"/>
  <c r="H40" i="7"/>
  <c r="B41" i="7"/>
  <c r="C41" i="7"/>
  <c r="D41" i="7"/>
  <c r="E41" i="7"/>
  <c r="F41" i="7"/>
  <c r="H41" i="7"/>
  <c r="G41" i="7"/>
  <c r="C42" i="7"/>
  <c r="B42" i="7"/>
  <c r="D42" i="7"/>
  <c r="E42" i="7"/>
  <c r="F42" i="7"/>
  <c r="G42" i="7"/>
  <c r="B43" i="7"/>
  <c r="H42" i="7"/>
  <c r="D43" i="7"/>
  <c r="C43" i="7"/>
  <c r="E43" i="7"/>
  <c r="F43" i="7"/>
  <c r="G43" i="7"/>
  <c r="H43" i="7"/>
  <c r="C44" i="7"/>
  <c r="B44" i="7"/>
  <c r="E44" i="7"/>
  <c r="D44" i="7"/>
  <c r="G44" i="7"/>
  <c r="F44" i="7"/>
  <c r="H44" i="7"/>
  <c r="B45" i="7"/>
  <c r="C45" i="7"/>
  <c r="D45" i="7"/>
  <c r="F45" i="7"/>
  <c r="E45" i="7"/>
  <c r="H45" i="7"/>
  <c r="G45" i="7"/>
  <c r="B46" i="7"/>
  <c r="C46" i="7"/>
  <c r="E46" i="7"/>
  <c r="D46" i="7"/>
  <c r="F46" i="7"/>
  <c r="G46" i="7"/>
  <c r="B47" i="7"/>
  <c r="H46" i="7"/>
  <c r="D47" i="7"/>
  <c r="C47" i="7"/>
  <c r="F47" i="7"/>
  <c r="E47" i="7"/>
  <c r="H47" i="7"/>
  <c r="G47" i="7"/>
  <c r="B48" i="7"/>
  <c r="C48" i="7"/>
  <c r="E48" i="7"/>
  <c r="D48" i="7"/>
  <c r="G48" i="7"/>
  <c r="F48" i="7"/>
  <c r="B49" i="7"/>
  <c r="H48" i="7"/>
  <c r="D49" i="7"/>
  <c r="C49" i="7"/>
  <c r="E49" i="7"/>
  <c r="F49" i="7"/>
  <c r="G49" i="7"/>
  <c r="H49" i="7"/>
  <c r="B50" i="7"/>
  <c r="C50" i="7"/>
  <c r="D50" i="7"/>
  <c r="E50" i="7"/>
  <c r="F50" i="7"/>
  <c r="G50" i="7"/>
  <c r="H50" i="7"/>
  <c r="B51" i="7"/>
  <c r="C51" i="7"/>
  <c r="D51" i="7"/>
  <c r="E51" i="7"/>
  <c r="F51" i="7"/>
  <c r="G51" i="7"/>
  <c r="H51" i="7"/>
  <c r="C52" i="7"/>
  <c r="B52" i="7"/>
  <c r="E52" i="7"/>
  <c r="D52" i="7"/>
  <c r="G52" i="7"/>
  <c r="F52" i="7"/>
  <c r="B53" i="7"/>
  <c r="H52" i="7"/>
  <c r="C53" i="7"/>
  <c r="D2" i="7"/>
  <c r="E54" i="7"/>
  <c r="A365" i="6"/>
  <c r="K12" i="4" l="1"/>
  <c r="L12" i="4" s="1"/>
  <c r="F8" i="4"/>
  <c r="G8" i="4" s="1"/>
  <c r="I24" i="4"/>
  <c r="K13" i="4"/>
  <c r="L13" i="4" s="1"/>
  <c r="K14" i="4"/>
  <c r="L14" i="4" s="1"/>
  <c r="K15" i="4"/>
  <c r="L15" i="4" s="1"/>
  <c r="K16" i="4"/>
  <c r="L16" i="4" s="1"/>
  <c r="K17" i="4"/>
  <c r="L17" i="4" s="1"/>
  <c r="K18" i="4"/>
  <c r="L18" i="4" s="1"/>
  <c r="K19" i="4"/>
  <c r="L19" i="4" s="1"/>
  <c r="K20" i="4"/>
  <c r="L20" i="4" s="1"/>
  <c r="K21" i="4"/>
  <c r="L21" i="4" s="1"/>
  <c r="K22" i="4"/>
  <c r="L22" i="4" s="1"/>
  <c r="K23" i="4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G24" i="4"/>
  <c r="F7" i="4" s="1"/>
  <c r="G7" i="4" s="1"/>
  <c r="F24" i="4"/>
  <c r="F6" i="4" s="1"/>
  <c r="G6" i="4" s="1"/>
  <c r="E24" i="4"/>
  <c r="H24" i="4"/>
  <c r="D24" i="4"/>
  <c r="C24" i="4"/>
  <c r="K24" i="4" l="1"/>
  <c r="L23" i="4"/>
  <c r="L24" i="4" s="1"/>
  <c r="J2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<sst xmlns="http://schemas.openxmlformats.org/spreadsheetml/2006/main" count="148" uniqueCount="100">
  <si>
    <t>Day</t>
  </si>
  <si>
    <t>Date</t>
  </si>
  <si>
    <t>Week</t>
  </si>
  <si>
    <t>Month</t>
  </si>
  <si>
    <t>Time</t>
  </si>
  <si>
    <t>Activity</t>
  </si>
  <si>
    <t>Duration</t>
  </si>
  <si>
    <t>Comments</t>
  </si>
  <si>
    <t>Start</t>
  </si>
  <si>
    <t>Break</t>
  </si>
  <si>
    <t>Training</t>
  </si>
  <si>
    <t>Type</t>
  </si>
  <si>
    <t>TypeAuto</t>
  </si>
  <si>
    <t>TH</t>
  </si>
  <si>
    <t>RH(Intermediate)</t>
  </si>
  <si>
    <t>Breaks</t>
  </si>
  <si>
    <t>End</t>
  </si>
  <si>
    <t>DO</t>
  </si>
  <si>
    <t>H</t>
  </si>
  <si>
    <t>PH</t>
  </si>
  <si>
    <t>ESA public holiday</t>
  </si>
  <si>
    <t>Monday</t>
  </si>
  <si>
    <t>Tuesday</t>
  </si>
  <si>
    <t>Wednesday</t>
  </si>
  <si>
    <t>Thursday</t>
  </si>
  <si>
    <t>Friday</t>
  </si>
  <si>
    <t>Saturday</t>
  </si>
  <si>
    <t>Sunday</t>
  </si>
  <si>
    <t>Thrusday</t>
  </si>
  <si>
    <t>January</t>
  </si>
  <si>
    <t>Enero</t>
  </si>
  <si>
    <t>February</t>
  </si>
  <si>
    <t>Febrero</t>
  </si>
  <si>
    <t>March</t>
  </si>
  <si>
    <t>Marzo</t>
  </si>
  <si>
    <t>April</t>
  </si>
  <si>
    <t>Abril</t>
  </si>
  <si>
    <t>May</t>
  </si>
  <si>
    <t>Mayo</t>
  </si>
  <si>
    <t>June</t>
  </si>
  <si>
    <t>Junio</t>
  </si>
  <si>
    <t>July</t>
  </si>
  <si>
    <t>Julio</t>
  </si>
  <si>
    <t>August</t>
  </si>
  <si>
    <t>Agosto</t>
  </si>
  <si>
    <t>September</t>
  </si>
  <si>
    <t>Septiembre</t>
  </si>
  <si>
    <t>October</t>
  </si>
  <si>
    <t>Octubre</t>
  </si>
  <si>
    <t>November</t>
  </si>
  <si>
    <t>Noviembre</t>
  </si>
  <si>
    <t>December</t>
  </si>
  <si>
    <t>Diciembre</t>
  </si>
  <si>
    <t>Year</t>
  </si>
  <si>
    <t>Contract</t>
  </si>
  <si>
    <t>hours/day</t>
  </si>
  <si>
    <t>Total</t>
  </si>
  <si>
    <t>Holidays</t>
  </si>
  <si>
    <t>days</t>
  </si>
  <si>
    <t>Days off</t>
  </si>
  <si>
    <t>Overtime</t>
  </si>
  <si>
    <t>hours</t>
  </si>
  <si>
    <t>Working</t>
  </si>
  <si>
    <t>Weekend</t>
  </si>
  <si>
    <t>Public Holiday</t>
  </si>
  <si>
    <t>Holiday</t>
  </si>
  <si>
    <t>Day Off</t>
  </si>
  <si>
    <t>Sickness</t>
  </si>
  <si>
    <t>Not Applicable</t>
  </si>
  <si>
    <t>Theoretical Hours</t>
  </si>
  <si>
    <t>Real Hours</t>
  </si>
  <si>
    <t>W</t>
  </si>
  <si>
    <t>WE</t>
  </si>
  <si>
    <t>S</t>
  </si>
  <si>
    <t>N/A</t>
  </si>
  <si>
    <t>Remaining</t>
  </si>
  <si>
    <t>Work time</t>
  </si>
  <si>
    <t>Issue</t>
  </si>
  <si>
    <t>Off-work time</t>
  </si>
  <si>
    <t>Project 1</t>
  </si>
  <si>
    <t>Project 2</t>
  </si>
  <si>
    <t>Project 3</t>
  </si>
  <si>
    <t>General</t>
  </si>
  <si>
    <t>To track personal projects.</t>
  </si>
  <si>
    <t>These activities count towards the daily working time.</t>
  </si>
  <si>
    <t>Not applicable to project: admin, emailing… (can be renamed)</t>
  </si>
  <si>
    <t>IT downtimes, external problems… (can be renamed)</t>
  </si>
  <si>
    <t>Rename project name and this description as needed</t>
  </si>
  <si>
    <t>Personal 1</t>
  </si>
  <si>
    <t>Personal 2</t>
  </si>
  <si>
    <t>For example language training, hobbies…</t>
  </si>
  <si>
    <t>For</t>
  </si>
  <si>
    <t>Used</t>
  </si>
  <si>
    <t>this year</t>
  </si>
  <si>
    <t>(can be renamed)</t>
  </si>
  <si>
    <t>Do not change</t>
  </si>
  <si>
    <t>The system to report working hours for many companies does not reflect the real hours that have been used.</t>
  </si>
  <si>
    <t>Additionally, systems that control holidays and other days are not efficient or user friendly.</t>
  </si>
  <si>
    <t>This timesheet is intended to track your working hours and holidays independently of any company system.</t>
  </si>
  <si>
    <t>Most of the sheets are automated, so you can select only the cells that you might need to modified.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</si>
</sst>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h]:mm"/>
    <numFmt numFmtId="165" formatCode="h:mm;@"/>
    <numFmt numFmtId="166" formatCode="d"/>
    <numFmt numFmtId="167" formatCode="d\ mmm"/>
    <numFmt numFmtId="168" formatCode="mmm"/>
    <numFmt numFmtId="169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AE7DA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theme="1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9" fontId="2" fillId="0" borderId="0" xfId="0" applyNumberFormat="1" applyFont="1"/>
    <xf numFmtId="165" fontId="2" fillId="0" borderId="0" xfId="0" applyNumberFormat="1" applyFont="1"/>
    <xf numFmtId="167" fontId="2" fillId="0" borderId="0" xfId="0" applyNumberFormat="1" applyFont="1"/>
    <xf numFmtId="164" fontId="2" fillId="0" borderId="0" xfId="0" applyNumberFormat="1" applyFont="1"/>
    <xf numFmtId="0" fontId="1" fillId="2" borderId="19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1" fillId="6" borderId="15" xfId="0" applyFont="1" applyFill="1" applyBorder="1" applyAlignment="1">
      <alignment horizontal="center"/>
    </xf>
    <xf numFmtId="3" fontId="2" fillId="5" borderId="25" xfId="0" applyNumberFormat="1" applyFont="1" applyFill="1" applyBorder="1" applyAlignment="1">
      <alignment horizontal="center"/>
    </xf>
    <xf numFmtId="3" fontId="2" fillId="5" borderId="26" xfId="0" applyNumberFormat="1" applyFont="1" applyFill="1" applyBorder="1" applyAlignment="1">
      <alignment horizontal="center"/>
    </xf>
    <xf numFmtId="3" fontId="2" fillId="0" borderId="17" xfId="0" applyNumberFormat="1" applyFont="1" applyBorder="1" applyAlignment="1">
      <alignment horizontal="center"/>
    </xf>
    <xf numFmtId="3" fontId="2" fillId="0" borderId="0" xfId="0" applyNumberFormat="1" applyFont="1" applyAlignment="1">
      <alignment horizontal="center"/>
    </xf>
    <xf numFmtId="3" fontId="2" fillId="5" borderId="17" xfId="0" applyNumberFormat="1" applyFont="1" applyFill="1" applyBorder="1" applyAlignment="1">
      <alignment horizontal="center"/>
    </xf>
    <xf numFmtId="3" fontId="2" fillId="5" borderId="0" xfId="0" applyNumberFormat="1" applyFont="1" applyFill="1" applyAlignment="1">
      <alignment horizontal="center"/>
    </xf>
    <xf numFmtId="3" fontId="2" fillId="7" borderId="22" xfId="0" applyNumberFormat="1" applyFont="1" applyFill="1" applyBorder="1" applyAlignment="1">
      <alignment horizontal="center"/>
    </xf>
    <xf numFmtId="3" fontId="2" fillId="7" borderId="23" xfId="0" applyNumberFormat="1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0" fontId="1" fillId="12" borderId="28" xfId="0" applyFont="1" applyFill="1" applyBorder="1" applyAlignment="1">
      <alignment horizontal="center"/>
    </xf>
    <xf numFmtId="0" fontId="1" fillId="12" borderId="29" xfId="0" applyFont="1" applyFill="1" applyBorder="1" applyAlignment="1">
      <alignment horizontal="center"/>
    </xf>
    <xf numFmtId="0" fontId="1" fillId="12" borderId="30" xfId="0" applyFont="1" applyFill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6" fontId="2" fillId="0" borderId="10" xfId="0" applyNumberFormat="1" applyFont="1" applyBorder="1" applyAlignment="1">
      <alignment horizontal="center"/>
    </xf>
    <xf numFmtId="0" fontId="1" fillId="12" borderId="31" xfId="0" applyFont="1" applyFill="1" applyBorder="1" applyAlignment="1">
      <alignment horizontal="center"/>
    </xf>
    <xf numFmtId="166" fontId="2" fillId="0" borderId="4" xfId="0" applyNumberFormat="1" applyFont="1" applyBorder="1" applyAlignment="1">
      <alignment horizontal="center"/>
    </xf>
    <xf numFmtId="166" fontId="2" fillId="0" borderId="7" xfId="0" applyNumberFormat="1" applyFont="1" applyBorder="1" applyAlignment="1">
      <alignment horizontal="center"/>
    </xf>
    <xf numFmtId="166" fontId="2" fillId="0" borderId="11" xfId="0" applyNumberFormat="1" applyFont="1" applyBorder="1" applyAlignment="1">
      <alignment horizontal="center"/>
    </xf>
    <xf numFmtId="166" fontId="2" fillId="0" borderId="5" xfId="0" applyNumberFormat="1" applyFont="1" applyBorder="1" applyAlignment="1">
      <alignment horizontal="center"/>
    </xf>
    <xf numFmtId="166" fontId="2" fillId="0" borderId="6" xfId="0" applyNumberFormat="1" applyFont="1" applyBorder="1" applyAlignment="1">
      <alignment horizontal="center"/>
    </xf>
    <xf numFmtId="166" fontId="2" fillId="0" borderId="8" xfId="0" applyNumberFormat="1" applyFont="1" applyBorder="1" applyAlignment="1">
      <alignment horizontal="center"/>
    </xf>
    <xf numFmtId="166" fontId="2" fillId="0" borderId="9" xfId="0" applyNumberFormat="1" applyFont="1" applyBorder="1" applyAlignment="1">
      <alignment horizontal="center"/>
    </xf>
    <xf numFmtId="166" fontId="2" fillId="0" borderId="12" xfId="0" applyNumberFormat="1" applyFont="1" applyBorder="1" applyAlignment="1">
      <alignment horizontal="center"/>
    </xf>
    <xf numFmtId="166" fontId="2" fillId="0" borderId="13" xfId="0" applyNumberFormat="1" applyFont="1" applyBorder="1" applyAlignment="1">
      <alignment horizontal="center"/>
    </xf>
    <xf numFmtId="0" fontId="2" fillId="4" borderId="2" xfId="0" applyFont="1" applyFill="1" applyBorder="1"/>
    <xf numFmtId="0" fontId="2" fillId="0" borderId="17" xfId="0" applyFont="1" applyBorder="1" applyAlignment="1">
      <alignment horizontal="right"/>
    </xf>
    <xf numFmtId="0" fontId="2" fillId="4" borderId="20" xfId="0" applyFont="1" applyFill="1" applyBorder="1"/>
    <xf numFmtId="0" fontId="1" fillId="2" borderId="2" xfId="0" applyFont="1" applyFill="1" applyBorder="1"/>
    <xf numFmtId="165" fontId="2" fillId="0" borderId="17" xfId="0" applyNumberFormat="1" applyFont="1" applyBorder="1"/>
    <xf numFmtId="165" fontId="2" fillId="0" borderId="18" xfId="0" applyNumberFormat="1" applyFont="1" applyBorder="1"/>
    <xf numFmtId="0" fontId="3" fillId="6" borderId="24" xfId="0" applyFont="1" applyFill="1" applyBorder="1"/>
    <xf numFmtId="0" fontId="3" fillId="6" borderId="0" xfId="0" applyFont="1" applyFill="1" applyAlignment="1">
      <alignment horizontal="center"/>
    </xf>
    <xf numFmtId="0" fontId="2" fillId="15" borderId="5" xfId="0" applyFont="1" applyFill="1" applyBorder="1" applyAlignment="1">
      <alignment horizontal="center"/>
    </xf>
    <xf numFmtId="0" fontId="2" fillId="15" borderId="8" xfId="0" applyFont="1" applyFill="1" applyBorder="1" applyAlignment="1">
      <alignment horizontal="center"/>
    </xf>
    <xf numFmtId="0" fontId="2" fillId="15" borderId="12" xfId="0" applyFont="1" applyFill="1" applyBorder="1" applyAlignment="1">
      <alignment horizontal="center"/>
    </xf>
    <xf numFmtId="0" fontId="1" fillId="6" borderId="14" xfId="0" applyFont="1" applyFill="1" applyBorder="1"/>
    <xf numFmtId="0" fontId="1" fillId="6" borderId="37" xfId="0" applyFont="1" applyFill="1" applyBorder="1" applyAlignment="1">
      <alignment horizontal="center"/>
    </xf>
    <xf numFmtId="3" fontId="2" fillId="0" borderId="38" xfId="0" applyNumberFormat="1" applyFont="1" applyBorder="1" applyAlignment="1">
      <alignment horizontal="center"/>
    </xf>
    <xf numFmtId="3" fontId="2" fillId="5" borderId="38" xfId="0" applyNumberFormat="1" applyFont="1" applyFill="1" applyBorder="1" applyAlignment="1">
      <alignment horizontal="center"/>
    </xf>
    <xf numFmtId="3" fontId="2" fillId="7" borderId="39" xfId="0" applyNumberFormat="1" applyFont="1" applyFill="1" applyBorder="1" applyAlignment="1">
      <alignment horizontal="center"/>
    </xf>
    <xf numFmtId="0" fontId="3" fillId="6" borderId="33" xfId="0" applyFont="1" applyFill="1" applyBorder="1" applyAlignment="1">
      <alignment horizontal="center"/>
    </xf>
    <xf numFmtId="0" fontId="3" fillId="6" borderId="40" xfId="0" applyFont="1" applyFill="1" applyBorder="1" applyAlignment="1">
      <alignment horizontal="center"/>
    </xf>
    <xf numFmtId="3" fontId="2" fillId="5" borderId="37" xfId="0" applyNumberFormat="1" applyFont="1" applyFill="1" applyBorder="1" applyAlignment="1">
      <alignment horizontal="center"/>
    </xf>
    <xf numFmtId="0" fontId="2" fillId="5" borderId="25" xfId="0" applyFont="1" applyFill="1" applyBorder="1" applyAlignment="1">
      <alignment horizontal="right"/>
    </xf>
    <xf numFmtId="0" fontId="2" fillId="5" borderId="26" xfId="0" applyFont="1" applyFill="1" applyBorder="1"/>
    <xf numFmtId="0" fontId="2" fillId="5" borderId="26" xfId="0" applyFont="1" applyFill="1" applyBorder="1" applyAlignment="1">
      <alignment horizontal="center"/>
    </xf>
    <xf numFmtId="165" fontId="2" fillId="5" borderId="26" xfId="0" applyNumberFormat="1" applyFont="1" applyFill="1" applyBorder="1"/>
    <xf numFmtId="165" fontId="2" fillId="5" borderId="25" xfId="0" applyNumberFormat="1" applyFont="1" applyFill="1" applyBorder="1"/>
    <xf numFmtId="165" fontId="2" fillId="5" borderId="41" xfId="0" applyNumberFormat="1" applyFont="1" applyFill="1" applyBorder="1"/>
    <xf numFmtId="0" fontId="2" fillId="5" borderId="17" xfId="0" applyFont="1" applyFill="1" applyBorder="1" applyAlignment="1">
      <alignment horizontal="right"/>
    </xf>
    <xf numFmtId="0" fontId="2" fillId="5" borderId="0" xfId="0" applyFont="1" applyFill="1"/>
    <xf numFmtId="0" fontId="2" fillId="5" borderId="0" xfId="0" applyFont="1" applyFill="1" applyAlignment="1">
      <alignment horizontal="center"/>
    </xf>
    <xf numFmtId="165" fontId="2" fillId="5" borderId="0" xfId="0" applyNumberFormat="1" applyFont="1" applyFill="1"/>
    <xf numFmtId="165" fontId="2" fillId="5" borderId="17" xfId="0" applyNumberFormat="1" applyFont="1" applyFill="1" applyBorder="1"/>
    <xf numFmtId="165" fontId="2" fillId="5" borderId="18" xfId="0" applyNumberFormat="1" applyFont="1" applyFill="1" applyBorder="1"/>
    <xf numFmtId="0" fontId="2" fillId="13" borderId="17" xfId="0" applyFont="1" applyFill="1" applyBorder="1" applyAlignment="1">
      <alignment horizontal="right"/>
    </xf>
    <xf numFmtId="0" fontId="2" fillId="13" borderId="0" xfId="0" applyFont="1" applyFill="1"/>
    <xf numFmtId="0" fontId="2" fillId="13" borderId="0" xfId="0" applyFont="1" applyFill="1" applyAlignment="1">
      <alignment horizontal="center"/>
    </xf>
    <xf numFmtId="165" fontId="2" fillId="13" borderId="0" xfId="0" applyNumberFormat="1" applyFont="1" applyFill="1"/>
    <xf numFmtId="165" fontId="2" fillId="13" borderId="17" xfId="0" applyNumberFormat="1" applyFont="1" applyFill="1" applyBorder="1"/>
    <xf numFmtId="165" fontId="2" fillId="13" borderId="18" xfId="0" applyNumberFormat="1" applyFont="1" applyFill="1" applyBorder="1"/>
    <xf numFmtId="0" fontId="2" fillId="0" borderId="33" xfId="0" applyFont="1" applyBorder="1" applyAlignment="1">
      <alignment horizontal="right"/>
    </xf>
    <xf numFmtId="0" fontId="2" fillId="0" borderId="34" xfId="0" applyFont="1" applyBorder="1"/>
    <xf numFmtId="0" fontId="2" fillId="0" borderId="34" xfId="0" applyFont="1" applyBorder="1" applyAlignment="1">
      <alignment horizontal="center"/>
    </xf>
    <xf numFmtId="165" fontId="2" fillId="0" borderId="34" xfId="0" applyNumberFormat="1" applyFont="1" applyBorder="1"/>
    <xf numFmtId="165" fontId="2" fillId="0" borderId="33" xfId="0" applyNumberFormat="1" applyFont="1" applyBorder="1"/>
    <xf numFmtId="165" fontId="2" fillId="0" borderId="27" xfId="0" applyNumberFormat="1" applyFont="1" applyBorder="1"/>
    <xf numFmtId="168" fontId="2" fillId="5" borderId="17" xfId="0" applyNumberFormat="1" applyFont="1" applyFill="1" applyBorder="1" applyAlignment="1">
      <alignment horizontal="center"/>
    </xf>
    <xf numFmtId="169" fontId="2" fillId="15" borderId="4" xfId="0" applyNumberFormat="1" applyFont="1" applyFill="1" applyBorder="1"/>
    <xf numFmtId="169" fontId="2" fillId="15" borderId="7" xfId="0" applyNumberFormat="1" applyFont="1" applyFill="1" applyBorder="1"/>
    <xf numFmtId="169" fontId="2" fillId="14" borderId="8" xfId="0" applyNumberFormat="1" applyFont="1" applyFill="1" applyBorder="1"/>
    <xf numFmtId="169" fontId="2" fillId="14" borderId="1" xfId="0" applyNumberFormat="1" applyFont="1" applyFill="1" applyBorder="1"/>
    <xf numFmtId="169" fontId="2" fillId="14" borderId="7" xfId="0" applyNumberFormat="1" applyFont="1" applyFill="1" applyBorder="1"/>
    <xf numFmtId="169" fontId="2" fillId="14" borderId="9" xfId="0" applyNumberFormat="1" applyFont="1" applyFill="1" applyBorder="1"/>
    <xf numFmtId="169" fontId="2" fillId="15" borderId="11" xfId="0" applyNumberFormat="1" applyFont="1" applyFill="1" applyBorder="1"/>
    <xf numFmtId="169" fontId="2" fillId="14" borderId="12" xfId="0" applyNumberFormat="1" applyFont="1" applyFill="1" applyBorder="1"/>
    <xf numFmtId="169" fontId="2" fillId="14" borderId="10" xfId="0" applyNumberFormat="1" applyFont="1" applyFill="1" applyBorder="1"/>
    <xf numFmtId="169" fontId="2" fillId="14" borderId="11" xfId="0" applyNumberFormat="1" applyFont="1" applyFill="1" applyBorder="1"/>
    <xf numFmtId="169" fontId="2" fillId="14" borderId="13" xfId="0" applyNumberFormat="1" applyFont="1" applyFill="1" applyBorder="1"/>
    <xf numFmtId="168" fontId="2" fillId="0" borderId="17" xfId="0" applyNumberFormat="1" applyFont="1" applyBorder="1" applyAlignment="1">
      <alignment horizontal="center"/>
    </xf>
    <xf numFmtId="167" fontId="2" fillId="5" borderId="26" xfId="0" applyNumberFormat="1" applyFont="1" applyFill="1" applyBorder="1"/>
    <xf numFmtId="167" fontId="2" fillId="5" borderId="0" xfId="0" applyNumberFormat="1" applyFont="1" applyFill="1"/>
    <xf numFmtId="167" fontId="2" fillId="13" borderId="0" xfId="0" applyNumberFormat="1" applyFont="1" applyFill="1"/>
    <xf numFmtId="167" fontId="2" fillId="0" borderId="34" xfId="0" applyNumberFormat="1" applyFont="1" applyBorder="1"/>
    <xf numFmtId="0" fontId="1" fillId="6" borderId="32" xfId="0" applyFont="1" applyFill="1" applyBorder="1" applyAlignment="1">
      <alignment horizontal="center"/>
    </xf>
    <xf numFmtId="0" fontId="1" fillId="2" borderId="35" xfId="0" applyFont="1" applyFill="1" applyBorder="1"/>
    <xf numFmtId="0" fontId="1" fillId="2" borderId="24" xfId="0" applyFont="1" applyFill="1" applyBorder="1"/>
    <xf numFmtId="0" fontId="2" fillId="4" borderId="24" xfId="0" applyFont="1" applyFill="1" applyBorder="1"/>
    <xf numFmtId="169" fontId="2" fillId="4" borderId="24" xfId="0" applyNumberFormat="1" applyFont="1" applyFill="1" applyBorder="1"/>
    <xf numFmtId="0" fontId="1" fillId="16" borderId="14" xfId="0" applyFont="1" applyFill="1" applyBorder="1" applyAlignment="1">
      <alignment horizontal="center"/>
    </xf>
    <xf numFmtId="0" fontId="1" fillId="16" borderId="15" xfId="0" applyFont="1" applyFill="1" applyBorder="1" applyAlignment="1">
      <alignment horizontal="center"/>
    </xf>
    <xf numFmtId="49" fontId="2" fillId="5" borderId="26" xfId="0" applyNumberFormat="1" applyFont="1" applyFill="1" applyBorder="1" applyProtection="1">
      <protection locked="0"/>
    </xf>
    <xf numFmtId="49" fontId="2" fillId="0" borderId="0" xfId="0" applyNumberFormat="1" applyFont="1" applyProtection="1">
      <protection locked="0"/>
    </xf>
    <xf numFmtId="49" fontId="2" fillId="5" borderId="0" xfId="0" applyNumberFormat="1" applyFont="1" applyFill="1" applyProtection="1">
      <protection locked="0"/>
    </xf>
    <xf numFmtId="49" fontId="2" fillId="13" borderId="0" xfId="0" applyNumberFormat="1" applyFont="1" applyFill="1" applyProtection="1">
      <protection locked="0"/>
    </xf>
    <xf numFmtId="49" fontId="2" fillId="0" borderId="34" xfId="0" applyNumberFormat="1" applyFont="1" applyBorder="1" applyProtection="1">
      <protection locked="0"/>
    </xf>
    <xf numFmtId="0" fontId="2" fillId="5" borderId="26" xfId="0" applyFont="1" applyFill="1" applyBorder="1" applyProtection="1">
      <protection locked="0"/>
    </xf>
    <xf numFmtId="0" fontId="2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13" borderId="0" xfId="0" applyFont="1" applyFill="1" applyProtection="1">
      <protection locked="0"/>
    </xf>
    <xf numFmtId="0" fontId="2" fillId="0" borderId="34" xfId="0" applyFont="1" applyBorder="1" applyProtection="1">
      <protection locked="0"/>
    </xf>
    <xf numFmtId="0" fontId="1" fillId="2" borderId="20" xfId="0" applyFont="1" applyFill="1" applyBorder="1" applyAlignment="1" applyProtection="1">
      <alignment horizontal="center"/>
      <protection locked="0"/>
    </xf>
    <xf numFmtId="0" fontId="2" fillId="4" borderId="42" xfId="0" applyFont="1" applyFill="1" applyBorder="1" applyProtection="1">
      <protection locked="0"/>
    </xf>
    <xf numFmtId="169" fontId="2" fillId="4" borderId="24" xfId="0" applyNumberFormat="1" applyFont="1" applyFill="1" applyBorder="1" applyProtection="1">
      <protection locked="0"/>
    </xf>
    <xf numFmtId="0" fontId="1" fillId="18" borderId="28" xfId="0" applyFont="1" applyFill="1" applyBorder="1" applyAlignment="1">
      <alignment horizontal="center"/>
    </xf>
    <xf numFmtId="0" fontId="1" fillId="18" borderId="43" xfId="0" applyFont="1" applyFill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17" borderId="16" xfId="0" applyNumberFormat="1" applyFont="1" applyFill="1" applyBorder="1" applyProtection="1">
      <protection locked="0"/>
    </xf>
    <xf numFmtId="49" fontId="0" fillId="10" borderId="18" xfId="0" applyNumberFormat="1" applyFont="1" applyFill="1" applyBorder="1" applyProtection="1">
      <protection locked="0"/>
    </xf>
    <xf numFmtId="49" fontId="0" fillId="17" borderId="27" xfId="0" applyNumberFormat="1" applyFont="1" applyFill="1" applyBorder="1" applyProtection="1">
      <protection locked="0"/>
    </xf>
    <xf numFmtId="49" fontId="0" fillId="17" borderId="18" xfId="0" applyNumberFormat="1" applyFont="1" applyFill="1" applyBorder="1" applyProtection="1">
      <protection locked="0"/>
    </xf>
    <xf numFmtId="0" fontId="1" fillId="16" borderId="14" xfId="0" applyNumberFormat="1" applyFont="1" applyFill="1" applyBorder="1" applyAlignment="1">
      <alignment horizontal="center"/>
    </xf>
    <xf numFmtId="0" fontId="1" fillId="16" borderId="15" xfId="0" applyNumberFormat="1" applyFont="1" applyFill="1" applyBorder="1" applyAlignment="1">
      <alignment horizontal="center"/>
    </xf>
    <xf numFmtId="0" fontId="1" fillId="16" borderId="16" xfId="0" applyNumberFormat="1" applyFont="1" applyFill="1" applyBorder="1" applyAlignment="1">
      <alignment horizontal="center"/>
    </xf>
    <xf numFmtId="0" fontId="2" fillId="17" borderId="37" xfId="0" applyNumberFormat="1" applyFont="1" applyFill="1" applyBorder="1" applyProtection="1">
      <protection locked="0"/>
    </xf>
    <xf numFmtId="0" fontId="2" fillId="10" borderId="38" xfId="0" applyNumberFormat="1" applyFont="1" applyFill="1" applyBorder="1" applyProtection="1">
      <protection locked="0"/>
    </xf>
    <xf numFmtId="0" fontId="2" fillId="17" borderId="40" xfId="0" applyNumberFormat="1" applyFont="1" applyFill="1" applyBorder="1" applyProtection="1">
      <protection locked="0"/>
    </xf>
    <xf numFmtId="0" fontId="2" fillId="17" borderId="38" xfId="0" applyNumberFormat="1" applyFont="1" applyFill="1" applyBorder="1" applyProtection="1">
      <protection locked="0"/>
    </xf>
    <xf numFmtId="49" fontId="1" fillId="16" borderId="37" xfId="0" applyNumberFormat="1" applyFont="1" applyFill="1" applyBorder="1" applyAlignment="1">
      <alignment horizontal="center"/>
    </xf>
    <xf numFmtId="165" fontId="2" fillId="5" borderId="45" xfId="0" applyNumberFormat="1" applyFont="1" applyFill="1" applyBorder="1"/>
    <xf numFmtId="165" fontId="2" fillId="0" borderId="38" xfId="0" applyNumberFormat="1" applyFont="1" applyBorder="1"/>
    <xf numFmtId="165" fontId="2" fillId="5" borderId="38" xfId="0" applyNumberFormat="1" applyFont="1" applyFill="1" applyBorder="1"/>
    <xf numFmtId="165" fontId="2" fillId="13" borderId="38" xfId="0" applyNumberFormat="1" applyFont="1" applyFill="1" applyBorder="1"/>
    <xf numFmtId="165" fontId="2" fillId="0" borderId="40" xfId="0" applyNumberFormat="1" applyFont="1" applyBorder="1"/>
    <xf numFmtId="169" fontId="2" fillId="14" borderId="46" xfId="0" applyNumberFormat="1" applyFont="1" applyFill="1" applyBorder="1"/>
    <xf numFmtId="169" fontId="2" fillId="14" borderId="47" xfId="0" applyNumberFormat="1" applyFont="1" applyFill="1" applyBorder="1"/>
    <xf numFmtId="169" fontId="2" fillId="14" borderId="48" xfId="0" applyNumberFormat="1" applyFont="1" applyFill="1" applyBorder="1"/>
    <xf numFmtId="169" fontId="2" fillId="14" borderId="49" xfId="0" applyNumberFormat="1" applyFont="1" applyFill="1" applyBorder="1"/>
    <xf numFmtId="169" fontId="2" fillId="14" borderId="50" xfId="0" applyNumberFormat="1" applyFont="1" applyFill="1" applyBorder="1"/>
    <xf numFmtId="169" fontId="2" fillId="14" borderId="51" xfId="0" applyNumberFormat="1" applyFont="1" applyFill="1" applyBorder="1"/>
    <xf numFmtId="169" fontId="2" fillId="14" borderId="52" xfId="0" applyNumberFormat="1" applyFont="1" applyFill="1" applyBorder="1"/>
    <xf numFmtId="0" fontId="1" fillId="12" borderId="35" xfId="0" applyNumberFormat="1" applyFont="1" applyFill="1" applyBorder="1" applyAlignment="1">
      <alignment horizontal="center"/>
    </xf>
    <xf numFmtId="0" fontId="1" fillId="12" borderId="53" xfId="0" applyNumberFormat="1" applyFont="1" applyFill="1" applyBorder="1" applyAlignment="1">
      <alignment horizontal="center"/>
    </xf>
    <xf numFmtId="0" fontId="1" fillId="12" borderId="54" xfId="0" applyNumberFormat="1" applyFont="1" applyFill="1" applyBorder="1" applyAlignment="1">
      <alignment horizontal="center"/>
    </xf>
    <xf numFmtId="0" fontId="3" fillId="6" borderId="34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169" fontId="2" fillId="13" borderId="0" xfId="0" applyNumberFormat="1" applyFont="1" applyFill="1" applyBorder="1"/>
    <xf numFmtId="169" fontId="2" fillId="0" borderId="0" xfId="0" applyNumberFormat="1" applyFont="1" applyBorder="1"/>
    <xf numFmtId="169" fontId="2" fillId="5" borderId="0" xfId="0" applyNumberFormat="1" applyFont="1" applyFill="1" applyBorder="1"/>
    <xf numFmtId="0" fontId="3" fillId="6" borderId="17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3" fontId="2" fillId="5" borderId="0" xfId="0" applyNumberFormat="1" applyFont="1" applyFill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3" fontId="2" fillId="5" borderId="14" xfId="0" applyNumberFormat="1" applyFont="1" applyFill="1" applyBorder="1" applyAlignment="1">
      <alignment horizontal="center"/>
    </xf>
    <xf numFmtId="3" fontId="2" fillId="5" borderId="15" xfId="0" applyNumberFormat="1" applyFont="1" applyFill="1" applyBorder="1" applyAlignment="1">
      <alignment horizontal="center"/>
    </xf>
    <xf numFmtId="3" fontId="2" fillId="5" borderId="16" xfId="0" applyNumberFormat="1" applyFont="1" applyFill="1" applyBorder="1" applyAlignment="1">
      <alignment horizontal="center"/>
    </xf>
    <xf numFmtId="3" fontId="2" fillId="0" borderId="18" xfId="0" applyNumberFormat="1" applyFont="1" applyBorder="1" applyAlignment="1">
      <alignment horizontal="center"/>
    </xf>
    <xf numFmtId="3" fontId="2" fillId="5" borderId="18" xfId="0" applyNumberFormat="1" applyFont="1" applyFill="1" applyBorder="1" applyAlignment="1">
      <alignment horizontal="center"/>
    </xf>
    <xf numFmtId="3" fontId="2" fillId="7" borderId="33" xfId="0" applyNumberFormat="1" applyFont="1" applyFill="1" applyBorder="1" applyAlignment="1">
      <alignment horizontal="center"/>
    </xf>
    <xf numFmtId="3" fontId="2" fillId="7" borderId="34" xfId="0" applyNumberFormat="1" applyFont="1" applyFill="1" applyBorder="1" applyAlignment="1">
      <alignment horizontal="center"/>
    </xf>
    <xf numFmtId="3" fontId="2" fillId="7" borderId="27" xfId="0" applyNumberFormat="1" applyFont="1" applyFill="1" applyBorder="1" applyAlignment="1">
      <alignment horizontal="center"/>
    </xf>
    <xf numFmtId="3" fontId="2" fillId="0" borderId="55" xfId="0" applyNumberFormat="1" applyFont="1" applyBorder="1" applyAlignment="1">
      <alignment horizontal="center"/>
    </xf>
    <xf numFmtId="3" fontId="2" fillId="0" borderId="56" xfId="0" applyNumberFormat="1" applyFont="1" applyBorder="1" applyAlignment="1">
      <alignment horizontal="center"/>
    </xf>
    <xf numFmtId="3" fontId="2" fillId="0" borderId="57" xfId="0" applyNumberFormat="1" applyFont="1" applyBorder="1" applyAlignment="1">
      <alignment horizontal="center"/>
    </xf>
    <xf numFmtId="169" fontId="2" fillId="4" borderId="58" xfId="0" applyNumberFormat="1" applyFont="1" applyFill="1" applyBorder="1" applyProtection="1">
      <protection locked="0"/>
    </xf>
    <xf numFmtId="169" fontId="2" fillId="4" borderId="58" xfId="0" applyNumberFormat="1" applyFont="1" applyFill="1" applyBorder="1"/>
    <xf numFmtId="0" fontId="1" fillId="3" borderId="1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/>
    </xf>
    <xf numFmtId="3" fontId="2" fillId="0" borderId="59" xfId="0" applyNumberFormat="1" applyFont="1" applyBorder="1" applyAlignment="1">
      <alignment horizontal="center"/>
    </xf>
    <xf numFmtId="3" fontId="2" fillId="7" borderId="40" xfId="0" applyNumberFormat="1" applyFont="1" applyFill="1" applyBorder="1" applyAlignment="1">
      <alignment horizontal="center"/>
    </xf>
    <xf numFmtId="0" fontId="2" fillId="7" borderId="19" xfId="0" applyFont="1" applyFill="1" applyBorder="1"/>
    <xf numFmtId="3" fontId="2" fillId="7" borderId="19" xfId="0" applyNumberFormat="1" applyFont="1" applyFill="1" applyBorder="1" applyAlignment="1">
      <alignment horizontal="center"/>
    </xf>
    <xf numFmtId="3" fontId="2" fillId="7" borderId="21" xfId="0" applyNumberFormat="1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3" fontId="2" fillId="7" borderId="20" xfId="0" applyNumberFormat="1" applyFont="1" applyFill="1" applyBorder="1" applyAlignment="1">
      <alignment horizontal="center"/>
    </xf>
    <xf numFmtId="0" fontId="1" fillId="12" borderId="36" xfId="0" applyFont="1" applyFill="1" applyBorder="1" applyAlignment="1">
      <alignment horizontal="center"/>
    </xf>
    <xf numFmtId="0" fontId="2" fillId="10" borderId="38" xfId="0" applyNumberFormat="1" applyFont="1" applyFill="1" applyBorder="1" applyProtection="1"/>
    <xf numFmtId="0" fontId="2" fillId="17" borderId="40" xfId="0" applyNumberFormat="1" applyFont="1" applyFill="1" applyBorder="1" applyProtection="1"/>
    <xf numFmtId="49" fontId="0" fillId="10" borderId="18" xfId="0" applyNumberFormat="1" applyFont="1" applyFill="1" applyBorder="1" applyProtection="1"/>
    <xf numFmtId="49" fontId="0" fillId="17" borderId="27" xfId="0" applyNumberFormat="1" applyFont="1" applyFill="1" applyBorder="1" applyProtection="1"/>
    <xf numFmtId="169" fontId="2" fillId="19" borderId="24" xfId="0" applyNumberFormat="1" applyFont="1" applyFill="1" applyBorder="1" applyProtection="1">
      <protection locked="0"/>
    </xf>
    <xf numFmtId="169" fontId="2" fillId="19" borderId="19" xfId="0" applyNumberFormat="1" applyFont="1" applyFill="1" applyBorder="1"/>
    <xf numFmtId="169" fontId="2" fillId="19" borderId="20" xfId="0" applyNumberFormat="1" applyFont="1" applyFill="1" applyBorder="1"/>
    <xf numFmtId="0" fontId="2" fillId="19" borderId="24" xfId="0" applyFont="1" applyFill="1" applyBorder="1"/>
    <xf numFmtId="0" fontId="1" fillId="6" borderId="15" xfId="0" applyFont="1" applyFill="1" applyBorder="1" applyAlignment="1"/>
    <xf numFmtId="169" fontId="2" fillId="19" borderId="60" xfId="0" applyNumberFormat="1" applyFont="1" applyFill="1" applyBorder="1"/>
    <xf numFmtId="0" fontId="1" fillId="6" borderId="14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vertical="top" wrapText="1"/>
    </xf>
    <xf numFmtId="0" fontId="4" fillId="18" borderId="44" xfId="0" applyFont="1" applyFill="1" applyBorder="1" applyAlignment="1">
      <alignment vertical="top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gradientFill degree="45">
          <stop position="0">
            <color theme="0"/>
          </stop>
          <stop position="1">
            <color theme="5"/>
          </stop>
        </gradient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strike val="0"/>
        <color auto="1"/>
      </font>
      <fill>
        <patternFill patternType="solid">
          <fgColor auto="1"/>
          <bgColor rgb="FFFFFF00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auto="1"/>
      </font>
      <fill>
        <patternFill>
          <fgColor auto="1"/>
          <bgColor theme="9" tint="0.39994506668294322"/>
        </patternFill>
      </fill>
    </dxf>
    <dxf>
      <fill>
        <gradientFill degree="45">
          <stop position="0">
            <color rgb="FFFFFFFF"/>
          </stop>
          <stop position="1">
            <color theme="5"/>
          </stop>
        </gradientFill>
      </fill>
    </dxf>
    <dxf>
      <fill>
        <patternFill>
          <bgColor theme="5" tint="0.39994506668294322"/>
        </patternFill>
      </fill>
    </dxf>
    <dxf>
      <font>
        <b/>
      </font>
      <numFmt numFmtId="30" formatCode="@"/>
    </dxf>
    <dxf>
      <font>
        <b/>
      </font>
      <numFmt numFmtId="164" formatCode="[h]:mm"/>
      <alignment horizontal="general" vertical="bottom" textRotation="0" wrapText="0" indent="0" justifyLastLine="0" shrinkToFit="0" readingOrder="0"/>
    </dxf>
    <dxf>
      <font>
        <b/>
      </font>
      <numFmt numFmtId="30" formatCode="@"/>
      <alignment horizontal="general" vertical="bottom" textRotation="0" wrapText="0" indent="0" justifyLastLine="0" shrinkToFit="0" readingOrder="0"/>
    </dxf>
    <dxf>
      <font>
        <b/>
      </font>
      <numFmt numFmtId="165" formatCode="h:mm;@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167" formatCode="d\ mmm"/>
    </dxf>
    <dxf>
      <font>
        <b/>
      </font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AE7DA"/>
      <color rgb="FFFFFFEB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Time" displayName="TableTime" ref="A1:H2" totalsRowShown="0" headerRowDxfId="48" dataDxfId="47" tableBorderDxfId="46">
  <tableColumns count="8">
    <tableColumn id="2" xr3:uid="{00000000-0010-0000-0000-000002000000}" name="Day" dataDxfId="45">
      <calculatedColumnFormula>CHOOSE(WEEKDAY(TableTime[[#This Row],[Date]]),"Sun","Mon","Tue","Wed","Thu","Fri","Sat")</calculatedColumnFormula>
    </tableColumn>
    <tableColumn id="11" xr3:uid="{00000000-0010-0000-0000-00000B000000}" name="Date" dataDxfId="44"/>
    <tableColumn id="6" xr3:uid="{00000000-0010-0000-0000-000006000000}" name="Week" dataDxfId="43">
      <calculatedColumnFormula>WEEKNUM(TableTime[[#This Row],[Date]],21)</calculatedColumnFormula>
    </tableColumn>
    <tableColumn id="4" xr3:uid="{00000000-0010-0000-0000-000004000000}" name="Month" dataDxfId="42">
      <calculatedColumnFormula>MONTH(TableTime[[#This Row],[Date]])</calculatedColumnFormula>
    </tableColumn>
    <tableColumn id="7" xr3:uid="{00000000-0010-0000-0000-000007000000}" name="Time" dataDxfId="41"/>
    <tableColumn id="8" xr3:uid="{00000000-0010-0000-0000-000008000000}" name="Activity" dataDxfId="40"/>
    <tableColumn id="9" xr3:uid="{00000000-0010-0000-0000-000009000000}" name="Duration" dataDxfId="39">
      <calculatedColumnFormula>IF(TableTime[[#This Row],[Activity]]="","⚠ Activity is empty",IF(TableTime[[#This Row],[Activity]]="Start",IF(F1="Break","⚠ Last entry is a break",IF(B2=B1,"⚠ Last entry is same day","")),IF(AND(TableTime[[#This Row],[Activity]]="Break",F1="Start"),"⚠ Break after start",IF(B2-B1&lt;0,"⚠ Last entry is newer",IF(B2-B1&gt;=1,"⚠ Last entry is diff. day",IF(E2-E1&lt;=0,"⚠ Last entry is newer",E2-E1))))))</calculatedColumnFormula>
    </tableColumn>
    <tableColumn id="10" xr3:uid="{00000000-0010-0000-0000-00000A000000}" name="Comments" dataDxfId="38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ColWidth="10.81640625" defaultRowHeight="14.5" x14ac:dyDescent="0.35"/>
  <cols>
    <col min="1" max="1" width="5.453125" bestFit="1" customWidth="1"/>
    <col min="2" max="2" width="10.453125" bestFit="1" customWidth="1"/>
    <col min="3" max="3" width="6.453125" hidden="1" customWidth="1"/>
    <col min="4" max="4" width="10.7265625" hidden="1" customWidth="1"/>
    <col min="6" max="7" width="11.453125" customWidth="1"/>
    <col min="8" max="8" width="17.1796875" customWidth="1"/>
    <col min="10" max="10" width="14.453125" customWidth="1"/>
    <col min="11" max="11" width="17.1796875" customWidth="1"/>
    <col min="21" max="21" width="17.1796875" customWidth="1"/>
  </cols>
  <sheetData>
    <row r="1" spans="1:8" x14ac:dyDescent="0.35">
      <c r="A1" s="116" t="s">
        <v>0</v>
      </c>
      <c r="B1" s="116" t="s">
        <v>1</v>
      </c>
      <c r="C1" s="116" t="s">
        <v>2</v>
      </c>
      <c r="D1" s="116" t="s">
        <v>3</v>
      </c>
      <c r="E1" s="116" t="s">
        <v>4</v>
      </c>
      <c r="F1" s="116" t="s">
        <v>5</v>
      </c>
      <c r="G1" s="116" t="s">
        <v>6</v>
      </c>
      <c r="H1" s="116" t="s">
        <v>7</v>
      </c>
    </row>
    <row r="2" spans="1:8" x14ac:dyDescent="0.35">
      <c r="A2" s="1" t="str">
        <f>CHOOSE(WEEKDAY(TableTime[[#This Row],[Date]]),"Sun","Mon","Tue","Wed","Thu","Fri","Sat")</f>
        <v>Tue</v>
      </c>
      <c r="B2" s="5">
        <v>44929</v>
      </c>
      <c r="C2" s="1">
        <f>WEEKNUM(TableTime[[#This Row],[Date]],21)</f>
        <v>1</v>
      </c>
      <c r="D2" s="1">
        <f>MONTH(TableTime[[#This Row],[Date]])</f>
        <v>1</v>
      </c>
      <c r="E2" s="4">
        <v>0.375</v>
      </c>
      <c r="F2" s="3" t="s">
        <v>8</v>
      </c>
      <c r="G2" s="6" t="str">
        <f>IF(TableTime[[#This Row],[Activity]]="","⚠ Activity is empty",IF(TableTime[[#This Row],[Activity]]="Start",IF(F1="Break","⚠ Last entry is a break",IF(B2=B1,"⚠ Last entry is same day","")),IF(AND(TableTime[[#This Row],[Activity]]="Break",F1="Start"),"⚠ Break after start",IF(B2-B1&lt;0,"⚠ Last entry is newer",IF(B2-B1&gt;=1,"⚠ Last entry is diff. day",IF(E2-E1&lt;=0,"⚠ Last entry is newer",E2-E1))))))</f>
        <v/>
      </c>
      <c r="H2" s="3"/>
    </row>
  </sheetData>
  <sheetProtection insertRows="0" deleteRows="0" selectLockedCells="1"/>
  <dataValidations count="3">
    <dataValidation type="date" showErrorMessage="1" errorTitle="Date problem" error="Introduce a date of the current year." sqref="B2" xr:uid="{00000000-0002-0000-0000-000000000000}">
      <formula1>DATE(Year,1,1)</formula1>
      <formula2>DATE(Year,12,31)</formula2>
    </dataValidation>
    <dataValidation type="time" showErrorMessage="1" errorTitle="Time problem" error="Introduce a time." sqref="E2" xr:uid="{00000000-0002-0000-0000-000001000000}">
      <formula1>0</formula1>
      <formula2>0.999988425925926</formula2>
    </dataValidation>
    <dataValidation type="list" allowBlank="1" showInputMessage="1" showErrorMessage="1" sqref="F2" xr:uid="{00000000-0002-0000-0000-000002000000}">
      <formula1>ProjectList</formula1>
    </dataValidation>
  </dataValidations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367"/>
  <sheetViews>
    <sheetView showGridLines="0" workbookViewId="0">
      <pane ySplit="1" topLeftCell="A2" activePane="bottomLeft" state="frozen"/>
      <selection pane="bottomLeft" activeCell="J2" sqref="J2"/>
    </sheetView>
  </sheetViews>
  <sheetFormatPr defaultColWidth="11.453125" defaultRowHeight="14.5" x14ac:dyDescent="0.35"/>
  <cols>
    <col min="1" max="1" width="5.453125" bestFit="1" customWidth="1"/>
    <col min="2" max="2" width="7" customWidth="1"/>
    <col min="3" max="3" width="7" hidden="1" customWidth="1"/>
    <col min="4" max="4" width="5.54296875" hidden="1" customWidth="1"/>
    <col min="5" max="5" width="6.453125" customWidth="1"/>
    <col min="6" max="6" width="8.81640625" hidden="1" customWidth="1"/>
    <col min="7" max="7" width="4.453125" hidden="1" customWidth="1"/>
    <col min="8" max="8" width="15" hidden="1" customWidth="1"/>
    <col min="9" max="9" width="9.81640625" bestFit="1" customWidth="1"/>
    <col min="10" max="10" width="21.453125" customWidth="1"/>
    <col min="11" max="21" width="11.453125" customWidth="1"/>
  </cols>
  <sheetData>
    <row r="1" spans="1:21" ht="15" thickBot="1" x14ac:dyDescent="0.4">
      <c r="A1" s="99" t="s">
        <v>0</v>
      </c>
      <c r="B1" s="100" t="s">
        <v>1</v>
      </c>
      <c r="C1" s="100" t="s">
        <v>3</v>
      </c>
      <c r="D1" s="100" t="s">
        <v>2</v>
      </c>
      <c r="E1" s="100" t="s">
        <v>11</v>
      </c>
      <c r="F1" s="100" t="s">
        <v>12</v>
      </c>
      <c r="G1" s="100" t="s">
        <v>13</v>
      </c>
      <c r="H1" s="100" t="s">
        <v>14</v>
      </c>
      <c r="I1" s="100" t="s">
        <v>70</v>
      </c>
      <c r="J1" s="100" t="s">
        <v>7</v>
      </c>
      <c r="K1" s="99" t="s">
        <v>8</v>
      </c>
      <c r="L1" s="100" t="s">
        <v>15</v>
      </c>
      <c r="M1" s="100" t="s">
        <v>16</v>
      </c>
      <c r="N1" s="121" t="str">
        <f>Projects!C2</f>
        <v>Project 1</v>
      </c>
      <c r="O1" s="122" t="str">
        <f>Projects!C3</f>
        <v>Project 2</v>
      </c>
      <c r="P1" s="122" t="str">
        <f>Projects!C4</f>
        <v>Project 3</v>
      </c>
      <c r="Q1" s="122" t="str">
        <f>Projects!C5</f>
        <v>General</v>
      </c>
      <c r="R1" s="122" t="str">
        <f>Projects!C6</f>
        <v>Training</v>
      </c>
      <c r="S1" s="128" t="str">
        <f>Projects!C7</f>
        <v>Issue</v>
      </c>
      <c r="T1" s="122" t="str">
        <f>Projects!C8</f>
        <v>Personal 1</v>
      </c>
      <c r="U1" s="123" t="str">
        <f>Projects!C9</f>
        <v>Personal 2</v>
      </c>
    </row>
    <row r="2" spans="1:21" x14ac:dyDescent="0.35">
      <c r="A2" s="53" t="str">
        <f t="shared" ref="A2:A65" si="0">IFERROR(CHOOSE(WEEKDAY(B2,2),"Mon","Tue","Wed","Thr","Fri","Sat","Sun"),"")</f>
        <v>Sun</v>
      </c>
      <c r="B2" s="90">
        <f>DATE(Year,1,1)</f>
        <v>44927</v>
      </c>
      <c r="C2" s="54">
        <f>MONTH(B2)</f>
        <v>1</v>
      </c>
      <c r="D2" s="55">
        <f t="shared" ref="D2:D65" si="1">IFERROR(WEEKNUM(B2,21),"")</f>
        <v>52</v>
      </c>
      <c r="E2" s="101"/>
      <c r="F2" s="54" t="str">
        <f>IFERROR(IF(OR(WEEKDAY(B2,2)=6,WEEKDAY(B2,2)=7),'Month summary'!$D$11,IF(E2="",'Month summary'!$C$11,E2)),"")</f>
        <v>WE</v>
      </c>
      <c r="G2" s="56" t="str">
        <f>IF(B2&lt;Time!$B$2,"",IF(F2='Month summary'!$C$11,'Month summary'!$F$2/24,IF(F2="H/2",'Month summary'!$F$2/24/2,0)))</f>
        <v/>
      </c>
      <c r="H2" s="56">
        <f>SUM(N2:S2)</f>
        <v>0</v>
      </c>
      <c r="I2" s="56" t="str">
        <f>IF(ROUND(H2,2)=0,"",H2)</f>
        <v/>
      </c>
      <c r="J2" s="106"/>
      <c r="K2" s="57" t="str">
        <f>IFERROR(INDEX(TableTime[Time],MATCH(B2,TableTime[Date],0)),"")</f>
        <v/>
      </c>
      <c r="L2" s="56" t="str">
        <f>IF(SUMIFS(TableTime[Duration],TableTime[Date],B2,TableTime[Activity],Projects!$C$9)+SUMIFS(TableTime[Duration],TableTime[Date],B2,TableTime[Activity],Projects!$C$10)+SUMIFS(TableTime[Duration],TableTime[Date],B2,TableTime[Activity],Projects!$C$11)=0,"",SUMIFS(TableTime[Duration],TableTime[Date],B2,TableTime[Activity],Projects!$C$9)+SUMIFS(TableTime[Duration],TableTime[Date],B2,TableTime[Activity],Projects!$C$10)+SUMIFS(TableTime[Duration],TableTime[Date],B2,TableTime[Activity],Projects!$C$11))</f>
        <v/>
      </c>
      <c r="M2" s="56" t="str" cm="1">
        <f t="array" ref="M2">IFERROR(LOOKUP(2,1/(TableTime[Date]=B2),TableTime[Time]),"")</f>
        <v/>
      </c>
      <c r="N2" s="57" t="str">
        <f>IF(SUMIFS(TableTime[[Duration]:[Duration]],TableTime[[Date]:[Date]],$B2,TableTime[[Activity]:[Activity]],N$1)=0,"",SUMIFS(TableTime[[Duration]:[Duration]],TableTime[[Date]:[Date]],$B2,TableTime[[Activity]:[Activity]],N$1))</f>
        <v/>
      </c>
      <c r="O2" s="56" t="str">
        <f>IF(SUMIFS(TableTime[[Duration]:[Duration]],TableTime[[Date]:[Date]],$B2,TableTime[[Activity]:[Activity]],O$1)=0,"",SUMIFS(TableTime[[Duration]:[Duration]],TableTime[[Date]:[Date]],$B2,TableTime[[Activity]:[Activity]],O$1))</f>
        <v/>
      </c>
      <c r="P2" s="56" t="str">
        <f>IF(SUMIFS(TableTime[[Duration]:[Duration]],TableTime[[Date]:[Date]],$B2,TableTime[[Activity]:[Activity]],P$1)=0,"",SUMIFS(TableTime[[Duration]:[Duration]],TableTime[[Date]:[Date]],$B2,TableTime[[Activity]:[Activity]],P$1))</f>
        <v/>
      </c>
      <c r="Q2" s="56" t="str">
        <f>IF(SUMIFS(TableTime[[Duration]:[Duration]],TableTime[[Date]:[Date]],$B2,TableTime[[Activity]:[Activity]],Q$1)=0,"",SUMIFS(TableTime[[Duration]:[Duration]],TableTime[[Date]:[Date]],$B2,TableTime[[Activity]:[Activity]],Q$1))</f>
        <v/>
      </c>
      <c r="R2" s="56" t="str">
        <f>IF(SUMIFS(TableTime[[Duration]:[Duration]],TableTime[[Date]:[Date]],$B2,TableTime[[Activity]:[Activity]],R$1)=0,"",SUMIFS(TableTime[[Duration]:[Duration]],TableTime[[Date]:[Date]],$B2,TableTime[[Activity]:[Activity]],R$1))</f>
        <v/>
      </c>
      <c r="S2" s="129" t="str">
        <f>IF(SUMIFS(TableTime[[Duration]:[Duration]],TableTime[[Date]:[Date]],$B2,TableTime[[Activity]:[Activity]],S$1)=0,"",SUMIFS(TableTime[[Duration]:[Duration]],TableTime[[Date]:[Date]],$B2,TableTime[[Activity]:[Activity]],S$1))</f>
        <v/>
      </c>
      <c r="T2" s="56" t="str">
        <f>IF(SUMIFS(TableTime[[Duration]:[Duration]],TableTime[[Date]:[Date]],$B2,TableTime[[Activity]:[Activity]],T$1)=0,"",SUMIFS(TableTime[[Duration]:[Duration]],TableTime[[Date]:[Date]],$B2,TableTime[[Activity]:[Activity]],T$1))</f>
        <v/>
      </c>
      <c r="U2" s="58" t="str">
        <f>IF(SUMIFS(TableTime[[Duration]:[Duration]],TableTime[[Date]:[Date]],$B2,TableTime[[Activity]:[Activity]],U$1)=0,"",SUMIFS(TableTime[[Duration]:[Duration]],TableTime[[Date]:[Date]],$B2,TableTime[[Activity]:[Activity]],U$1))</f>
        <v/>
      </c>
    </row>
    <row r="3" spans="1:21" x14ac:dyDescent="0.35">
      <c r="A3" s="35" t="str">
        <f t="shared" si="0"/>
        <v>Mon</v>
      </c>
      <c r="B3" s="5">
        <f t="shared" ref="B3:B66" si="2">IF(YEAR(B2+1)=Year,B2+1,"")</f>
        <v>44928</v>
      </c>
      <c r="C3" s="1">
        <f t="shared" ref="C3:C66" si="3">MONTH(B3)</f>
        <v>1</v>
      </c>
      <c r="D3" s="2">
        <f t="shared" si="1"/>
        <v>1</v>
      </c>
      <c r="E3" s="102" t="s">
        <v>19</v>
      </c>
      <c r="F3" s="1" t="str">
        <f>IFERROR(IF(OR(WEEKDAY(B3,2)=6,WEEKDAY(B3,2)=7),'Month summary'!$D$11,IF(E3="",'Month summary'!$C$11,E3)),"")</f>
        <v>PH</v>
      </c>
      <c r="G3" s="4" t="str">
        <f>IF(B3&lt;Time!$B$2,"",IF(F3='Month summary'!$C$11,'Month summary'!$F$2/24,IF(F3="H/2",'Month summary'!$F$2/24/2,0)))</f>
        <v/>
      </c>
      <c r="H3" s="4">
        <f t="shared" ref="H3:H66" si="4">SUM(N3:S3)</f>
        <v>0</v>
      </c>
      <c r="I3" s="4" t="str">
        <f t="shared" ref="I3:I66" si="5">IF(ROUND(H3,2)=0,"",H3)</f>
        <v/>
      </c>
      <c r="J3" s="107" t="s">
        <v>20</v>
      </c>
      <c r="K3" s="38" t="str">
        <f>IFERROR(INDEX(TableTime[Time],MATCH(B3,TableTime[Date],0)),"")</f>
        <v/>
      </c>
      <c r="L3" s="4" t="str">
        <f>IF(SUMIFS(TableTime[Duration],TableTime[Date],B3,TableTime[Activity],Projects!$C$9)+SUMIFS(TableTime[Duration],TableTime[Date],B3,TableTime[Activity],Projects!$C$10)+SUMIFS(TableTime[Duration],TableTime[Date],B3,TableTime[Activity],Projects!$C$11)=0,"",SUMIFS(TableTime[Duration],TableTime[Date],B3,TableTime[Activity],Projects!$C$9)+SUMIFS(TableTime[Duration],TableTime[Date],B3,TableTime[Activity],Projects!$C$10)+SUMIFS(TableTime[Duration],TableTime[Date],B3,TableTime[Activity],Projects!$C$11))</f>
        <v/>
      </c>
      <c r="M3" s="4" t="str" cm="1">
        <f t="array" ref="M3">IFERROR(LOOKUP(2,1/(TableTime[Date]=B3),TableTime[Time]),"")</f>
        <v/>
      </c>
      <c r="N3" s="38" t="str">
        <f>IF(SUMIFS(TableTime[[Duration]:[Duration]],TableTime[[Date]:[Date]],$B3,TableTime[[Activity]:[Activity]],N$1)=0,"",SUMIFS(TableTime[[Duration]:[Duration]],TableTime[[Date]:[Date]],$B3,TableTime[[Activity]:[Activity]],N$1))</f>
        <v/>
      </c>
      <c r="O3" s="4" t="str">
        <f>IF(SUMIFS(TableTime[[Duration]:[Duration]],TableTime[[Date]:[Date]],$B3,TableTime[[Activity]:[Activity]],O$1)=0,"",SUMIFS(TableTime[[Duration]:[Duration]],TableTime[[Date]:[Date]],$B3,TableTime[[Activity]:[Activity]],O$1))</f>
        <v/>
      </c>
      <c r="P3" s="4" t="str">
        <f>IF(SUMIFS(TableTime[[Duration]:[Duration]],TableTime[[Date]:[Date]],$B3,TableTime[[Activity]:[Activity]],P$1)=0,"",SUMIFS(TableTime[[Duration]:[Duration]],TableTime[[Date]:[Date]],$B3,TableTime[[Activity]:[Activity]],P$1))</f>
        <v/>
      </c>
      <c r="Q3" s="4" t="str">
        <f>IF(SUMIFS(TableTime[[Duration]:[Duration]],TableTime[[Date]:[Date]],$B3,TableTime[[Activity]:[Activity]],Q$1)=0,"",SUMIFS(TableTime[[Duration]:[Duration]],TableTime[[Date]:[Date]],$B3,TableTime[[Activity]:[Activity]],Q$1))</f>
        <v/>
      </c>
      <c r="R3" s="4" t="str">
        <f>IF(SUMIFS(TableTime[[Duration]:[Duration]],TableTime[[Date]:[Date]],$B3,TableTime[[Activity]:[Activity]],R$1)=0,"",SUMIFS(TableTime[[Duration]:[Duration]],TableTime[[Date]:[Date]],$B3,TableTime[[Activity]:[Activity]],R$1))</f>
        <v/>
      </c>
      <c r="S3" s="130" t="str">
        <f>IF(SUMIFS(TableTime[[Duration]:[Duration]],TableTime[[Date]:[Date]],$B3,TableTime[[Activity]:[Activity]],S$1)=0,"",SUMIFS(TableTime[[Duration]:[Duration]],TableTime[[Date]:[Date]],$B3,TableTime[[Activity]:[Activity]],S$1))</f>
        <v/>
      </c>
      <c r="T3" s="4" t="str">
        <f>IF(SUMIFS(TableTime[[Duration]:[Duration]],TableTime[[Date]:[Date]],$B3,TableTime[[Activity]:[Activity]],T$1)=0,"",SUMIFS(TableTime[[Duration]:[Duration]],TableTime[[Date]:[Date]],$B3,TableTime[[Activity]:[Activity]],T$1))</f>
        <v/>
      </c>
      <c r="U3" s="39" t="str">
        <f>IF(SUMIFS(TableTime[[Duration]:[Duration]],TableTime[[Date]:[Date]],$B3,TableTime[[Activity]:[Activity]],U$1)=0,"",SUMIFS(TableTime[[Duration]:[Duration]],TableTime[[Date]:[Date]],$B3,TableTime[[Activity]:[Activity]],U$1))</f>
        <v/>
      </c>
    </row>
    <row r="4" spans="1:21" x14ac:dyDescent="0.35">
      <c r="A4" s="59" t="str">
        <f t="shared" si="0"/>
        <v>Tue</v>
      </c>
      <c r="B4" s="91">
        <f t="shared" si="2"/>
        <v>44929</v>
      </c>
      <c r="C4" s="60">
        <f t="shared" si="3"/>
        <v>1</v>
      </c>
      <c r="D4" s="61">
        <f t="shared" si="1"/>
        <v>1</v>
      </c>
      <c r="E4" s="103"/>
      <c r="F4" s="60" t="str">
        <f>IFERROR(IF(OR(WEEKDAY(B4,2)=6,WEEKDAY(B4,2)=7),'Month summary'!$D$11,IF(E4="",'Month summary'!$C$11,E4)),"")</f>
        <v>W</v>
      </c>
      <c r="G4" s="62">
        <f>IF(B4&lt;Time!$B$2,"",IF(F4='Month summary'!$C$11,'Month summary'!$F$2/24,IF(F4="H/2",'Month summary'!$F$2/24/2,0)))</f>
        <v>0.33333333333333331</v>
      </c>
      <c r="H4" s="62">
        <f t="shared" si="4"/>
        <v>0</v>
      </c>
      <c r="I4" s="62" t="str">
        <f t="shared" si="5"/>
        <v/>
      </c>
      <c r="J4" s="108"/>
      <c r="K4" s="63">
        <f>IFERROR(INDEX(TableTime[Time],MATCH(B4,TableTime[Date],0)),"")</f>
        <v>0.375</v>
      </c>
      <c r="L4" s="62" t="str">
        <f>IF(SUMIFS(TableTime[Duration],TableTime[Date],B4,TableTime[Activity],Projects!$C$9)+SUMIFS(TableTime[Duration],TableTime[Date],B4,TableTime[Activity],Projects!$C$10)+SUMIFS(TableTime[Duration],TableTime[Date],B4,TableTime[Activity],Projects!$C$11)=0,"",SUMIFS(TableTime[Duration],TableTime[Date],B4,TableTime[Activity],Projects!$C$9)+SUMIFS(TableTime[Duration],TableTime[Date],B4,TableTime[Activity],Projects!$C$10)+SUMIFS(TableTime[Duration],TableTime[Date],B4,TableTime[Activity],Projects!$C$11))</f>
        <v/>
      </c>
      <c r="M4" s="62" cm="1">
        <f t="array" ref="M4">IFERROR(LOOKUP(2,1/(TableTime[Date]=B4),TableTime[Time]),"")</f>
        <v>0.375</v>
      </c>
      <c r="N4" s="63" t="str">
        <f>IF(SUMIFS(TableTime[[Duration]:[Duration]],TableTime[[Date]:[Date]],$B4,TableTime[[Activity]:[Activity]],N$1)=0,"",SUMIFS(TableTime[[Duration]:[Duration]],TableTime[[Date]:[Date]],$B4,TableTime[[Activity]:[Activity]],N$1))</f>
        <v/>
      </c>
      <c r="O4" s="62" t="str">
        <f>IF(SUMIFS(TableTime[[Duration]:[Duration]],TableTime[[Date]:[Date]],$B4,TableTime[[Activity]:[Activity]],O$1)=0,"",SUMIFS(TableTime[[Duration]:[Duration]],TableTime[[Date]:[Date]],$B4,TableTime[[Activity]:[Activity]],O$1))</f>
        <v/>
      </c>
      <c r="P4" s="62" t="str">
        <f>IF(SUMIFS(TableTime[[Duration]:[Duration]],TableTime[[Date]:[Date]],$B4,TableTime[[Activity]:[Activity]],P$1)=0,"",SUMIFS(TableTime[[Duration]:[Duration]],TableTime[[Date]:[Date]],$B4,TableTime[[Activity]:[Activity]],P$1))</f>
        <v/>
      </c>
      <c r="Q4" s="62" t="str">
        <f>IF(SUMIFS(TableTime[[Duration]:[Duration]],TableTime[[Date]:[Date]],$B4,TableTime[[Activity]:[Activity]],Q$1)=0,"",SUMIFS(TableTime[[Duration]:[Duration]],TableTime[[Date]:[Date]],$B4,TableTime[[Activity]:[Activity]],Q$1))</f>
        <v/>
      </c>
      <c r="R4" s="62" t="str">
        <f>IF(SUMIFS(TableTime[[Duration]:[Duration]],TableTime[[Date]:[Date]],$B4,TableTime[[Activity]:[Activity]],R$1)=0,"",SUMIFS(TableTime[[Duration]:[Duration]],TableTime[[Date]:[Date]],$B4,TableTime[[Activity]:[Activity]],R$1))</f>
        <v/>
      </c>
      <c r="S4" s="131" t="str">
        <f>IF(SUMIFS(TableTime[[Duration]:[Duration]],TableTime[[Date]:[Date]],$B4,TableTime[[Activity]:[Activity]],S$1)=0,"",SUMIFS(TableTime[[Duration]:[Duration]],TableTime[[Date]:[Date]],$B4,TableTime[[Activity]:[Activity]],S$1))</f>
        <v/>
      </c>
      <c r="T4" s="62" t="str">
        <f>IF(SUMIFS(TableTime[[Duration]:[Duration]],TableTime[[Date]:[Date]],$B4,TableTime[[Activity]:[Activity]],T$1)=0,"",SUMIFS(TableTime[[Duration]:[Duration]],TableTime[[Date]:[Date]],$B4,TableTime[[Activity]:[Activity]],T$1))</f>
        <v/>
      </c>
      <c r="U4" s="64" t="str">
        <f>IF(SUMIFS(TableTime[[Duration]:[Duration]],TableTime[[Date]:[Date]],$B4,TableTime[[Activity]:[Activity]],U$1)=0,"",SUMIFS(TableTime[[Duration]:[Duration]],TableTime[[Date]:[Date]],$B4,TableTime[[Activity]:[Activity]],U$1))</f>
        <v/>
      </c>
    </row>
    <row r="5" spans="1:21" x14ac:dyDescent="0.35">
      <c r="A5" s="35" t="str">
        <f t="shared" si="0"/>
        <v>Wed</v>
      </c>
      <c r="B5" s="5">
        <f t="shared" si="2"/>
        <v>44930</v>
      </c>
      <c r="C5" s="1">
        <f t="shared" si="3"/>
        <v>1</v>
      </c>
      <c r="D5" s="2">
        <f t="shared" si="1"/>
        <v>1</v>
      </c>
      <c r="E5" s="102"/>
      <c r="F5" s="1" t="str">
        <f>IFERROR(IF(OR(WEEKDAY(B5,2)=6,WEEKDAY(B5,2)=7),'Month summary'!$D$11,IF(E5="",'Month summary'!$C$11,E5)),"")</f>
        <v>W</v>
      </c>
      <c r="G5" s="4">
        <f>IF(B5&lt;Time!$B$2,"",IF(F5='Month summary'!$C$11,'Month summary'!$F$2/24,IF(F5="H/2",'Month summary'!$F$2/24/2,0)))</f>
        <v>0.33333333333333331</v>
      </c>
      <c r="H5" s="4">
        <f t="shared" si="4"/>
        <v>0</v>
      </c>
      <c r="I5" s="4" t="str">
        <f t="shared" si="5"/>
        <v/>
      </c>
      <c r="J5" s="107"/>
      <c r="K5" s="38" t="str">
        <f>IFERROR(INDEX(TableTime[Time],MATCH(B5,TableTime[Date],0)),"")</f>
        <v/>
      </c>
      <c r="L5" s="4" t="str">
        <f>IF(SUMIFS(TableTime[Duration],TableTime[Date],B5,TableTime[Activity],Projects!$C$9)+SUMIFS(TableTime[Duration],TableTime[Date],B5,TableTime[Activity],Projects!$C$10)+SUMIFS(TableTime[Duration],TableTime[Date],B5,TableTime[Activity],Projects!$C$11)=0,"",SUMIFS(TableTime[Duration],TableTime[Date],B5,TableTime[Activity],Projects!$C$9)+SUMIFS(TableTime[Duration],TableTime[Date],B5,TableTime[Activity],Projects!$C$10)+SUMIFS(TableTime[Duration],TableTime[Date],B5,TableTime[Activity],Projects!$C$11))</f>
        <v/>
      </c>
      <c r="M5" s="4" t="str" cm="1">
        <f t="array" ref="M5">IFERROR(LOOKUP(2,1/(TableTime[Date]=B5),TableTime[Time]),"")</f>
        <v/>
      </c>
      <c r="N5" s="38" t="str">
        <f>IF(SUMIFS(TableTime[[Duration]:[Duration]],TableTime[[Date]:[Date]],$B5,TableTime[[Activity]:[Activity]],N$1)=0,"",SUMIFS(TableTime[[Duration]:[Duration]],TableTime[[Date]:[Date]],$B5,TableTime[[Activity]:[Activity]],N$1))</f>
        <v/>
      </c>
      <c r="O5" s="4" t="str">
        <f>IF(SUMIFS(TableTime[[Duration]:[Duration]],TableTime[[Date]:[Date]],$B5,TableTime[[Activity]:[Activity]],O$1)=0,"",SUMIFS(TableTime[[Duration]:[Duration]],TableTime[[Date]:[Date]],$B5,TableTime[[Activity]:[Activity]],O$1))</f>
        <v/>
      </c>
      <c r="P5" s="4" t="str">
        <f>IF(SUMIFS(TableTime[[Duration]:[Duration]],TableTime[[Date]:[Date]],$B5,TableTime[[Activity]:[Activity]],P$1)=0,"",SUMIFS(TableTime[[Duration]:[Duration]],TableTime[[Date]:[Date]],$B5,TableTime[[Activity]:[Activity]],P$1))</f>
        <v/>
      </c>
      <c r="Q5" s="4" t="str">
        <f>IF(SUMIFS(TableTime[[Duration]:[Duration]],TableTime[[Date]:[Date]],$B5,TableTime[[Activity]:[Activity]],Q$1)=0,"",SUMIFS(TableTime[[Duration]:[Duration]],TableTime[[Date]:[Date]],$B5,TableTime[[Activity]:[Activity]],Q$1))</f>
        <v/>
      </c>
      <c r="R5" s="4" t="str">
        <f>IF(SUMIFS(TableTime[[Duration]:[Duration]],TableTime[[Date]:[Date]],$B5,TableTime[[Activity]:[Activity]],R$1)=0,"",SUMIFS(TableTime[[Duration]:[Duration]],TableTime[[Date]:[Date]],$B5,TableTime[[Activity]:[Activity]],R$1))</f>
        <v/>
      </c>
      <c r="S5" s="130" t="str">
        <f>IF(SUMIFS(TableTime[[Duration]:[Duration]],TableTime[[Date]:[Date]],$B5,TableTime[[Activity]:[Activity]],S$1)=0,"",SUMIFS(TableTime[[Duration]:[Duration]],TableTime[[Date]:[Date]],$B5,TableTime[[Activity]:[Activity]],S$1))</f>
        <v/>
      </c>
      <c r="T5" s="4" t="str">
        <f>IF(SUMIFS(TableTime[[Duration]:[Duration]],TableTime[[Date]:[Date]],$B5,TableTime[[Activity]:[Activity]],T$1)=0,"",SUMIFS(TableTime[[Duration]:[Duration]],TableTime[[Date]:[Date]],$B5,TableTime[[Activity]:[Activity]],T$1))</f>
        <v/>
      </c>
      <c r="U5" s="39" t="str">
        <f>IF(SUMIFS(TableTime[[Duration]:[Duration]],TableTime[[Date]:[Date]],$B5,TableTime[[Activity]:[Activity]],U$1)=0,"",SUMIFS(TableTime[[Duration]:[Duration]],TableTime[[Date]:[Date]],$B5,TableTime[[Activity]:[Activity]],U$1))</f>
        <v/>
      </c>
    </row>
    <row r="6" spans="1:21" x14ac:dyDescent="0.35">
      <c r="A6" s="59" t="str">
        <f t="shared" si="0"/>
        <v>Thr</v>
      </c>
      <c r="B6" s="91">
        <f t="shared" si="2"/>
        <v>44931</v>
      </c>
      <c r="C6" s="60">
        <f t="shared" si="3"/>
        <v>1</v>
      </c>
      <c r="D6" s="61">
        <f t="shared" si="1"/>
        <v>1</v>
      </c>
      <c r="E6" s="103"/>
      <c r="F6" s="60" t="str">
        <f>IFERROR(IF(OR(WEEKDAY(B6,2)=6,WEEKDAY(B6,2)=7),'Month summary'!$D$11,IF(E6="",'Month summary'!$C$11,E6)),"")</f>
        <v>W</v>
      </c>
      <c r="G6" s="62">
        <f>IF(B6&lt;Time!$B$2,"",IF(F6='Month summary'!$C$11,'Month summary'!$F$2/24,IF(F6="H/2",'Month summary'!$F$2/24/2,0)))</f>
        <v>0.33333333333333331</v>
      </c>
      <c r="H6" s="62">
        <f t="shared" si="4"/>
        <v>0</v>
      </c>
      <c r="I6" s="62" t="str">
        <f t="shared" si="5"/>
        <v/>
      </c>
      <c r="J6" s="108"/>
      <c r="K6" s="63" t="str">
        <f>IFERROR(INDEX(TableTime[Time],MATCH(B6,TableTime[Date],0)),"")</f>
        <v/>
      </c>
      <c r="L6" s="62" t="str">
        <f>IF(SUMIFS(TableTime[Duration],TableTime[Date],B6,TableTime[Activity],Projects!$C$9)+SUMIFS(TableTime[Duration],TableTime[Date],B6,TableTime[Activity],Projects!$C$10)+SUMIFS(TableTime[Duration],TableTime[Date],B6,TableTime[Activity],Projects!$C$11)=0,"",SUMIFS(TableTime[Duration],TableTime[Date],B6,TableTime[Activity],Projects!$C$9)+SUMIFS(TableTime[Duration],TableTime[Date],B6,TableTime[Activity],Projects!$C$10)+SUMIFS(TableTime[Duration],TableTime[Date],B6,TableTime[Activity],Projects!$C$11))</f>
        <v/>
      </c>
      <c r="M6" s="62" t="str" cm="1">
        <f t="array" ref="M6">IFERROR(LOOKUP(2,1/(TableTime[Date]=B6),TableTime[Time]),"")</f>
        <v/>
      </c>
      <c r="N6" s="63" t="str">
        <f>IF(SUMIFS(TableTime[[Duration]:[Duration]],TableTime[[Date]:[Date]],$B6,TableTime[[Activity]:[Activity]],N$1)=0,"",SUMIFS(TableTime[[Duration]:[Duration]],TableTime[[Date]:[Date]],$B6,TableTime[[Activity]:[Activity]],N$1))</f>
        <v/>
      </c>
      <c r="O6" s="62" t="str">
        <f>IF(SUMIFS(TableTime[[Duration]:[Duration]],TableTime[[Date]:[Date]],$B6,TableTime[[Activity]:[Activity]],O$1)=0,"",SUMIFS(TableTime[[Duration]:[Duration]],TableTime[[Date]:[Date]],$B6,TableTime[[Activity]:[Activity]],O$1))</f>
        <v/>
      </c>
      <c r="P6" s="62" t="str">
        <f>IF(SUMIFS(TableTime[[Duration]:[Duration]],TableTime[[Date]:[Date]],$B6,TableTime[[Activity]:[Activity]],P$1)=0,"",SUMIFS(TableTime[[Duration]:[Duration]],TableTime[[Date]:[Date]],$B6,TableTime[[Activity]:[Activity]],P$1))</f>
        <v/>
      </c>
      <c r="Q6" s="62" t="str">
        <f>IF(SUMIFS(TableTime[[Duration]:[Duration]],TableTime[[Date]:[Date]],$B6,TableTime[[Activity]:[Activity]],Q$1)=0,"",SUMIFS(TableTime[[Duration]:[Duration]],TableTime[[Date]:[Date]],$B6,TableTime[[Activity]:[Activity]],Q$1))</f>
        <v/>
      </c>
      <c r="R6" s="62" t="str">
        <f>IF(SUMIFS(TableTime[[Duration]:[Duration]],TableTime[[Date]:[Date]],$B6,TableTime[[Activity]:[Activity]],R$1)=0,"",SUMIFS(TableTime[[Duration]:[Duration]],TableTime[[Date]:[Date]],$B6,TableTime[[Activity]:[Activity]],R$1))</f>
        <v/>
      </c>
      <c r="S6" s="131" t="str">
        <f>IF(SUMIFS(TableTime[[Duration]:[Duration]],TableTime[[Date]:[Date]],$B6,TableTime[[Activity]:[Activity]],S$1)=0,"",SUMIFS(TableTime[[Duration]:[Duration]],TableTime[[Date]:[Date]],$B6,TableTime[[Activity]:[Activity]],S$1))</f>
        <v/>
      </c>
      <c r="T6" s="62" t="str">
        <f>IF(SUMIFS(TableTime[[Duration]:[Duration]],TableTime[[Date]:[Date]],$B6,TableTime[[Activity]:[Activity]],T$1)=0,"",SUMIFS(TableTime[[Duration]:[Duration]],TableTime[[Date]:[Date]],$B6,TableTime[[Activity]:[Activity]],T$1))</f>
        <v/>
      </c>
      <c r="U6" s="64" t="str">
        <f>IF(SUMIFS(TableTime[[Duration]:[Duration]],TableTime[[Date]:[Date]],$B6,TableTime[[Activity]:[Activity]],U$1)=0,"",SUMIFS(TableTime[[Duration]:[Duration]],TableTime[[Date]:[Date]],$B6,TableTime[[Activity]:[Activity]],U$1))</f>
        <v/>
      </c>
    </row>
    <row r="7" spans="1:21" x14ac:dyDescent="0.35">
      <c r="A7" s="35" t="str">
        <f t="shared" si="0"/>
        <v>Fri</v>
      </c>
      <c r="B7" s="5">
        <f t="shared" si="2"/>
        <v>44932</v>
      </c>
      <c r="C7" s="1">
        <f t="shared" si="3"/>
        <v>1</v>
      </c>
      <c r="D7" s="2">
        <f t="shared" si="1"/>
        <v>1</v>
      </c>
      <c r="E7" s="102"/>
      <c r="F7" s="1" t="str">
        <f>IFERROR(IF(OR(WEEKDAY(B7,2)=6,WEEKDAY(B7,2)=7),'Month summary'!$D$11,IF(E7="",'Month summary'!$C$11,E7)),"")</f>
        <v>W</v>
      </c>
      <c r="G7" s="4">
        <f>IF(B7&lt;Time!$B$2,"",IF(F7='Month summary'!$C$11,'Month summary'!$F$2/24,IF(F7="H/2",'Month summary'!$F$2/24/2,0)))</f>
        <v>0.33333333333333331</v>
      </c>
      <c r="H7" s="4">
        <f t="shared" si="4"/>
        <v>0</v>
      </c>
      <c r="I7" s="4" t="str">
        <f t="shared" si="5"/>
        <v/>
      </c>
      <c r="J7" s="107"/>
      <c r="K7" s="38" t="str">
        <f>IFERROR(INDEX(TableTime[Time],MATCH(B7,TableTime[Date],0)),"")</f>
        <v/>
      </c>
      <c r="L7" s="4" t="str">
        <f>IF(SUMIFS(TableTime[Duration],TableTime[Date],B7,TableTime[Activity],Projects!$C$9)+SUMIFS(TableTime[Duration],TableTime[Date],B7,TableTime[Activity],Projects!$C$10)+SUMIFS(TableTime[Duration],TableTime[Date],B7,TableTime[Activity],Projects!$C$11)=0,"",SUMIFS(TableTime[Duration],TableTime[Date],B7,TableTime[Activity],Projects!$C$9)+SUMIFS(TableTime[Duration],TableTime[Date],B7,TableTime[Activity],Projects!$C$10)+SUMIFS(TableTime[Duration],TableTime[Date],B7,TableTime[Activity],Projects!$C$11))</f>
        <v/>
      </c>
      <c r="M7" s="4" t="str" cm="1">
        <f t="array" ref="M7">IFERROR(LOOKUP(2,1/(TableTime[Date]=B7),TableTime[Time]),"")</f>
        <v/>
      </c>
      <c r="N7" s="38" t="str">
        <f>IF(SUMIFS(TableTime[[Duration]:[Duration]],TableTime[[Date]:[Date]],$B7,TableTime[[Activity]:[Activity]],N$1)=0,"",SUMIFS(TableTime[[Duration]:[Duration]],TableTime[[Date]:[Date]],$B7,TableTime[[Activity]:[Activity]],N$1))</f>
        <v/>
      </c>
      <c r="O7" s="4" t="str">
        <f>IF(SUMIFS(TableTime[[Duration]:[Duration]],TableTime[[Date]:[Date]],$B7,TableTime[[Activity]:[Activity]],O$1)=0,"",SUMIFS(TableTime[[Duration]:[Duration]],TableTime[[Date]:[Date]],$B7,TableTime[[Activity]:[Activity]],O$1))</f>
        <v/>
      </c>
      <c r="P7" s="4" t="str">
        <f>IF(SUMIFS(TableTime[[Duration]:[Duration]],TableTime[[Date]:[Date]],$B7,TableTime[[Activity]:[Activity]],P$1)=0,"",SUMIFS(TableTime[[Duration]:[Duration]],TableTime[[Date]:[Date]],$B7,TableTime[[Activity]:[Activity]],P$1))</f>
        <v/>
      </c>
      <c r="Q7" s="4" t="str">
        <f>IF(SUMIFS(TableTime[[Duration]:[Duration]],TableTime[[Date]:[Date]],$B7,TableTime[[Activity]:[Activity]],Q$1)=0,"",SUMIFS(TableTime[[Duration]:[Duration]],TableTime[[Date]:[Date]],$B7,TableTime[[Activity]:[Activity]],Q$1))</f>
        <v/>
      </c>
      <c r="R7" s="4" t="str">
        <f>IF(SUMIFS(TableTime[[Duration]:[Duration]],TableTime[[Date]:[Date]],$B7,TableTime[[Activity]:[Activity]],R$1)=0,"",SUMIFS(TableTime[[Duration]:[Duration]],TableTime[[Date]:[Date]],$B7,TableTime[[Activity]:[Activity]],R$1))</f>
        <v/>
      </c>
      <c r="S7" s="130" t="str">
        <f>IF(SUMIFS(TableTime[[Duration]:[Duration]],TableTime[[Date]:[Date]],$B7,TableTime[[Activity]:[Activity]],S$1)=0,"",SUMIFS(TableTime[[Duration]:[Duration]],TableTime[[Date]:[Date]],$B7,TableTime[[Activity]:[Activity]],S$1))</f>
        <v/>
      </c>
      <c r="T7" s="4" t="str">
        <f>IF(SUMIFS(TableTime[[Duration]:[Duration]],TableTime[[Date]:[Date]],$B7,TableTime[[Activity]:[Activity]],T$1)=0,"",SUMIFS(TableTime[[Duration]:[Duration]],TableTime[[Date]:[Date]],$B7,TableTime[[Activity]:[Activity]],T$1))</f>
        <v/>
      </c>
      <c r="U7" s="39" t="str">
        <f>IF(SUMIFS(TableTime[[Duration]:[Duration]],TableTime[[Date]:[Date]],$B7,TableTime[[Activity]:[Activity]],U$1)=0,"",SUMIFS(TableTime[[Duration]:[Duration]],TableTime[[Date]:[Date]],$B7,TableTime[[Activity]:[Activity]],U$1))</f>
        <v/>
      </c>
    </row>
    <row r="8" spans="1:21" x14ac:dyDescent="0.35">
      <c r="A8" s="59" t="str">
        <f t="shared" si="0"/>
        <v>Sat</v>
      </c>
      <c r="B8" s="91">
        <f t="shared" si="2"/>
        <v>44933</v>
      </c>
      <c r="C8" s="60">
        <f t="shared" si="3"/>
        <v>1</v>
      </c>
      <c r="D8" s="61">
        <f t="shared" si="1"/>
        <v>1</v>
      </c>
      <c r="E8" s="103"/>
      <c r="F8" s="60" t="str">
        <f>IFERROR(IF(OR(WEEKDAY(B8,2)=6,WEEKDAY(B8,2)=7),'Month summary'!$D$11,IF(E8="",'Month summary'!$C$11,E8)),"")</f>
        <v>WE</v>
      </c>
      <c r="G8" s="62">
        <f>IF(B8&lt;Time!$B$2,"",IF(F8='Month summary'!$C$11,'Month summary'!$F$2/24,IF(F8="H/2",'Month summary'!$F$2/24/2,0)))</f>
        <v>0</v>
      </c>
      <c r="H8" s="62">
        <f t="shared" si="4"/>
        <v>0</v>
      </c>
      <c r="I8" s="62" t="str">
        <f t="shared" si="5"/>
        <v/>
      </c>
      <c r="J8" s="108"/>
      <c r="K8" s="63" t="str">
        <f>IFERROR(INDEX(TableTime[Time],MATCH(B8,TableTime[Date],0)),"")</f>
        <v/>
      </c>
      <c r="L8" s="62" t="str">
        <f>IF(SUMIFS(TableTime[Duration],TableTime[Date],B8,TableTime[Activity],Projects!$C$9)+SUMIFS(TableTime[Duration],TableTime[Date],B8,TableTime[Activity],Projects!$C$10)+SUMIFS(TableTime[Duration],TableTime[Date],B8,TableTime[Activity],Projects!$C$11)=0,"",SUMIFS(TableTime[Duration],TableTime[Date],B8,TableTime[Activity],Projects!$C$9)+SUMIFS(TableTime[Duration],TableTime[Date],B8,TableTime[Activity],Projects!$C$10)+SUMIFS(TableTime[Duration],TableTime[Date],B8,TableTime[Activity],Projects!$C$11))</f>
        <v/>
      </c>
      <c r="M8" s="62" t="str" cm="1">
        <f t="array" ref="M8">IFERROR(LOOKUP(2,1/(TableTime[Date]=B8),TableTime[Time]),"")</f>
        <v/>
      </c>
      <c r="N8" s="63" t="str">
        <f>IF(SUMIFS(TableTime[[Duration]:[Duration]],TableTime[[Date]:[Date]],$B8,TableTime[[Activity]:[Activity]],N$1)=0,"",SUMIFS(TableTime[[Duration]:[Duration]],TableTime[[Date]:[Date]],$B8,TableTime[[Activity]:[Activity]],N$1))</f>
        <v/>
      </c>
      <c r="O8" s="62" t="str">
        <f>IF(SUMIFS(TableTime[[Duration]:[Duration]],TableTime[[Date]:[Date]],$B8,TableTime[[Activity]:[Activity]],O$1)=0,"",SUMIFS(TableTime[[Duration]:[Duration]],TableTime[[Date]:[Date]],$B8,TableTime[[Activity]:[Activity]],O$1))</f>
        <v/>
      </c>
      <c r="P8" s="62" t="str">
        <f>IF(SUMIFS(TableTime[[Duration]:[Duration]],TableTime[[Date]:[Date]],$B8,TableTime[[Activity]:[Activity]],P$1)=0,"",SUMIFS(TableTime[[Duration]:[Duration]],TableTime[[Date]:[Date]],$B8,TableTime[[Activity]:[Activity]],P$1))</f>
        <v/>
      </c>
      <c r="Q8" s="62" t="str">
        <f>IF(SUMIFS(TableTime[[Duration]:[Duration]],TableTime[[Date]:[Date]],$B8,TableTime[[Activity]:[Activity]],Q$1)=0,"",SUMIFS(TableTime[[Duration]:[Duration]],TableTime[[Date]:[Date]],$B8,TableTime[[Activity]:[Activity]],Q$1))</f>
        <v/>
      </c>
      <c r="R8" s="62" t="str">
        <f>IF(SUMIFS(TableTime[[Duration]:[Duration]],TableTime[[Date]:[Date]],$B8,TableTime[[Activity]:[Activity]],R$1)=0,"",SUMIFS(TableTime[[Duration]:[Duration]],TableTime[[Date]:[Date]],$B8,TableTime[[Activity]:[Activity]],R$1))</f>
        <v/>
      </c>
      <c r="S8" s="131" t="str">
        <f>IF(SUMIFS(TableTime[[Duration]:[Duration]],TableTime[[Date]:[Date]],$B8,TableTime[[Activity]:[Activity]],S$1)=0,"",SUMIFS(TableTime[[Duration]:[Duration]],TableTime[[Date]:[Date]],$B8,TableTime[[Activity]:[Activity]],S$1))</f>
        <v/>
      </c>
      <c r="T8" s="62" t="str">
        <f>IF(SUMIFS(TableTime[[Duration]:[Duration]],TableTime[[Date]:[Date]],$B8,TableTime[[Activity]:[Activity]],T$1)=0,"",SUMIFS(TableTime[[Duration]:[Duration]],TableTime[[Date]:[Date]],$B8,TableTime[[Activity]:[Activity]],T$1))</f>
        <v/>
      </c>
      <c r="U8" s="64" t="str">
        <f>IF(SUMIFS(TableTime[[Duration]:[Duration]],TableTime[[Date]:[Date]],$B8,TableTime[[Activity]:[Activity]],U$1)=0,"",SUMIFS(TableTime[[Duration]:[Duration]],TableTime[[Date]:[Date]],$B8,TableTime[[Activity]:[Activity]],U$1))</f>
        <v/>
      </c>
    </row>
    <row r="9" spans="1:21" x14ac:dyDescent="0.35">
      <c r="A9" s="35" t="str">
        <f t="shared" si="0"/>
        <v>Sun</v>
      </c>
      <c r="B9" s="5">
        <f t="shared" si="2"/>
        <v>44934</v>
      </c>
      <c r="C9" s="1">
        <f t="shared" si="3"/>
        <v>1</v>
      </c>
      <c r="D9" s="2">
        <f t="shared" si="1"/>
        <v>1</v>
      </c>
      <c r="E9" s="102"/>
      <c r="F9" s="1" t="str">
        <f>IFERROR(IF(OR(WEEKDAY(B9,2)=6,WEEKDAY(B9,2)=7),'Month summary'!$D$11,IF(E9="",'Month summary'!$C$11,E9)),"")</f>
        <v>WE</v>
      </c>
      <c r="G9" s="4">
        <f>IF(B9&lt;Time!$B$2,"",IF(F9='Month summary'!$C$11,'Month summary'!$F$2/24,IF(F9="H/2",'Month summary'!$F$2/24/2,0)))</f>
        <v>0</v>
      </c>
      <c r="H9" s="4">
        <f t="shared" si="4"/>
        <v>0</v>
      </c>
      <c r="I9" s="4" t="str">
        <f t="shared" si="5"/>
        <v/>
      </c>
      <c r="J9" s="107"/>
      <c r="K9" s="38" t="str">
        <f>IFERROR(INDEX(TableTime[Time],MATCH(B9,TableTime[Date],0)),"")</f>
        <v/>
      </c>
      <c r="L9" s="4" t="str">
        <f>IF(SUMIFS(TableTime[Duration],TableTime[Date],B9,TableTime[Activity],Projects!$C$9)+SUMIFS(TableTime[Duration],TableTime[Date],B9,TableTime[Activity],Projects!$C$10)+SUMIFS(TableTime[Duration],TableTime[Date],B9,TableTime[Activity],Projects!$C$11)=0,"",SUMIFS(TableTime[Duration],TableTime[Date],B9,TableTime[Activity],Projects!$C$9)+SUMIFS(TableTime[Duration],TableTime[Date],B9,TableTime[Activity],Projects!$C$10)+SUMIFS(TableTime[Duration],TableTime[Date],B9,TableTime[Activity],Projects!$C$11))</f>
        <v/>
      </c>
      <c r="M9" s="4" t="str" cm="1">
        <f t="array" ref="M9">IFERROR(LOOKUP(2,1/(TableTime[Date]=B9),TableTime[Time]),"")</f>
        <v/>
      </c>
      <c r="N9" s="38" t="str">
        <f>IF(SUMIFS(TableTime[[Duration]:[Duration]],TableTime[[Date]:[Date]],$B9,TableTime[[Activity]:[Activity]],N$1)=0,"",SUMIFS(TableTime[[Duration]:[Duration]],TableTime[[Date]:[Date]],$B9,TableTime[[Activity]:[Activity]],N$1))</f>
        <v/>
      </c>
      <c r="O9" s="4" t="str">
        <f>IF(SUMIFS(TableTime[[Duration]:[Duration]],TableTime[[Date]:[Date]],$B9,TableTime[[Activity]:[Activity]],O$1)=0,"",SUMIFS(TableTime[[Duration]:[Duration]],TableTime[[Date]:[Date]],$B9,TableTime[[Activity]:[Activity]],O$1))</f>
        <v/>
      </c>
      <c r="P9" s="4" t="str">
        <f>IF(SUMIFS(TableTime[[Duration]:[Duration]],TableTime[[Date]:[Date]],$B9,TableTime[[Activity]:[Activity]],P$1)=0,"",SUMIFS(TableTime[[Duration]:[Duration]],TableTime[[Date]:[Date]],$B9,TableTime[[Activity]:[Activity]],P$1))</f>
        <v/>
      </c>
      <c r="Q9" s="4" t="str">
        <f>IF(SUMIFS(TableTime[[Duration]:[Duration]],TableTime[[Date]:[Date]],$B9,TableTime[[Activity]:[Activity]],Q$1)=0,"",SUMIFS(TableTime[[Duration]:[Duration]],TableTime[[Date]:[Date]],$B9,TableTime[[Activity]:[Activity]],Q$1))</f>
        <v/>
      </c>
      <c r="R9" s="4" t="str">
        <f>IF(SUMIFS(TableTime[[Duration]:[Duration]],TableTime[[Date]:[Date]],$B9,TableTime[[Activity]:[Activity]],R$1)=0,"",SUMIFS(TableTime[[Duration]:[Duration]],TableTime[[Date]:[Date]],$B9,TableTime[[Activity]:[Activity]],R$1))</f>
        <v/>
      </c>
      <c r="S9" s="130" t="str">
        <f>IF(SUMIFS(TableTime[[Duration]:[Duration]],TableTime[[Date]:[Date]],$B9,TableTime[[Activity]:[Activity]],S$1)=0,"",SUMIFS(TableTime[[Duration]:[Duration]],TableTime[[Date]:[Date]],$B9,TableTime[[Activity]:[Activity]],S$1))</f>
        <v/>
      </c>
      <c r="T9" s="4" t="str">
        <f>IF(SUMIFS(TableTime[[Duration]:[Duration]],TableTime[[Date]:[Date]],$B9,TableTime[[Activity]:[Activity]],T$1)=0,"",SUMIFS(TableTime[[Duration]:[Duration]],TableTime[[Date]:[Date]],$B9,TableTime[[Activity]:[Activity]],T$1))</f>
        <v/>
      </c>
      <c r="U9" s="39" t="str">
        <f>IF(SUMIFS(TableTime[[Duration]:[Duration]],TableTime[[Date]:[Date]],$B9,TableTime[[Activity]:[Activity]],U$1)=0,"",SUMIFS(TableTime[[Duration]:[Duration]],TableTime[[Date]:[Date]],$B9,TableTime[[Activity]:[Activity]],U$1))</f>
        <v/>
      </c>
    </row>
    <row r="10" spans="1:21" x14ac:dyDescent="0.35">
      <c r="A10" s="59" t="str">
        <f t="shared" si="0"/>
        <v>Mon</v>
      </c>
      <c r="B10" s="91">
        <f t="shared" si="2"/>
        <v>44935</v>
      </c>
      <c r="C10" s="60">
        <f t="shared" si="3"/>
        <v>1</v>
      </c>
      <c r="D10" s="61">
        <f t="shared" si="1"/>
        <v>2</v>
      </c>
      <c r="E10" s="103"/>
      <c r="F10" s="60" t="str">
        <f>IFERROR(IF(OR(WEEKDAY(B10,2)=6,WEEKDAY(B10,2)=7),'Month summary'!$D$11,IF(E10="",'Month summary'!$C$11,E10)),"")</f>
        <v>W</v>
      </c>
      <c r="G10" s="62">
        <f>IF(B10&lt;Time!$B$2,"",IF(F10='Month summary'!$C$11,'Month summary'!$F$2/24,IF(F10="H/2",'Month summary'!$F$2/24/2,0)))</f>
        <v>0.33333333333333331</v>
      </c>
      <c r="H10" s="62">
        <f t="shared" si="4"/>
        <v>0</v>
      </c>
      <c r="I10" s="62" t="str">
        <f t="shared" si="5"/>
        <v/>
      </c>
      <c r="J10" s="108"/>
      <c r="K10" s="63" t="str">
        <f>IFERROR(INDEX(TableTime[Time],MATCH(B10,TableTime[Date],0)),"")</f>
        <v/>
      </c>
      <c r="L10" s="62" t="str">
        <f>IF(SUMIFS(TableTime[Duration],TableTime[Date],B10,TableTime[Activity],Projects!$C$9)+SUMIFS(TableTime[Duration],TableTime[Date],B10,TableTime[Activity],Projects!$C$10)+SUMIFS(TableTime[Duration],TableTime[Date],B10,TableTime[Activity],Projects!$C$11)=0,"",SUMIFS(TableTime[Duration],TableTime[Date],B10,TableTime[Activity],Projects!$C$9)+SUMIFS(TableTime[Duration],TableTime[Date],B10,TableTime[Activity],Projects!$C$10)+SUMIFS(TableTime[Duration],TableTime[Date],B10,TableTime[Activity],Projects!$C$11))</f>
        <v/>
      </c>
      <c r="M10" s="62" t="str" cm="1">
        <f t="array" ref="M10">IFERROR(LOOKUP(2,1/(TableTime[Date]=B10),TableTime[Time]),"")</f>
        <v/>
      </c>
      <c r="N10" s="63" t="str">
        <f>IF(SUMIFS(TableTime[[Duration]:[Duration]],TableTime[[Date]:[Date]],$B10,TableTime[[Activity]:[Activity]],N$1)=0,"",SUMIFS(TableTime[[Duration]:[Duration]],TableTime[[Date]:[Date]],$B10,TableTime[[Activity]:[Activity]],N$1))</f>
        <v/>
      </c>
      <c r="O10" s="62" t="str">
        <f>IF(SUMIFS(TableTime[[Duration]:[Duration]],TableTime[[Date]:[Date]],$B10,TableTime[[Activity]:[Activity]],O$1)=0,"",SUMIFS(TableTime[[Duration]:[Duration]],TableTime[[Date]:[Date]],$B10,TableTime[[Activity]:[Activity]],O$1))</f>
        <v/>
      </c>
      <c r="P10" s="62" t="str">
        <f>IF(SUMIFS(TableTime[[Duration]:[Duration]],TableTime[[Date]:[Date]],$B10,TableTime[[Activity]:[Activity]],P$1)=0,"",SUMIFS(TableTime[[Duration]:[Duration]],TableTime[[Date]:[Date]],$B10,TableTime[[Activity]:[Activity]],P$1))</f>
        <v/>
      </c>
      <c r="Q10" s="62" t="str">
        <f>IF(SUMIFS(TableTime[[Duration]:[Duration]],TableTime[[Date]:[Date]],$B10,TableTime[[Activity]:[Activity]],Q$1)=0,"",SUMIFS(TableTime[[Duration]:[Duration]],TableTime[[Date]:[Date]],$B10,TableTime[[Activity]:[Activity]],Q$1))</f>
        <v/>
      </c>
      <c r="R10" s="62" t="str">
        <f>IF(SUMIFS(TableTime[[Duration]:[Duration]],TableTime[[Date]:[Date]],$B10,TableTime[[Activity]:[Activity]],R$1)=0,"",SUMIFS(TableTime[[Duration]:[Duration]],TableTime[[Date]:[Date]],$B10,TableTime[[Activity]:[Activity]],R$1))</f>
        <v/>
      </c>
      <c r="S10" s="131" t="str">
        <f>IF(SUMIFS(TableTime[[Duration]:[Duration]],TableTime[[Date]:[Date]],$B10,TableTime[[Activity]:[Activity]],S$1)=0,"",SUMIFS(TableTime[[Duration]:[Duration]],TableTime[[Date]:[Date]],$B10,TableTime[[Activity]:[Activity]],S$1))</f>
        <v/>
      </c>
      <c r="T10" s="62" t="str">
        <f>IF(SUMIFS(TableTime[[Duration]:[Duration]],TableTime[[Date]:[Date]],$B10,TableTime[[Activity]:[Activity]],T$1)=0,"",SUMIFS(TableTime[[Duration]:[Duration]],TableTime[[Date]:[Date]],$B10,TableTime[[Activity]:[Activity]],T$1))</f>
        <v/>
      </c>
      <c r="U10" s="64" t="str">
        <f>IF(SUMIFS(TableTime[[Duration]:[Duration]],TableTime[[Date]:[Date]],$B10,TableTime[[Activity]:[Activity]],U$1)=0,"",SUMIFS(TableTime[[Duration]:[Duration]],TableTime[[Date]:[Date]],$B10,TableTime[[Activity]:[Activity]],U$1))</f>
        <v/>
      </c>
    </row>
    <row r="11" spans="1:21" x14ac:dyDescent="0.35">
      <c r="A11" s="35" t="str">
        <f t="shared" si="0"/>
        <v>Tue</v>
      </c>
      <c r="B11" s="5">
        <f t="shared" si="2"/>
        <v>44936</v>
      </c>
      <c r="C11" s="1">
        <f t="shared" si="3"/>
        <v>1</v>
      </c>
      <c r="D11" s="2">
        <f t="shared" si="1"/>
        <v>2</v>
      </c>
      <c r="E11" s="102"/>
      <c r="F11" s="1" t="str">
        <f>IFERROR(IF(OR(WEEKDAY(B11,2)=6,WEEKDAY(B11,2)=7),'Month summary'!$D$11,IF(E11="",'Month summary'!$C$11,E11)),"")</f>
        <v>W</v>
      </c>
      <c r="G11" s="4">
        <f>IF(B11&lt;Time!$B$2,"",IF(F11='Month summary'!$C$11,'Month summary'!$F$2/24,IF(F11="H/2",'Month summary'!$F$2/24/2,0)))</f>
        <v>0.33333333333333331</v>
      </c>
      <c r="H11" s="4">
        <f t="shared" si="4"/>
        <v>0</v>
      </c>
      <c r="I11" s="4" t="str">
        <f t="shared" si="5"/>
        <v/>
      </c>
      <c r="J11" s="107"/>
      <c r="K11" s="38" t="str">
        <f>IFERROR(INDEX(TableTime[Time],MATCH(B11,TableTime[Date],0)),"")</f>
        <v/>
      </c>
      <c r="L11" s="4" t="str">
        <f>IF(SUMIFS(TableTime[Duration],TableTime[Date],B11,TableTime[Activity],Projects!$C$9)+SUMIFS(TableTime[Duration],TableTime[Date],B11,TableTime[Activity],Projects!$C$10)+SUMIFS(TableTime[Duration],TableTime[Date],B11,TableTime[Activity],Projects!$C$11)=0,"",SUMIFS(TableTime[Duration],TableTime[Date],B11,TableTime[Activity],Projects!$C$9)+SUMIFS(TableTime[Duration],TableTime[Date],B11,TableTime[Activity],Projects!$C$10)+SUMIFS(TableTime[Duration],TableTime[Date],B11,TableTime[Activity],Projects!$C$11))</f>
        <v/>
      </c>
      <c r="M11" s="4" t="str" cm="1">
        <f t="array" ref="M11">IFERROR(LOOKUP(2,1/(TableTime[Date]=B11),TableTime[Time]),"")</f>
        <v/>
      </c>
      <c r="N11" s="38" t="str">
        <f>IF(SUMIFS(TableTime[[Duration]:[Duration]],TableTime[[Date]:[Date]],$B11,TableTime[[Activity]:[Activity]],N$1)=0,"",SUMIFS(TableTime[[Duration]:[Duration]],TableTime[[Date]:[Date]],$B11,TableTime[[Activity]:[Activity]],N$1))</f>
        <v/>
      </c>
      <c r="O11" s="4" t="str">
        <f>IF(SUMIFS(TableTime[[Duration]:[Duration]],TableTime[[Date]:[Date]],$B11,TableTime[[Activity]:[Activity]],O$1)=0,"",SUMIFS(TableTime[[Duration]:[Duration]],TableTime[[Date]:[Date]],$B11,TableTime[[Activity]:[Activity]],O$1))</f>
        <v/>
      </c>
      <c r="P11" s="4" t="str">
        <f>IF(SUMIFS(TableTime[[Duration]:[Duration]],TableTime[[Date]:[Date]],$B11,TableTime[[Activity]:[Activity]],P$1)=0,"",SUMIFS(TableTime[[Duration]:[Duration]],TableTime[[Date]:[Date]],$B11,TableTime[[Activity]:[Activity]],P$1))</f>
        <v/>
      </c>
      <c r="Q11" s="4" t="str">
        <f>IF(SUMIFS(TableTime[[Duration]:[Duration]],TableTime[[Date]:[Date]],$B11,TableTime[[Activity]:[Activity]],Q$1)=0,"",SUMIFS(TableTime[[Duration]:[Duration]],TableTime[[Date]:[Date]],$B11,TableTime[[Activity]:[Activity]],Q$1))</f>
        <v/>
      </c>
      <c r="R11" s="4" t="str">
        <f>IF(SUMIFS(TableTime[[Duration]:[Duration]],TableTime[[Date]:[Date]],$B11,TableTime[[Activity]:[Activity]],R$1)=0,"",SUMIFS(TableTime[[Duration]:[Duration]],TableTime[[Date]:[Date]],$B11,TableTime[[Activity]:[Activity]],R$1))</f>
        <v/>
      </c>
      <c r="S11" s="130" t="str">
        <f>IF(SUMIFS(TableTime[[Duration]:[Duration]],TableTime[[Date]:[Date]],$B11,TableTime[[Activity]:[Activity]],S$1)=0,"",SUMIFS(TableTime[[Duration]:[Duration]],TableTime[[Date]:[Date]],$B11,TableTime[[Activity]:[Activity]],S$1))</f>
        <v/>
      </c>
      <c r="T11" s="4" t="str">
        <f>IF(SUMIFS(TableTime[[Duration]:[Duration]],TableTime[[Date]:[Date]],$B11,TableTime[[Activity]:[Activity]],T$1)=0,"",SUMIFS(TableTime[[Duration]:[Duration]],TableTime[[Date]:[Date]],$B11,TableTime[[Activity]:[Activity]],T$1))</f>
        <v/>
      </c>
      <c r="U11" s="39" t="str">
        <f>IF(SUMIFS(TableTime[[Duration]:[Duration]],TableTime[[Date]:[Date]],$B11,TableTime[[Activity]:[Activity]],U$1)=0,"",SUMIFS(TableTime[[Duration]:[Duration]],TableTime[[Date]:[Date]],$B11,TableTime[[Activity]:[Activity]],U$1))</f>
        <v/>
      </c>
    </row>
    <row r="12" spans="1:21" x14ac:dyDescent="0.35">
      <c r="A12" s="59" t="str">
        <f t="shared" si="0"/>
        <v>Wed</v>
      </c>
      <c r="B12" s="91">
        <f t="shared" si="2"/>
        <v>44937</v>
      </c>
      <c r="C12" s="60">
        <f t="shared" si="3"/>
        <v>1</v>
      </c>
      <c r="D12" s="61">
        <f t="shared" si="1"/>
        <v>2</v>
      </c>
      <c r="E12" s="103"/>
      <c r="F12" s="60" t="str">
        <f>IFERROR(IF(OR(WEEKDAY(B12,2)=6,WEEKDAY(B12,2)=7),'Month summary'!$D$11,IF(E12="",'Month summary'!$C$11,E12)),"")</f>
        <v>W</v>
      </c>
      <c r="G12" s="62">
        <f>IF(B12&lt;Time!$B$2,"",IF(F12='Month summary'!$C$11,'Month summary'!$F$2/24,IF(F12="H/2",'Month summary'!$F$2/24/2,0)))</f>
        <v>0.33333333333333331</v>
      </c>
      <c r="H12" s="62">
        <f t="shared" si="4"/>
        <v>0</v>
      </c>
      <c r="I12" s="62" t="str">
        <f t="shared" si="5"/>
        <v/>
      </c>
      <c r="J12" s="108"/>
      <c r="K12" s="63" t="str">
        <f>IFERROR(INDEX(TableTime[Time],MATCH(B12,TableTime[Date],0)),"")</f>
        <v/>
      </c>
      <c r="L12" s="62" t="str">
        <f>IF(SUMIFS(TableTime[Duration],TableTime[Date],B12,TableTime[Activity],Projects!$C$9)+SUMIFS(TableTime[Duration],TableTime[Date],B12,TableTime[Activity],Projects!$C$10)+SUMIFS(TableTime[Duration],TableTime[Date],B12,TableTime[Activity],Projects!$C$11)=0,"",SUMIFS(TableTime[Duration],TableTime[Date],B12,TableTime[Activity],Projects!$C$9)+SUMIFS(TableTime[Duration],TableTime[Date],B12,TableTime[Activity],Projects!$C$10)+SUMIFS(TableTime[Duration],TableTime[Date],B12,TableTime[Activity],Projects!$C$11))</f>
        <v/>
      </c>
      <c r="M12" s="62" t="str" cm="1">
        <f t="array" ref="M12">IFERROR(LOOKUP(2,1/(TableTime[Date]=B12),TableTime[Time]),"")</f>
        <v/>
      </c>
      <c r="N12" s="63" t="str">
        <f>IF(SUMIFS(TableTime[[Duration]:[Duration]],TableTime[[Date]:[Date]],$B12,TableTime[[Activity]:[Activity]],N$1)=0,"",SUMIFS(TableTime[[Duration]:[Duration]],TableTime[[Date]:[Date]],$B12,TableTime[[Activity]:[Activity]],N$1))</f>
        <v/>
      </c>
      <c r="O12" s="62" t="str">
        <f>IF(SUMIFS(TableTime[[Duration]:[Duration]],TableTime[[Date]:[Date]],$B12,TableTime[[Activity]:[Activity]],O$1)=0,"",SUMIFS(TableTime[[Duration]:[Duration]],TableTime[[Date]:[Date]],$B12,TableTime[[Activity]:[Activity]],O$1))</f>
        <v/>
      </c>
      <c r="P12" s="62" t="str">
        <f>IF(SUMIFS(TableTime[[Duration]:[Duration]],TableTime[[Date]:[Date]],$B12,TableTime[[Activity]:[Activity]],P$1)=0,"",SUMIFS(TableTime[[Duration]:[Duration]],TableTime[[Date]:[Date]],$B12,TableTime[[Activity]:[Activity]],P$1))</f>
        <v/>
      </c>
      <c r="Q12" s="62" t="str">
        <f>IF(SUMIFS(TableTime[[Duration]:[Duration]],TableTime[[Date]:[Date]],$B12,TableTime[[Activity]:[Activity]],Q$1)=0,"",SUMIFS(TableTime[[Duration]:[Duration]],TableTime[[Date]:[Date]],$B12,TableTime[[Activity]:[Activity]],Q$1))</f>
        <v/>
      </c>
      <c r="R12" s="62" t="str">
        <f>IF(SUMIFS(TableTime[[Duration]:[Duration]],TableTime[[Date]:[Date]],$B12,TableTime[[Activity]:[Activity]],R$1)=0,"",SUMIFS(TableTime[[Duration]:[Duration]],TableTime[[Date]:[Date]],$B12,TableTime[[Activity]:[Activity]],R$1))</f>
        <v/>
      </c>
      <c r="S12" s="131" t="str">
        <f>IF(SUMIFS(TableTime[[Duration]:[Duration]],TableTime[[Date]:[Date]],$B12,TableTime[[Activity]:[Activity]],S$1)=0,"",SUMIFS(TableTime[[Duration]:[Duration]],TableTime[[Date]:[Date]],$B12,TableTime[[Activity]:[Activity]],S$1))</f>
        <v/>
      </c>
      <c r="T12" s="62" t="str">
        <f>IF(SUMIFS(TableTime[[Duration]:[Duration]],TableTime[[Date]:[Date]],$B12,TableTime[[Activity]:[Activity]],T$1)=0,"",SUMIFS(TableTime[[Duration]:[Duration]],TableTime[[Date]:[Date]],$B12,TableTime[[Activity]:[Activity]],T$1))</f>
        <v/>
      </c>
      <c r="U12" s="64" t="str">
        <f>IF(SUMIFS(TableTime[[Duration]:[Duration]],TableTime[[Date]:[Date]],$B12,TableTime[[Activity]:[Activity]],U$1)=0,"",SUMIFS(TableTime[[Duration]:[Duration]],TableTime[[Date]:[Date]],$B12,TableTime[[Activity]:[Activity]],U$1))</f>
        <v/>
      </c>
    </row>
    <row r="13" spans="1:21" x14ac:dyDescent="0.35">
      <c r="A13" s="35" t="str">
        <f t="shared" si="0"/>
        <v>Thr</v>
      </c>
      <c r="B13" s="5">
        <f t="shared" si="2"/>
        <v>44938</v>
      </c>
      <c r="C13" s="1">
        <f t="shared" si="3"/>
        <v>1</v>
      </c>
      <c r="D13" s="2">
        <f t="shared" si="1"/>
        <v>2</v>
      </c>
      <c r="E13" s="102"/>
      <c r="F13" s="1" t="str">
        <f>IFERROR(IF(OR(WEEKDAY(B13,2)=6,WEEKDAY(B13,2)=7),'Month summary'!$D$11,IF(E13="",'Month summary'!$C$11,E13)),"")</f>
        <v>W</v>
      </c>
      <c r="G13" s="4">
        <f>IF(B13&lt;Time!$B$2,"",IF(F13='Month summary'!$C$11,'Month summary'!$F$2/24,IF(F13="H/2",'Month summary'!$F$2/24/2,0)))</f>
        <v>0.33333333333333331</v>
      </c>
      <c r="H13" s="4">
        <f t="shared" si="4"/>
        <v>0</v>
      </c>
      <c r="I13" s="4" t="str">
        <f t="shared" si="5"/>
        <v/>
      </c>
      <c r="J13" s="107"/>
      <c r="K13" s="38" t="str">
        <f>IFERROR(INDEX(TableTime[Time],MATCH(B13,TableTime[Date],0)),"")</f>
        <v/>
      </c>
      <c r="L13" s="4" t="str">
        <f>IF(SUMIFS(TableTime[Duration],TableTime[Date],B13,TableTime[Activity],Projects!$C$9)+SUMIFS(TableTime[Duration],TableTime[Date],B13,TableTime[Activity],Projects!$C$10)+SUMIFS(TableTime[Duration],TableTime[Date],B13,TableTime[Activity],Projects!$C$11)=0,"",SUMIFS(TableTime[Duration],TableTime[Date],B13,TableTime[Activity],Projects!$C$9)+SUMIFS(TableTime[Duration],TableTime[Date],B13,TableTime[Activity],Projects!$C$10)+SUMIFS(TableTime[Duration],TableTime[Date],B13,TableTime[Activity],Projects!$C$11))</f>
        <v/>
      </c>
      <c r="M13" s="4" t="str" cm="1">
        <f t="array" ref="M13">IFERROR(LOOKUP(2,1/(TableTime[Date]=B13),TableTime[Time]),"")</f>
        <v/>
      </c>
      <c r="N13" s="38" t="str">
        <f>IF(SUMIFS(TableTime[[Duration]:[Duration]],TableTime[[Date]:[Date]],$B13,TableTime[[Activity]:[Activity]],N$1)=0,"",SUMIFS(TableTime[[Duration]:[Duration]],TableTime[[Date]:[Date]],$B13,TableTime[[Activity]:[Activity]],N$1))</f>
        <v/>
      </c>
      <c r="O13" s="4" t="str">
        <f>IF(SUMIFS(TableTime[[Duration]:[Duration]],TableTime[[Date]:[Date]],$B13,TableTime[[Activity]:[Activity]],O$1)=0,"",SUMIFS(TableTime[[Duration]:[Duration]],TableTime[[Date]:[Date]],$B13,TableTime[[Activity]:[Activity]],O$1))</f>
        <v/>
      </c>
      <c r="P13" s="4" t="str">
        <f>IF(SUMIFS(TableTime[[Duration]:[Duration]],TableTime[[Date]:[Date]],$B13,TableTime[[Activity]:[Activity]],P$1)=0,"",SUMIFS(TableTime[[Duration]:[Duration]],TableTime[[Date]:[Date]],$B13,TableTime[[Activity]:[Activity]],P$1))</f>
        <v/>
      </c>
      <c r="Q13" s="4" t="str">
        <f>IF(SUMIFS(TableTime[[Duration]:[Duration]],TableTime[[Date]:[Date]],$B13,TableTime[[Activity]:[Activity]],Q$1)=0,"",SUMIFS(TableTime[[Duration]:[Duration]],TableTime[[Date]:[Date]],$B13,TableTime[[Activity]:[Activity]],Q$1))</f>
        <v/>
      </c>
      <c r="R13" s="4" t="str">
        <f>IF(SUMIFS(TableTime[[Duration]:[Duration]],TableTime[[Date]:[Date]],$B13,TableTime[[Activity]:[Activity]],R$1)=0,"",SUMIFS(TableTime[[Duration]:[Duration]],TableTime[[Date]:[Date]],$B13,TableTime[[Activity]:[Activity]],R$1))</f>
        <v/>
      </c>
      <c r="S13" s="130" t="str">
        <f>IF(SUMIFS(TableTime[[Duration]:[Duration]],TableTime[[Date]:[Date]],$B13,TableTime[[Activity]:[Activity]],S$1)=0,"",SUMIFS(TableTime[[Duration]:[Duration]],TableTime[[Date]:[Date]],$B13,TableTime[[Activity]:[Activity]],S$1))</f>
        <v/>
      </c>
      <c r="T13" s="4" t="str">
        <f>IF(SUMIFS(TableTime[[Duration]:[Duration]],TableTime[[Date]:[Date]],$B13,TableTime[[Activity]:[Activity]],T$1)=0,"",SUMIFS(TableTime[[Duration]:[Duration]],TableTime[[Date]:[Date]],$B13,TableTime[[Activity]:[Activity]],T$1))</f>
        <v/>
      </c>
      <c r="U13" s="39" t="str">
        <f>IF(SUMIFS(TableTime[[Duration]:[Duration]],TableTime[[Date]:[Date]],$B13,TableTime[[Activity]:[Activity]],U$1)=0,"",SUMIFS(TableTime[[Duration]:[Duration]],TableTime[[Date]:[Date]],$B13,TableTime[[Activity]:[Activity]],U$1))</f>
        <v/>
      </c>
    </row>
    <row r="14" spans="1:21" x14ac:dyDescent="0.35">
      <c r="A14" s="59" t="str">
        <f t="shared" si="0"/>
        <v>Fri</v>
      </c>
      <c r="B14" s="91">
        <f t="shared" si="2"/>
        <v>44939</v>
      </c>
      <c r="C14" s="60">
        <f t="shared" si="3"/>
        <v>1</v>
      </c>
      <c r="D14" s="61">
        <f t="shared" si="1"/>
        <v>2</v>
      </c>
      <c r="E14" s="103"/>
      <c r="F14" s="60" t="str">
        <f>IFERROR(IF(OR(WEEKDAY(B14,2)=6,WEEKDAY(B14,2)=7),'Month summary'!$D$11,IF(E14="",'Month summary'!$C$11,E14)),"")</f>
        <v>W</v>
      </c>
      <c r="G14" s="62">
        <f>IF(B14&lt;Time!$B$2,"",IF(F14='Month summary'!$C$11,'Month summary'!$F$2/24,IF(F14="H/2",'Month summary'!$F$2/24/2,0)))</f>
        <v>0.33333333333333331</v>
      </c>
      <c r="H14" s="62">
        <f t="shared" si="4"/>
        <v>0</v>
      </c>
      <c r="I14" s="62" t="str">
        <f t="shared" si="5"/>
        <v/>
      </c>
      <c r="J14" s="108"/>
      <c r="K14" s="63" t="str">
        <f>IFERROR(INDEX(TableTime[Time],MATCH(B14,TableTime[Date],0)),"")</f>
        <v/>
      </c>
      <c r="L14" s="62" t="str">
        <f>IF(SUMIFS(TableTime[Duration],TableTime[Date],B14,TableTime[Activity],Projects!$C$9)+SUMIFS(TableTime[Duration],TableTime[Date],B14,TableTime[Activity],Projects!$C$10)+SUMIFS(TableTime[Duration],TableTime[Date],B14,TableTime[Activity],Projects!$C$11)=0,"",SUMIFS(TableTime[Duration],TableTime[Date],B14,TableTime[Activity],Projects!$C$9)+SUMIFS(TableTime[Duration],TableTime[Date],B14,TableTime[Activity],Projects!$C$10)+SUMIFS(TableTime[Duration],TableTime[Date],B14,TableTime[Activity],Projects!$C$11))</f>
        <v/>
      </c>
      <c r="M14" s="62" t="str" cm="1">
        <f t="array" ref="M14">IFERROR(LOOKUP(2,1/(TableTime[Date]=B14),TableTime[Time]),"")</f>
        <v/>
      </c>
      <c r="N14" s="63" t="str">
        <f>IF(SUMIFS(TableTime[[Duration]:[Duration]],TableTime[[Date]:[Date]],$B14,TableTime[[Activity]:[Activity]],N$1)=0,"",SUMIFS(TableTime[[Duration]:[Duration]],TableTime[[Date]:[Date]],$B14,TableTime[[Activity]:[Activity]],N$1))</f>
        <v/>
      </c>
      <c r="O14" s="62" t="str">
        <f>IF(SUMIFS(TableTime[[Duration]:[Duration]],TableTime[[Date]:[Date]],$B14,TableTime[[Activity]:[Activity]],O$1)=0,"",SUMIFS(TableTime[[Duration]:[Duration]],TableTime[[Date]:[Date]],$B14,TableTime[[Activity]:[Activity]],O$1))</f>
        <v/>
      </c>
      <c r="P14" s="62" t="str">
        <f>IF(SUMIFS(TableTime[[Duration]:[Duration]],TableTime[[Date]:[Date]],$B14,TableTime[[Activity]:[Activity]],P$1)=0,"",SUMIFS(TableTime[[Duration]:[Duration]],TableTime[[Date]:[Date]],$B14,TableTime[[Activity]:[Activity]],P$1))</f>
        <v/>
      </c>
      <c r="Q14" s="62" t="str">
        <f>IF(SUMIFS(TableTime[[Duration]:[Duration]],TableTime[[Date]:[Date]],$B14,TableTime[[Activity]:[Activity]],Q$1)=0,"",SUMIFS(TableTime[[Duration]:[Duration]],TableTime[[Date]:[Date]],$B14,TableTime[[Activity]:[Activity]],Q$1))</f>
        <v/>
      </c>
      <c r="R14" s="62" t="str">
        <f>IF(SUMIFS(TableTime[[Duration]:[Duration]],TableTime[[Date]:[Date]],$B14,TableTime[[Activity]:[Activity]],R$1)=0,"",SUMIFS(TableTime[[Duration]:[Duration]],TableTime[[Date]:[Date]],$B14,TableTime[[Activity]:[Activity]],R$1))</f>
        <v/>
      </c>
      <c r="S14" s="131" t="str">
        <f>IF(SUMIFS(TableTime[[Duration]:[Duration]],TableTime[[Date]:[Date]],$B14,TableTime[[Activity]:[Activity]],S$1)=0,"",SUMIFS(TableTime[[Duration]:[Duration]],TableTime[[Date]:[Date]],$B14,TableTime[[Activity]:[Activity]],S$1))</f>
        <v/>
      </c>
      <c r="T14" s="62" t="str">
        <f>IF(SUMIFS(TableTime[[Duration]:[Duration]],TableTime[[Date]:[Date]],$B14,TableTime[[Activity]:[Activity]],T$1)=0,"",SUMIFS(TableTime[[Duration]:[Duration]],TableTime[[Date]:[Date]],$B14,TableTime[[Activity]:[Activity]],T$1))</f>
        <v/>
      </c>
      <c r="U14" s="64" t="str">
        <f>IF(SUMIFS(TableTime[[Duration]:[Duration]],TableTime[[Date]:[Date]],$B14,TableTime[[Activity]:[Activity]],U$1)=0,"",SUMIFS(TableTime[[Duration]:[Duration]],TableTime[[Date]:[Date]],$B14,TableTime[[Activity]:[Activity]],U$1))</f>
        <v/>
      </c>
    </row>
    <row r="15" spans="1:21" x14ac:dyDescent="0.35">
      <c r="A15" s="35" t="str">
        <f t="shared" si="0"/>
        <v>Sat</v>
      </c>
      <c r="B15" s="5">
        <f t="shared" si="2"/>
        <v>44940</v>
      </c>
      <c r="C15" s="1">
        <f t="shared" si="3"/>
        <v>1</v>
      </c>
      <c r="D15" s="2">
        <f t="shared" si="1"/>
        <v>2</v>
      </c>
      <c r="E15" s="102"/>
      <c r="F15" s="1" t="str">
        <f>IFERROR(IF(OR(WEEKDAY(B15,2)=6,WEEKDAY(B15,2)=7),'Month summary'!$D$11,IF(E15="",'Month summary'!$C$11,E15)),"")</f>
        <v>WE</v>
      </c>
      <c r="G15" s="4">
        <f>IF(B15&lt;Time!$B$2,"",IF(F15='Month summary'!$C$11,'Month summary'!$F$2/24,IF(F15="H/2",'Month summary'!$F$2/24/2,0)))</f>
        <v>0</v>
      </c>
      <c r="H15" s="4">
        <f t="shared" si="4"/>
        <v>0</v>
      </c>
      <c r="I15" s="4" t="str">
        <f t="shared" si="5"/>
        <v/>
      </c>
      <c r="J15" s="107"/>
      <c r="K15" s="38" t="str">
        <f>IFERROR(INDEX(TableTime[Time],MATCH(B15,TableTime[Date],0)),"")</f>
        <v/>
      </c>
      <c r="L15" s="4" t="str">
        <f>IF(SUMIFS(TableTime[Duration],TableTime[Date],B15,TableTime[Activity],Projects!$C$9)+SUMIFS(TableTime[Duration],TableTime[Date],B15,TableTime[Activity],Projects!$C$10)+SUMIFS(TableTime[Duration],TableTime[Date],B15,TableTime[Activity],Projects!$C$11)=0,"",SUMIFS(TableTime[Duration],TableTime[Date],B15,TableTime[Activity],Projects!$C$9)+SUMIFS(TableTime[Duration],TableTime[Date],B15,TableTime[Activity],Projects!$C$10)+SUMIFS(TableTime[Duration],TableTime[Date],B15,TableTime[Activity],Projects!$C$11))</f>
        <v/>
      </c>
      <c r="M15" s="4" t="str" cm="1">
        <f t="array" ref="M15">IFERROR(LOOKUP(2,1/(TableTime[Date]=B15),TableTime[Time]),"")</f>
        <v/>
      </c>
      <c r="N15" s="38" t="str">
        <f>IF(SUMIFS(TableTime[[Duration]:[Duration]],TableTime[[Date]:[Date]],$B15,TableTime[[Activity]:[Activity]],N$1)=0,"",SUMIFS(TableTime[[Duration]:[Duration]],TableTime[[Date]:[Date]],$B15,TableTime[[Activity]:[Activity]],N$1))</f>
        <v/>
      </c>
      <c r="O15" s="4" t="str">
        <f>IF(SUMIFS(TableTime[[Duration]:[Duration]],TableTime[[Date]:[Date]],$B15,TableTime[[Activity]:[Activity]],O$1)=0,"",SUMIFS(TableTime[[Duration]:[Duration]],TableTime[[Date]:[Date]],$B15,TableTime[[Activity]:[Activity]],O$1))</f>
        <v/>
      </c>
      <c r="P15" s="4" t="str">
        <f>IF(SUMIFS(TableTime[[Duration]:[Duration]],TableTime[[Date]:[Date]],$B15,TableTime[[Activity]:[Activity]],P$1)=0,"",SUMIFS(TableTime[[Duration]:[Duration]],TableTime[[Date]:[Date]],$B15,TableTime[[Activity]:[Activity]],P$1))</f>
        <v/>
      </c>
      <c r="Q15" s="4" t="str">
        <f>IF(SUMIFS(TableTime[[Duration]:[Duration]],TableTime[[Date]:[Date]],$B15,TableTime[[Activity]:[Activity]],Q$1)=0,"",SUMIFS(TableTime[[Duration]:[Duration]],TableTime[[Date]:[Date]],$B15,TableTime[[Activity]:[Activity]],Q$1))</f>
        <v/>
      </c>
      <c r="R15" s="4" t="str">
        <f>IF(SUMIFS(TableTime[[Duration]:[Duration]],TableTime[[Date]:[Date]],$B15,TableTime[[Activity]:[Activity]],R$1)=0,"",SUMIFS(TableTime[[Duration]:[Duration]],TableTime[[Date]:[Date]],$B15,TableTime[[Activity]:[Activity]],R$1))</f>
        <v/>
      </c>
      <c r="S15" s="130" t="str">
        <f>IF(SUMIFS(TableTime[[Duration]:[Duration]],TableTime[[Date]:[Date]],$B15,TableTime[[Activity]:[Activity]],S$1)=0,"",SUMIFS(TableTime[[Duration]:[Duration]],TableTime[[Date]:[Date]],$B15,TableTime[[Activity]:[Activity]],S$1))</f>
        <v/>
      </c>
      <c r="T15" s="4" t="str">
        <f>IF(SUMIFS(TableTime[[Duration]:[Duration]],TableTime[[Date]:[Date]],$B15,TableTime[[Activity]:[Activity]],T$1)=0,"",SUMIFS(TableTime[[Duration]:[Duration]],TableTime[[Date]:[Date]],$B15,TableTime[[Activity]:[Activity]],T$1))</f>
        <v/>
      </c>
      <c r="U15" s="39" t="str">
        <f>IF(SUMIFS(TableTime[[Duration]:[Duration]],TableTime[[Date]:[Date]],$B15,TableTime[[Activity]:[Activity]],U$1)=0,"",SUMIFS(TableTime[[Duration]:[Duration]],TableTime[[Date]:[Date]],$B15,TableTime[[Activity]:[Activity]],U$1))</f>
        <v/>
      </c>
    </row>
    <row r="16" spans="1:21" x14ac:dyDescent="0.35">
      <c r="A16" s="59" t="str">
        <f t="shared" si="0"/>
        <v>Sun</v>
      </c>
      <c r="B16" s="91">
        <f t="shared" si="2"/>
        <v>44941</v>
      </c>
      <c r="C16" s="60">
        <f t="shared" si="3"/>
        <v>1</v>
      </c>
      <c r="D16" s="61">
        <f t="shared" si="1"/>
        <v>2</v>
      </c>
      <c r="E16" s="103"/>
      <c r="F16" s="60" t="str">
        <f>IFERROR(IF(OR(WEEKDAY(B16,2)=6,WEEKDAY(B16,2)=7),'Month summary'!$D$11,IF(E16="",'Month summary'!$C$11,E16)),"")</f>
        <v>WE</v>
      </c>
      <c r="G16" s="62">
        <f>IF(B16&lt;Time!$B$2,"",IF(F16='Month summary'!$C$11,'Month summary'!$F$2/24,IF(F16="H/2",'Month summary'!$F$2/24/2,0)))</f>
        <v>0</v>
      </c>
      <c r="H16" s="62">
        <f t="shared" si="4"/>
        <v>0</v>
      </c>
      <c r="I16" s="62" t="str">
        <f t="shared" si="5"/>
        <v/>
      </c>
      <c r="J16" s="108"/>
      <c r="K16" s="63" t="str">
        <f>IFERROR(INDEX(TableTime[Time],MATCH(B16,TableTime[Date],0)),"")</f>
        <v/>
      </c>
      <c r="L16" s="62" t="str">
        <f>IF(SUMIFS(TableTime[Duration],TableTime[Date],B16,TableTime[Activity],Projects!$C$9)+SUMIFS(TableTime[Duration],TableTime[Date],B16,TableTime[Activity],Projects!$C$10)+SUMIFS(TableTime[Duration],TableTime[Date],B16,TableTime[Activity],Projects!$C$11)=0,"",SUMIFS(TableTime[Duration],TableTime[Date],B16,TableTime[Activity],Projects!$C$9)+SUMIFS(TableTime[Duration],TableTime[Date],B16,TableTime[Activity],Projects!$C$10)+SUMIFS(TableTime[Duration],TableTime[Date],B16,TableTime[Activity],Projects!$C$11))</f>
        <v/>
      </c>
      <c r="M16" s="62" t="str" cm="1">
        <f t="array" ref="M16">IFERROR(LOOKUP(2,1/(TableTime[Date]=B16),TableTime[Time]),"")</f>
        <v/>
      </c>
      <c r="N16" s="63" t="str">
        <f>IF(SUMIFS(TableTime[[Duration]:[Duration]],TableTime[[Date]:[Date]],$B16,TableTime[[Activity]:[Activity]],N$1)=0,"",SUMIFS(TableTime[[Duration]:[Duration]],TableTime[[Date]:[Date]],$B16,TableTime[[Activity]:[Activity]],N$1))</f>
        <v/>
      </c>
      <c r="O16" s="62" t="str">
        <f>IF(SUMIFS(TableTime[[Duration]:[Duration]],TableTime[[Date]:[Date]],$B16,TableTime[[Activity]:[Activity]],O$1)=0,"",SUMIFS(TableTime[[Duration]:[Duration]],TableTime[[Date]:[Date]],$B16,TableTime[[Activity]:[Activity]],O$1))</f>
        <v/>
      </c>
      <c r="P16" s="62" t="str">
        <f>IF(SUMIFS(TableTime[[Duration]:[Duration]],TableTime[[Date]:[Date]],$B16,TableTime[[Activity]:[Activity]],P$1)=0,"",SUMIFS(TableTime[[Duration]:[Duration]],TableTime[[Date]:[Date]],$B16,TableTime[[Activity]:[Activity]],P$1))</f>
        <v/>
      </c>
      <c r="Q16" s="62" t="str">
        <f>IF(SUMIFS(TableTime[[Duration]:[Duration]],TableTime[[Date]:[Date]],$B16,TableTime[[Activity]:[Activity]],Q$1)=0,"",SUMIFS(TableTime[[Duration]:[Duration]],TableTime[[Date]:[Date]],$B16,TableTime[[Activity]:[Activity]],Q$1))</f>
        <v/>
      </c>
      <c r="R16" s="62" t="str">
        <f>IF(SUMIFS(TableTime[[Duration]:[Duration]],TableTime[[Date]:[Date]],$B16,TableTime[[Activity]:[Activity]],R$1)=0,"",SUMIFS(TableTime[[Duration]:[Duration]],TableTime[[Date]:[Date]],$B16,TableTime[[Activity]:[Activity]],R$1))</f>
        <v/>
      </c>
      <c r="S16" s="131" t="str">
        <f>IF(SUMIFS(TableTime[[Duration]:[Duration]],TableTime[[Date]:[Date]],$B16,TableTime[[Activity]:[Activity]],S$1)=0,"",SUMIFS(TableTime[[Duration]:[Duration]],TableTime[[Date]:[Date]],$B16,TableTime[[Activity]:[Activity]],S$1))</f>
        <v/>
      </c>
      <c r="T16" s="62" t="str">
        <f>IF(SUMIFS(TableTime[[Duration]:[Duration]],TableTime[[Date]:[Date]],$B16,TableTime[[Activity]:[Activity]],T$1)=0,"",SUMIFS(TableTime[[Duration]:[Duration]],TableTime[[Date]:[Date]],$B16,TableTime[[Activity]:[Activity]],T$1))</f>
        <v/>
      </c>
      <c r="U16" s="64" t="str">
        <f>IF(SUMIFS(TableTime[[Duration]:[Duration]],TableTime[[Date]:[Date]],$B16,TableTime[[Activity]:[Activity]],U$1)=0,"",SUMIFS(TableTime[[Duration]:[Duration]],TableTime[[Date]:[Date]],$B16,TableTime[[Activity]:[Activity]],U$1))</f>
        <v/>
      </c>
    </row>
    <row r="17" spans="1:21" x14ac:dyDescent="0.35">
      <c r="A17" s="35" t="str">
        <f t="shared" si="0"/>
        <v>Mon</v>
      </c>
      <c r="B17" s="5">
        <f t="shared" si="2"/>
        <v>44942</v>
      </c>
      <c r="C17" s="1">
        <f t="shared" si="3"/>
        <v>1</v>
      </c>
      <c r="D17" s="2">
        <f t="shared" si="1"/>
        <v>3</v>
      </c>
      <c r="E17" s="102"/>
      <c r="F17" s="1" t="str">
        <f>IFERROR(IF(OR(WEEKDAY(B17,2)=6,WEEKDAY(B17,2)=7),'Month summary'!$D$11,IF(E17="",'Month summary'!$C$11,E17)),"")</f>
        <v>W</v>
      </c>
      <c r="G17" s="4">
        <f>IF(B17&lt;Time!$B$2,"",IF(F17='Month summary'!$C$11,'Month summary'!$F$2/24,IF(F17="H/2",'Month summary'!$F$2/24/2,0)))</f>
        <v>0.33333333333333331</v>
      </c>
      <c r="H17" s="4">
        <f t="shared" si="4"/>
        <v>0</v>
      </c>
      <c r="I17" s="4" t="str">
        <f t="shared" si="5"/>
        <v/>
      </c>
      <c r="J17" s="107"/>
      <c r="K17" s="38" t="str">
        <f>IFERROR(INDEX(TableTime[Time],MATCH(B17,TableTime[Date],0)),"")</f>
        <v/>
      </c>
      <c r="L17" s="4" t="str">
        <f>IF(SUMIFS(TableTime[Duration],TableTime[Date],B17,TableTime[Activity],Projects!$C$9)+SUMIFS(TableTime[Duration],TableTime[Date],B17,TableTime[Activity],Projects!$C$10)+SUMIFS(TableTime[Duration],TableTime[Date],B17,TableTime[Activity],Projects!$C$11)=0,"",SUMIFS(TableTime[Duration],TableTime[Date],B17,TableTime[Activity],Projects!$C$9)+SUMIFS(TableTime[Duration],TableTime[Date],B17,TableTime[Activity],Projects!$C$10)+SUMIFS(TableTime[Duration],TableTime[Date],B17,TableTime[Activity],Projects!$C$11))</f>
        <v/>
      </c>
      <c r="M17" s="4" t="str" cm="1">
        <f t="array" ref="M17">IFERROR(LOOKUP(2,1/(TableTime[Date]=B17),TableTime[Time]),"")</f>
        <v/>
      </c>
      <c r="N17" s="38" t="str">
        <f>IF(SUMIFS(TableTime[[Duration]:[Duration]],TableTime[[Date]:[Date]],$B17,TableTime[[Activity]:[Activity]],N$1)=0,"",SUMIFS(TableTime[[Duration]:[Duration]],TableTime[[Date]:[Date]],$B17,TableTime[[Activity]:[Activity]],N$1))</f>
        <v/>
      </c>
      <c r="O17" s="4" t="str">
        <f>IF(SUMIFS(TableTime[[Duration]:[Duration]],TableTime[[Date]:[Date]],$B17,TableTime[[Activity]:[Activity]],O$1)=0,"",SUMIFS(TableTime[[Duration]:[Duration]],TableTime[[Date]:[Date]],$B17,TableTime[[Activity]:[Activity]],O$1))</f>
        <v/>
      </c>
      <c r="P17" s="4" t="str">
        <f>IF(SUMIFS(TableTime[[Duration]:[Duration]],TableTime[[Date]:[Date]],$B17,TableTime[[Activity]:[Activity]],P$1)=0,"",SUMIFS(TableTime[[Duration]:[Duration]],TableTime[[Date]:[Date]],$B17,TableTime[[Activity]:[Activity]],P$1))</f>
        <v/>
      </c>
      <c r="Q17" s="4" t="str">
        <f>IF(SUMIFS(TableTime[[Duration]:[Duration]],TableTime[[Date]:[Date]],$B17,TableTime[[Activity]:[Activity]],Q$1)=0,"",SUMIFS(TableTime[[Duration]:[Duration]],TableTime[[Date]:[Date]],$B17,TableTime[[Activity]:[Activity]],Q$1))</f>
        <v/>
      </c>
      <c r="R17" s="4" t="str">
        <f>IF(SUMIFS(TableTime[[Duration]:[Duration]],TableTime[[Date]:[Date]],$B17,TableTime[[Activity]:[Activity]],R$1)=0,"",SUMIFS(TableTime[[Duration]:[Duration]],TableTime[[Date]:[Date]],$B17,TableTime[[Activity]:[Activity]],R$1))</f>
        <v/>
      </c>
      <c r="S17" s="130" t="str">
        <f>IF(SUMIFS(TableTime[[Duration]:[Duration]],TableTime[[Date]:[Date]],$B17,TableTime[[Activity]:[Activity]],S$1)=0,"",SUMIFS(TableTime[[Duration]:[Duration]],TableTime[[Date]:[Date]],$B17,TableTime[[Activity]:[Activity]],S$1))</f>
        <v/>
      </c>
      <c r="T17" s="4" t="str">
        <f>IF(SUMIFS(TableTime[[Duration]:[Duration]],TableTime[[Date]:[Date]],$B17,TableTime[[Activity]:[Activity]],T$1)=0,"",SUMIFS(TableTime[[Duration]:[Duration]],TableTime[[Date]:[Date]],$B17,TableTime[[Activity]:[Activity]],T$1))</f>
        <v/>
      </c>
      <c r="U17" s="39" t="str">
        <f>IF(SUMIFS(TableTime[[Duration]:[Duration]],TableTime[[Date]:[Date]],$B17,TableTime[[Activity]:[Activity]],U$1)=0,"",SUMIFS(TableTime[[Duration]:[Duration]],TableTime[[Date]:[Date]],$B17,TableTime[[Activity]:[Activity]],U$1))</f>
        <v/>
      </c>
    </row>
    <row r="18" spans="1:21" x14ac:dyDescent="0.35">
      <c r="A18" s="59" t="str">
        <f t="shared" si="0"/>
        <v>Tue</v>
      </c>
      <c r="B18" s="91">
        <f t="shared" si="2"/>
        <v>44943</v>
      </c>
      <c r="C18" s="60">
        <f t="shared" si="3"/>
        <v>1</v>
      </c>
      <c r="D18" s="61">
        <f t="shared" si="1"/>
        <v>3</v>
      </c>
      <c r="E18" s="103"/>
      <c r="F18" s="60" t="str">
        <f>IFERROR(IF(OR(WEEKDAY(B18,2)=6,WEEKDAY(B18,2)=7),'Month summary'!$D$11,IF(E18="",'Month summary'!$C$11,E18)),"")</f>
        <v>W</v>
      </c>
      <c r="G18" s="62">
        <f>IF(B18&lt;Time!$B$2,"",IF(F18='Month summary'!$C$11,'Month summary'!$F$2/24,IF(F18="H/2",'Month summary'!$F$2/24/2,0)))</f>
        <v>0.33333333333333331</v>
      </c>
      <c r="H18" s="62">
        <f t="shared" si="4"/>
        <v>0</v>
      </c>
      <c r="I18" s="62" t="str">
        <f t="shared" si="5"/>
        <v/>
      </c>
      <c r="J18" s="108"/>
      <c r="K18" s="63" t="str">
        <f>IFERROR(INDEX(TableTime[Time],MATCH(B18,TableTime[Date],0)),"")</f>
        <v/>
      </c>
      <c r="L18" s="62" t="str">
        <f>IF(SUMIFS(TableTime[Duration],TableTime[Date],B18,TableTime[Activity],Projects!$C$9)+SUMIFS(TableTime[Duration],TableTime[Date],B18,TableTime[Activity],Projects!$C$10)+SUMIFS(TableTime[Duration],TableTime[Date],B18,TableTime[Activity],Projects!$C$11)=0,"",SUMIFS(TableTime[Duration],TableTime[Date],B18,TableTime[Activity],Projects!$C$9)+SUMIFS(TableTime[Duration],TableTime[Date],B18,TableTime[Activity],Projects!$C$10)+SUMIFS(TableTime[Duration],TableTime[Date],B18,TableTime[Activity],Projects!$C$11))</f>
        <v/>
      </c>
      <c r="M18" s="62" t="str" cm="1">
        <f t="array" ref="M18">IFERROR(LOOKUP(2,1/(TableTime[Date]=B18),TableTime[Time]),"")</f>
        <v/>
      </c>
      <c r="N18" s="63" t="str">
        <f>IF(SUMIFS(TableTime[[Duration]:[Duration]],TableTime[[Date]:[Date]],$B18,TableTime[[Activity]:[Activity]],N$1)=0,"",SUMIFS(TableTime[[Duration]:[Duration]],TableTime[[Date]:[Date]],$B18,TableTime[[Activity]:[Activity]],N$1))</f>
        <v/>
      </c>
      <c r="O18" s="62" t="str">
        <f>IF(SUMIFS(TableTime[[Duration]:[Duration]],TableTime[[Date]:[Date]],$B18,TableTime[[Activity]:[Activity]],O$1)=0,"",SUMIFS(TableTime[[Duration]:[Duration]],TableTime[[Date]:[Date]],$B18,TableTime[[Activity]:[Activity]],O$1))</f>
        <v/>
      </c>
      <c r="P18" s="62" t="str">
        <f>IF(SUMIFS(TableTime[[Duration]:[Duration]],TableTime[[Date]:[Date]],$B18,TableTime[[Activity]:[Activity]],P$1)=0,"",SUMIFS(TableTime[[Duration]:[Duration]],TableTime[[Date]:[Date]],$B18,TableTime[[Activity]:[Activity]],P$1))</f>
        <v/>
      </c>
      <c r="Q18" s="62" t="str">
        <f>IF(SUMIFS(TableTime[[Duration]:[Duration]],TableTime[[Date]:[Date]],$B18,TableTime[[Activity]:[Activity]],Q$1)=0,"",SUMIFS(TableTime[[Duration]:[Duration]],TableTime[[Date]:[Date]],$B18,TableTime[[Activity]:[Activity]],Q$1))</f>
        <v/>
      </c>
      <c r="R18" s="62" t="str">
        <f>IF(SUMIFS(TableTime[[Duration]:[Duration]],TableTime[[Date]:[Date]],$B18,TableTime[[Activity]:[Activity]],R$1)=0,"",SUMIFS(TableTime[[Duration]:[Duration]],TableTime[[Date]:[Date]],$B18,TableTime[[Activity]:[Activity]],R$1))</f>
        <v/>
      </c>
      <c r="S18" s="131" t="str">
        <f>IF(SUMIFS(TableTime[[Duration]:[Duration]],TableTime[[Date]:[Date]],$B18,TableTime[[Activity]:[Activity]],S$1)=0,"",SUMIFS(TableTime[[Duration]:[Duration]],TableTime[[Date]:[Date]],$B18,TableTime[[Activity]:[Activity]],S$1))</f>
        <v/>
      </c>
      <c r="T18" s="62" t="str">
        <f>IF(SUMIFS(TableTime[[Duration]:[Duration]],TableTime[[Date]:[Date]],$B18,TableTime[[Activity]:[Activity]],T$1)=0,"",SUMIFS(TableTime[[Duration]:[Duration]],TableTime[[Date]:[Date]],$B18,TableTime[[Activity]:[Activity]],T$1))</f>
        <v/>
      </c>
      <c r="U18" s="64" t="str">
        <f>IF(SUMIFS(TableTime[[Duration]:[Duration]],TableTime[[Date]:[Date]],$B18,TableTime[[Activity]:[Activity]],U$1)=0,"",SUMIFS(TableTime[[Duration]:[Duration]],TableTime[[Date]:[Date]],$B18,TableTime[[Activity]:[Activity]],U$1))</f>
        <v/>
      </c>
    </row>
    <row r="19" spans="1:21" x14ac:dyDescent="0.35">
      <c r="A19" s="35" t="str">
        <f t="shared" si="0"/>
        <v>Wed</v>
      </c>
      <c r="B19" s="5">
        <f t="shared" si="2"/>
        <v>44944</v>
      </c>
      <c r="C19" s="1">
        <f t="shared" si="3"/>
        <v>1</v>
      </c>
      <c r="D19" s="2">
        <f t="shared" si="1"/>
        <v>3</v>
      </c>
      <c r="E19" s="102"/>
      <c r="F19" s="1" t="str">
        <f>IFERROR(IF(OR(WEEKDAY(B19,2)=6,WEEKDAY(B19,2)=7),'Month summary'!$D$11,IF(E19="",'Month summary'!$C$11,E19)),"")</f>
        <v>W</v>
      </c>
      <c r="G19" s="4">
        <f>IF(B19&lt;Time!$B$2,"",IF(F19='Month summary'!$C$11,'Month summary'!$F$2/24,IF(F19="H/2",'Month summary'!$F$2/24/2,0)))</f>
        <v>0.33333333333333331</v>
      </c>
      <c r="H19" s="4">
        <f t="shared" si="4"/>
        <v>0</v>
      </c>
      <c r="I19" s="4" t="str">
        <f t="shared" si="5"/>
        <v/>
      </c>
      <c r="J19" s="107"/>
      <c r="K19" s="38" t="str">
        <f>IFERROR(INDEX(TableTime[Time],MATCH(B19,TableTime[Date],0)),"")</f>
        <v/>
      </c>
      <c r="L19" s="4" t="str">
        <f>IF(SUMIFS(TableTime[Duration],TableTime[Date],B19,TableTime[Activity],Projects!$C$9)+SUMIFS(TableTime[Duration],TableTime[Date],B19,TableTime[Activity],Projects!$C$10)+SUMIFS(TableTime[Duration],TableTime[Date],B19,TableTime[Activity],Projects!$C$11)=0,"",SUMIFS(TableTime[Duration],TableTime[Date],B19,TableTime[Activity],Projects!$C$9)+SUMIFS(TableTime[Duration],TableTime[Date],B19,TableTime[Activity],Projects!$C$10)+SUMIFS(TableTime[Duration],TableTime[Date],B19,TableTime[Activity],Projects!$C$11))</f>
        <v/>
      </c>
      <c r="M19" s="4" t="str" cm="1">
        <f t="array" ref="M19">IFERROR(LOOKUP(2,1/(TableTime[Date]=B19),TableTime[Time]),"")</f>
        <v/>
      </c>
      <c r="N19" s="38" t="str">
        <f>IF(SUMIFS(TableTime[[Duration]:[Duration]],TableTime[[Date]:[Date]],$B19,TableTime[[Activity]:[Activity]],N$1)=0,"",SUMIFS(TableTime[[Duration]:[Duration]],TableTime[[Date]:[Date]],$B19,TableTime[[Activity]:[Activity]],N$1))</f>
        <v/>
      </c>
      <c r="O19" s="4" t="str">
        <f>IF(SUMIFS(TableTime[[Duration]:[Duration]],TableTime[[Date]:[Date]],$B19,TableTime[[Activity]:[Activity]],O$1)=0,"",SUMIFS(TableTime[[Duration]:[Duration]],TableTime[[Date]:[Date]],$B19,TableTime[[Activity]:[Activity]],O$1))</f>
        <v/>
      </c>
      <c r="P19" s="4" t="str">
        <f>IF(SUMIFS(TableTime[[Duration]:[Duration]],TableTime[[Date]:[Date]],$B19,TableTime[[Activity]:[Activity]],P$1)=0,"",SUMIFS(TableTime[[Duration]:[Duration]],TableTime[[Date]:[Date]],$B19,TableTime[[Activity]:[Activity]],P$1))</f>
        <v/>
      </c>
      <c r="Q19" s="4" t="str">
        <f>IF(SUMIFS(TableTime[[Duration]:[Duration]],TableTime[[Date]:[Date]],$B19,TableTime[[Activity]:[Activity]],Q$1)=0,"",SUMIFS(TableTime[[Duration]:[Duration]],TableTime[[Date]:[Date]],$B19,TableTime[[Activity]:[Activity]],Q$1))</f>
        <v/>
      </c>
      <c r="R19" s="4" t="str">
        <f>IF(SUMIFS(TableTime[[Duration]:[Duration]],TableTime[[Date]:[Date]],$B19,TableTime[[Activity]:[Activity]],R$1)=0,"",SUMIFS(TableTime[[Duration]:[Duration]],TableTime[[Date]:[Date]],$B19,TableTime[[Activity]:[Activity]],R$1))</f>
        <v/>
      </c>
      <c r="S19" s="130" t="str">
        <f>IF(SUMIFS(TableTime[[Duration]:[Duration]],TableTime[[Date]:[Date]],$B19,TableTime[[Activity]:[Activity]],S$1)=0,"",SUMIFS(TableTime[[Duration]:[Duration]],TableTime[[Date]:[Date]],$B19,TableTime[[Activity]:[Activity]],S$1))</f>
        <v/>
      </c>
      <c r="T19" s="4" t="str">
        <f>IF(SUMIFS(TableTime[[Duration]:[Duration]],TableTime[[Date]:[Date]],$B19,TableTime[[Activity]:[Activity]],T$1)=0,"",SUMIFS(TableTime[[Duration]:[Duration]],TableTime[[Date]:[Date]],$B19,TableTime[[Activity]:[Activity]],T$1))</f>
        <v/>
      </c>
      <c r="U19" s="39" t="str">
        <f>IF(SUMIFS(TableTime[[Duration]:[Duration]],TableTime[[Date]:[Date]],$B19,TableTime[[Activity]:[Activity]],U$1)=0,"",SUMIFS(TableTime[[Duration]:[Duration]],TableTime[[Date]:[Date]],$B19,TableTime[[Activity]:[Activity]],U$1))</f>
        <v/>
      </c>
    </row>
    <row r="20" spans="1:21" x14ac:dyDescent="0.35">
      <c r="A20" s="59" t="str">
        <f t="shared" si="0"/>
        <v>Thr</v>
      </c>
      <c r="B20" s="91">
        <f t="shared" si="2"/>
        <v>44945</v>
      </c>
      <c r="C20" s="60">
        <f t="shared" si="3"/>
        <v>1</v>
      </c>
      <c r="D20" s="61">
        <f t="shared" si="1"/>
        <v>3</v>
      </c>
      <c r="E20" s="103"/>
      <c r="F20" s="60" t="str">
        <f>IFERROR(IF(OR(WEEKDAY(B20,2)=6,WEEKDAY(B20,2)=7),'Month summary'!$D$11,IF(E20="",'Month summary'!$C$11,E20)),"")</f>
        <v>W</v>
      </c>
      <c r="G20" s="62">
        <f>IF(B20&lt;Time!$B$2,"",IF(F20='Month summary'!$C$11,'Month summary'!$F$2/24,IF(F20="H/2",'Month summary'!$F$2/24/2,0)))</f>
        <v>0.33333333333333331</v>
      </c>
      <c r="H20" s="62">
        <f t="shared" si="4"/>
        <v>0</v>
      </c>
      <c r="I20" s="62" t="str">
        <f t="shared" si="5"/>
        <v/>
      </c>
      <c r="J20" s="108"/>
      <c r="K20" s="63" t="str">
        <f>IFERROR(INDEX(TableTime[Time],MATCH(B20,TableTime[Date],0)),"")</f>
        <v/>
      </c>
      <c r="L20" s="62" t="str">
        <f>IF(SUMIFS(TableTime[Duration],TableTime[Date],B20,TableTime[Activity],Projects!$C$9)+SUMIFS(TableTime[Duration],TableTime[Date],B20,TableTime[Activity],Projects!$C$10)+SUMIFS(TableTime[Duration],TableTime[Date],B20,TableTime[Activity],Projects!$C$11)=0,"",SUMIFS(TableTime[Duration],TableTime[Date],B20,TableTime[Activity],Projects!$C$9)+SUMIFS(TableTime[Duration],TableTime[Date],B20,TableTime[Activity],Projects!$C$10)+SUMIFS(TableTime[Duration],TableTime[Date],B20,TableTime[Activity],Projects!$C$11))</f>
        <v/>
      </c>
      <c r="M20" s="62" t="str" cm="1">
        <f t="array" ref="M20">IFERROR(LOOKUP(2,1/(TableTime[Date]=B20),TableTime[Time]),"")</f>
        <v/>
      </c>
      <c r="N20" s="63" t="str">
        <f>IF(SUMIFS(TableTime[[Duration]:[Duration]],TableTime[[Date]:[Date]],$B20,TableTime[[Activity]:[Activity]],N$1)=0,"",SUMIFS(TableTime[[Duration]:[Duration]],TableTime[[Date]:[Date]],$B20,TableTime[[Activity]:[Activity]],N$1))</f>
        <v/>
      </c>
      <c r="O20" s="62" t="str">
        <f>IF(SUMIFS(TableTime[[Duration]:[Duration]],TableTime[[Date]:[Date]],$B20,TableTime[[Activity]:[Activity]],O$1)=0,"",SUMIFS(TableTime[[Duration]:[Duration]],TableTime[[Date]:[Date]],$B20,TableTime[[Activity]:[Activity]],O$1))</f>
        <v/>
      </c>
      <c r="P20" s="62" t="str">
        <f>IF(SUMIFS(TableTime[[Duration]:[Duration]],TableTime[[Date]:[Date]],$B20,TableTime[[Activity]:[Activity]],P$1)=0,"",SUMIFS(TableTime[[Duration]:[Duration]],TableTime[[Date]:[Date]],$B20,TableTime[[Activity]:[Activity]],P$1))</f>
        <v/>
      </c>
      <c r="Q20" s="62" t="str">
        <f>IF(SUMIFS(TableTime[[Duration]:[Duration]],TableTime[[Date]:[Date]],$B20,TableTime[[Activity]:[Activity]],Q$1)=0,"",SUMIFS(TableTime[[Duration]:[Duration]],TableTime[[Date]:[Date]],$B20,TableTime[[Activity]:[Activity]],Q$1))</f>
        <v/>
      </c>
      <c r="R20" s="62" t="str">
        <f>IF(SUMIFS(TableTime[[Duration]:[Duration]],TableTime[[Date]:[Date]],$B20,TableTime[[Activity]:[Activity]],R$1)=0,"",SUMIFS(TableTime[[Duration]:[Duration]],TableTime[[Date]:[Date]],$B20,TableTime[[Activity]:[Activity]],R$1))</f>
        <v/>
      </c>
      <c r="S20" s="131" t="str">
        <f>IF(SUMIFS(TableTime[[Duration]:[Duration]],TableTime[[Date]:[Date]],$B20,TableTime[[Activity]:[Activity]],S$1)=0,"",SUMIFS(TableTime[[Duration]:[Duration]],TableTime[[Date]:[Date]],$B20,TableTime[[Activity]:[Activity]],S$1))</f>
        <v/>
      </c>
      <c r="T20" s="62" t="str">
        <f>IF(SUMIFS(TableTime[[Duration]:[Duration]],TableTime[[Date]:[Date]],$B20,TableTime[[Activity]:[Activity]],T$1)=0,"",SUMIFS(TableTime[[Duration]:[Duration]],TableTime[[Date]:[Date]],$B20,TableTime[[Activity]:[Activity]],T$1))</f>
        <v/>
      </c>
      <c r="U20" s="64" t="str">
        <f>IF(SUMIFS(TableTime[[Duration]:[Duration]],TableTime[[Date]:[Date]],$B20,TableTime[[Activity]:[Activity]],U$1)=0,"",SUMIFS(TableTime[[Duration]:[Duration]],TableTime[[Date]:[Date]],$B20,TableTime[[Activity]:[Activity]],U$1))</f>
        <v/>
      </c>
    </row>
    <row r="21" spans="1:21" x14ac:dyDescent="0.35">
      <c r="A21" s="35" t="str">
        <f t="shared" si="0"/>
        <v>Fri</v>
      </c>
      <c r="B21" s="5">
        <f t="shared" si="2"/>
        <v>44946</v>
      </c>
      <c r="C21" s="1">
        <f t="shared" si="3"/>
        <v>1</v>
      </c>
      <c r="D21" s="2">
        <f t="shared" si="1"/>
        <v>3</v>
      </c>
      <c r="E21" s="102"/>
      <c r="F21" s="1" t="str">
        <f>IFERROR(IF(OR(WEEKDAY(B21,2)=6,WEEKDAY(B21,2)=7),'Month summary'!$D$11,IF(E21="",'Month summary'!$C$11,E21)),"")</f>
        <v>W</v>
      </c>
      <c r="G21" s="4">
        <f>IF(B21&lt;Time!$B$2,"",IF(F21='Month summary'!$C$11,'Month summary'!$F$2/24,IF(F21="H/2",'Month summary'!$F$2/24/2,0)))</f>
        <v>0.33333333333333331</v>
      </c>
      <c r="H21" s="4">
        <f t="shared" si="4"/>
        <v>0</v>
      </c>
      <c r="I21" s="4" t="str">
        <f t="shared" si="5"/>
        <v/>
      </c>
      <c r="J21" s="107"/>
      <c r="K21" s="38" t="str">
        <f>IFERROR(INDEX(TableTime[Time],MATCH(B21,TableTime[Date],0)),"")</f>
        <v/>
      </c>
      <c r="L21" s="4" t="str">
        <f>IF(SUMIFS(TableTime[Duration],TableTime[Date],B21,TableTime[Activity],Projects!$C$9)+SUMIFS(TableTime[Duration],TableTime[Date],B21,TableTime[Activity],Projects!$C$10)+SUMIFS(TableTime[Duration],TableTime[Date],B21,TableTime[Activity],Projects!$C$11)=0,"",SUMIFS(TableTime[Duration],TableTime[Date],B21,TableTime[Activity],Projects!$C$9)+SUMIFS(TableTime[Duration],TableTime[Date],B21,TableTime[Activity],Projects!$C$10)+SUMIFS(TableTime[Duration],TableTime[Date],B21,TableTime[Activity],Projects!$C$11))</f>
        <v/>
      </c>
      <c r="M21" s="4" t="str" cm="1">
        <f t="array" ref="M21">IFERROR(LOOKUP(2,1/(TableTime[Date]=B21),TableTime[Time]),"")</f>
        <v/>
      </c>
      <c r="N21" s="38" t="str">
        <f>IF(SUMIFS(TableTime[[Duration]:[Duration]],TableTime[[Date]:[Date]],$B21,TableTime[[Activity]:[Activity]],N$1)=0,"",SUMIFS(TableTime[[Duration]:[Duration]],TableTime[[Date]:[Date]],$B21,TableTime[[Activity]:[Activity]],N$1))</f>
        <v/>
      </c>
      <c r="O21" s="4" t="str">
        <f>IF(SUMIFS(TableTime[[Duration]:[Duration]],TableTime[[Date]:[Date]],$B21,TableTime[[Activity]:[Activity]],O$1)=0,"",SUMIFS(TableTime[[Duration]:[Duration]],TableTime[[Date]:[Date]],$B21,TableTime[[Activity]:[Activity]],O$1))</f>
        <v/>
      </c>
      <c r="P21" s="4" t="str">
        <f>IF(SUMIFS(TableTime[[Duration]:[Duration]],TableTime[[Date]:[Date]],$B21,TableTime[[Activity]:[Activity]],P$1)=0,"",SUMIFS(TableTime[[Duration]:[Duration]],TableTime[[Date]:[Date]],$B21,TableTime[[Activity]:[Activity]],P$1))</f>
        <v/>
      </c>
      <c r="Q21" s="4" t="str">
        <f>IF(SUMIFS(TableTime[[Duration]:[Duration]],TableTime[[Date]:[Date]],$B21,TableTime[[Activity]:[Activity]],Q$1)=0,"",SUMIFS(TableTime[[Duration]:[Duration]],TableTime[[Date]:[Date]],$B21,TableTime[[Activity]:[Activity]],Q$1))</f>
        <v/>
      </c>
      <c r="R21" s="4" t="str">
        <f>IF(SUMIFS(TableTime[[Duration]:[Duration]],TableTime[[Date]:[Date]],$B21,TableTime[[Activity]:[Activity]],R$1)=0,"",SUMIFS(TableTime[[Duration]:[Duration]],TableTime[[Date]:[Date]],$B21,TableTime[[Activity]:[Activity]],R$1))</f>
        <v/>
      </c>
      <c r="S21" s="130" t="str">
        <f>IF(SUMIFS(TableTime[[Duration]:[Duration]],TableTime[[Date]:[Date]],$B21,TableTime[[Activity]:[Activity]],S$1)=0,"",SUMIFS(TableTime[[Duration]:[Duration]],TableTime[[Date]:[Date]],$B21,TableTime[[Activity]:[Activity]],S$1))</f>
        <v/>
      </c>
      <c r="T21" s="4" t="str">
        <f>IF(SUMIFS(TableTime[[Duration]:[Duration]],TableTime[[Date]:[Date]],$B21,TableTime[[Activity]:[Activity]],T$1)=0,"",SUMIFS(TableTime[[Duration]:[Duration]],TableTime[[Date]:[Date]],$B21,TableTime[[Activity]:[Activity]],T$1))</f>
        <v/>
      </c>
      <c r="U21" s="39" t="str">
        <f>IF(SUMIFS(TableTime[[Duration]:[Duration]],TableTime[[Date]:[Date]],$B21,TableTime[[Activity]:[Activity]],U$1)=0,"",SUMIFS(TableTime[[Duration]:[Duration]],TableTime[[Date]:[Date]],$B21,TableTime[[Activity]:[Activity]],U$1))</f>
        <v/>
      </c>
    </row>
    <row r="22" spans="1:21" x14ac:dyDescent="0.35">
      <c r="A22" s="59" t="str">
        <f t="shared" si="0"/>
        <v>Sat</v>
      </c>
      <c r="B22" s="91">
        <f t="shared" si="2"/>
        <v>44947</v>
      </c>
      <c r="C22" s="60">
        <f t="shared" si="3"/>
        <v>1</v>
      </c>
      <c r="D22" s="61">
        <f t="shared" si="1"/>
        <v>3</v>
      </c>
      <c r="E22" s="103"/>
      <c r="F22" s="60" t="str">
        <f>IFERROR(IF(OR(WEEKDAY(B22,2)=6,WEEKDAY(B22,2)=7),'Month summary'!$D$11,IF(E22="",'Month summary'!$C$11,E22)),"")</f>
        <v>WE</v>
      </c>
      <c r="G22" s="62">
        <f>IF(B22&lt;Time!$B$2,"",IF(F22='Month summary'!$C$11,'Month summary'!$F$2/24,IF(F22="H/2",'Month summary'!$F$2/24/2,0)))</f>
        <v>0</v>
      </c>
      <c r="H22" s="62">
        <f t="shared" si="4"/>
        <v>0</v>
      </c>
      <c r="I22" s="62" t="str">
        <f t="shared" si="5"/>
        <v/>
      </c>
      <c r="J22" s="108"/>
      <c r="K22" s="63" t="str">
        <f>IFERROR(INDEX(TableTime[Time],MATCH(B22,TableTime[Date],0)),"")</f>
        <v/>
      </c>
      <c r="L22" s="62" t="str">
        <f>IF(SUMIFS(TableTime[Duration],TableTime[Date],B22,TableTime[Activity],Projects!$C$9)+SUMIFS(TableTime[Duration],TableTime[Date],B22,TableTime[Activity],Projects!$C$10)+SUMIFS(TableTime[Duration],TableTime[Date],B22,TableTime[Activity],Projects!$C$11)=0,"",SUMIFS(TableTime[Duration],TableTime[Date],B22,TableTime[Activity],Projects!$C$9)+SUMIFS(TableTime[Duration],TableTime[Date],B22,TableTime[Activity],Projects!$C$10)+SUMIFS(TableTime[Duration],TableTime[Date],B22,TableTime[Activity],Projects!$C$11))</f>
        <v/>
      </c>
      <c r="M22" s="62" t="str" cm="1">
        <f t="array" ref="M22">IFERROR(LOOKUP(2,1/(TableTime[Date]=B22),TableTime[Time]),"")</f>
        <v/>
      </c>
      <c r="N22" s="63" t="str">
        <f>IF(SUMIFS(TableTime[[Duration]:[Duration]],TableTime[[Date]:[Date]],$B22,TableTime[[Activity]:[Activity]],N$1)=0,"",SUMIFS(TableTime[[Duration]:[Duration]],TableTime[[Date]:[Date]],$B22,TableTime[[Activity]:[Activity]],N$1))</f>
        <v/>
      </c>
      <c r="O22" s="62" t="str">
        <f>IF(SUMIFS(TableTime[[Duration]:[Duration]],TableTime[[Date]:[Date]],$B22,TableTime[[Activity]:[Activity]],O$1)=0,"",SUMIFS(TableTime[[Duration]:[Duration]],TableTime[[Date]:[Date]],$B22,TableTime[[Activity]:[Activity]],O$1))</f>
        <v/>
      </c>
      <c r="P22" s="62" t="str">
        <f>IF(SUMIFS(TableTime[[Duration]:[Duration]],TableTime[[Date]:[Date]],$B22,TableTime[[Activity]:[Activity]],P$1)=0,"",SUMIFS(TableTime[[Duration]:[Duration]],TableTime[[Date]:[Date]],$B22,TableTime[[Activity]:[Activity]],P$1))</f>
        <v/>
      </c>
      <c r="Q22" s="62" t="str">
        <f>IF(SUMIFS(TableTime[[Duration]:[Duration]],TableTime[[Date]:[Date]],$B22,TableTime[[Activity]:[Activity]],Q$1)=0,"",SUMIFS(TableTime[[Duration]:[Duration]],TableTime[[Date]:[Date]],$B22,TableTime[[Activity]:[Activity]],Q$1))</f>
        <v/>
      </c>
      <c r="R22" s="62" t="str">
        <f>IF(SUMIFS(TableTime[[Duration]:[Duration]],TableTime[[Date]:[Date]],$B22,TableTime[[Activity]:[Activity]],R$1)=0,"",SUMIFS(TableTime[[Duration]:[Duration]],TableTime[[Date]:[Date]],$B22,TableTime[[Activity]:[Activity]],R$1))</f>
        <v/>
      </c>
      <c r="S22" s="131" t="str">
        <f>IF(SUMIFS(TableTime[[Duration]:[Duration]],TableTime[[Date]:[Date]],$B22,TableTime[[Activity]:[Activity]],S$1)=0,"",SUMIFS(TableTime[[Duration]:[Duration]],TableTime[[Date]:[Date]],$B22,TableTime[[Activity]:[Activity]],S$1))</f>
        <v/>
      </c>
      <c r="T22" s="62" t="str">
        <f>IF(SUMIFS(TableTime[[Duration]:[Duration]],TableTime[[Date]:[Date]],$B22,TableTime[[Activity]:[Activity]],T$1)=0,"",SUMIFS(TableTime[[Duration]:[Duration]],TableTime[[Date]:[Date]],$B22,TableTime[[Activity]:[Activity]],T$1))</f>
        <v/>
      </c>
      <c r="U22" s="64" t="str">
        <f>IF(SUMIFS(TableTime[[Duration]:[Duration]],TableTime[[Date]:[Date]],$B22,TableTime[[Activity]:[Activity]],U$1)=0,"",SUMIFS(TableTime[[Duration]:[Duration]],TableTime[[Date]:[Date]],$B22,TableTime[[Activity]:[Activity]],U$1))</f>
        <v/>
      </c>
    </row>
    <row r="23" spans="1:21" x14ac:dyDescent="0.35">
      <c r="A23" s="35" t="str">
        <f t="shared" si="0"/>
        <v>Sun</v>
      </c>
      <c r="B23" s="5">
        <f t="shared" si="2"/>
        <v>44948</v>
      </c>
      <c r="C23" s="1">
        <f t="shared" si="3"/>
        <v>1</v>
      </c>
      <c r="D23" s="2">
        <f t="shared" si="1"/>
        <v>3</v>
      </c>
      <c r="E23" s="102"/>
      <c r="F23" s="1" t="str">
        <f>IFERROR(IF(OR(WEEKDAY(B23,2)=6,WEEKDAY(B23,2)=7),'Month summary'!$D$11,IF(E23="",'Month summary'!$C$11,E23)),"")</f>
        <v>WE</v>
      </c>
      <c r="G23" s="4">
        <f>IF(B23&lt;Time!$B$2,"",IF(F23='Month summary'!$C$11,'Month summary'!$F$2/24,IF(F23="H/2",'Month summary'!$F$2/24/2,0)))</f>
        <v>0</v>
      </c>
      <c r="H23" s="4">
        <f t="shared" si="4"/>
        <v>0</v>
      </c>
      <c r="I23" s="4" t="str">
        <f t="shared" si="5"/>
        <v/>
      </c>
      <c r="J23" s="107"/>
      <c r="K23" s="38" t="str">
        <f>IFERROR(INDEX(TableTime[Time],MATCH(B23,TableTime[Date],0)),"")</f>
        <v/>
      </c>
      <c r="L23" s="4" t="str">
        <f>IF(SUMIFS(TableTime[Duration],TableTime[Date],B23,TableTime[Activity],Projects!$C$9)+SUMIFS(TableTime[Duration],TableTime[Date],B23,TableTime[Activity],Projects!$C$10)+SUMIFS(TableTime[Duration],TableTime[Date],B23,TableTime[Activity],Projects!$C$11)=0,"",SUMIFS(TableTime[Duration],TableTime[Date],B23,TableTime[Activity],Projects!$C$9)+SUMIFS(TableTime[Duration],TableTime[Date],B23,TableTime[Activity],Projects!$C$10)+SUMIFS(TableTime[Duration],TableTime[Date],B23,TableTime[Activity],Projects!$C$11))</f>
        <v/>
      </c>
      <c r="M23" s="4" t="str" cm="1">
        <f t="array" ref="M23">IFERROR(LOOKUP(2,1/(TableTime[Date]=B23),TableTime[Time]),"")</f>
        <v/>
      </c>
      <c r="N23" s="38" t="str">
        <f>IF(SUMIFS(TableTime[[Duration]:[Duration]],TableTime[[Date]:[Date]],$B23,TableTime[[Activity]:[Activity]],N$1)=0,"",SUMIFS(TableTime[[Duration]:[Duration]],TableTime[[Date]:[Date]],$B23,TableTime[[Activity]:[Activity]],N$1))</f>
        <v/>
      </c>
      <c r="O23" s="4" t="str">
        <f>IF(SUMIFS(TableTime[[Duration]:[Duration]],TableTime[[Date]:[Date]],$B23,TableTime[[Activity]:[Activity]],O$1)=0,"",SUMIFS(TableTime[[Duration]:[Duration]],TableTime[[Date]:[Date]],$B23,TableTime[[Activity]:[Activity]],O$1))</f>
        <v/>
      </c>
      <c r="P23" s="4" t="str">
        <f>IF(SUMIFS(TableTime[[Duration]:[Duration]],TableTime[[Date]:[Date]],$B23,TableTime[[Activity]:[Activity]],P$1)=0,"",SUMIFS(TableTime[[Duration]:[Duration]],TableTime[[Date]:[Date]],$B23,TableTime[[Activity]:[Activity]],P$1))</f>
        <v/>
      </c>
      <c r="Q23" s="4" t="str">
        <f>IF(SUMIFS(TableTime[[Duration]:[Duration]],TableTime[[Date]:[Date]],$B23,TableTime[[Activity]:[Activity]],Q$1)=0,"",SUMIFS(TableTime[[Duration]:[Duration]],TableTime[[Date]:[Date]],$B23,TableTime[[Activity]:[Activity]],Q$1))</f>
        <v/>
      </c>
      <c r="R23" s="4" t="str">
        <f>IF(SUMIFS(TableTime[[Duration]:[Duration]],TableTime[[Date]:[Date]],$B23,TableTime[[Activity]:[Activity]],R$1)=0,"",SUMIFS(TableTime[[Duration]:[Duration]],TableTime[[Date]:[Date]],$B23,TableTime[[Activity]:[Activity]],R$1))</f>
        <v/>
      </c>
      <c r="S23" s="130" t="str">
        <f>IF(SUMIFS(TableTime[[Duration]:[Duration]],TableTime[[Date]:[Date]],$B23,TableTime[[Activity]:[Activity]],S$1)=0,"",SUMIFS(TableTime[[Duration]:[Duration]],TableTime[[Date]:[Date]],$B23,TableTime[[Activity]:[Activity]],S$1))</f>
        <v/>
      </c>
      <c r="T23" s="4" t="str">
        <f>IF(SUMIFS(TableTime[[Duration]:[Duration]],TableTime[[Date]:[Date]],$B23,TableTime[[Activity]:[Activity]],T$1)=0,"",SUMIFS(TableTime[[Duration]:[Duration]],TableTime[[Date]:[Date]],$B23,TableTime[[Activity]:[Activity]],T$1))</f>
        <v/>
      </c>
      <c r="U23" s="39" t="str">
        <f>IF(SUMIFS(TableTime[[Duration]:[Duration]],TableTime[[Date]:[Date]],$B23,TableTime[[Activity]:[Activity]],U$1)=0,"",SUMIFS(TableTime[[Duration]:[Duration]],TableTime[[Date]:[Date]],$B23,TableTime[[Activity]:[Activity]],U$1))</f>
        <v/>
      </c>
    </row>
    <row r="24" spans="1:21" x14ac:dyDescent="0.35">
      <c r="A24" s="59" t="str">
        <f t="shared" si="0"/>
        <v>Mon</v>
      </c>
      <c r="B24" s="91">
        <f t="shared" si="2"/>
        <v>44949</v>
      </c>
      <c r="C24" s="60">
        <f t="shared" si="3"/>
        <v>1</v>
      </c>
      <c r="D24" s="61">
        <f t="shared" si="1"/>
        <v>4</v>
      </c>
      <c r="E24" s="103"/>
      <c r="F24" s="60" t="str">
        <f>IFERROR(IF(OR(WEEKDAY(B24,2)=6,WEEKDAY(B24,2)=7),'Month summary'!$D$11,IF(E24="",'Month summary'!$C$11,E24)),"")</f>
        <v>W</v>
      </c>
      <c r="G24" s="62">
        <f>IF(B24&lt;Time!$B$2,"",IF(F24='Month summary'!$C$11,'Month summary'!$F$2/24,IF(F24="H/2",'Month summary'!$F$2/24/2,0)))</f>
        <v>0.33333333333333331</v>
      </c>
      <c r="H24" s="62">
        <f t="shared" si="4"/>
        <v>0</v>
      </c>
      <c r="I24" s="62" t="str">
        <f t="shared" si="5"/>
        <v/>
      </c>
      <c r="J24" s="108"/>
      <c r="K24" s="63" t="str">
        <f>IFERROR(INDEX(TableTime[Time],MATCH(B24,TableTime[Date],0)),"")</f>
        <v/>
      </c>
      <c r="L24" s="62" t="str">
        <f>IF(SUMIFS(TableTime[Duration],TableTime[Date],B24,TableTime[Activity],Projects!$C$9)+SUMIFS(TableTime[Duration],TableTime[Date],B24,TableTime[Activity],Projects!$C$10)+SUMIFS(TableTime[Duration],TableTime[Date],B24,TableTime[Activity],Projects!$C$11)=0,"",SUMIFS(TableTime[Duration],TableTime[Date],B24,TableTime[Activity],Projects!$C$9)+SUMIFS(TableTime[Duration],TableTime[Date],B24,TableTime[Activity],Projects!$C$10)+SUMIFS(TableTime[Duration],TableTime[Date],B24,TableTime[Activity],Projects!$C$11))</f>
        <v/>
      </c>
      <c r="M24" s="62" t="str" cm="1">
        <f t="array" ref="M24">IFERROR(LOOKUP(2,1/(TableTime[Date]=B24),TableTime[Time]),"")</f>
        <v/>
      </c>
      <c r="N24" s="63" t="str">
        <f>IF(SUMIFS(TableTime[[Duration]:[Duration]],TableTime[[Date]:[Date]],$B24,TableTime[[Activity]:[Activity]],N$1)=0,"",SUMIFS(TableTime[[Duration]:[Duration]],TableTime[[Date]:[Date]],$B24,TableTime[[Activity]:[Activity]],N$1))</f>
        <v/>
      </c>
      <c r="O24" s="62" t="str">
        <f>IF(SUMIFS(TableTime[[Duration]:[Duration]],TableTime[[Date]:[Date]],$B24,TableTime[[Activity]:[Activity]],O$1)=0,"",SUMIFS(TableTime[[Duration]:[Duration]],TableTime[[Date]:[Date]],$B24,TableTime[[Activity]:[Activity]],O$1))</f>
        <v/>
      </c>
      <c r="P24" s="62" t="str">
        <f>IF(SUMIFS(TableTime[[Duration]:[Duration]],TableTime[[Date]:[Date]],$B24,TableTime[[Activity]:[Activity]],P$1)=0,"",SUMIFS(TableTime[[Duration]:[Duration]],TableTime[[Date]:[Date]],$B24,TableTime[[Activity]:[Activity]],P$1))</f>
        <v/>
      </c>
      <c r="Q24" s="62" t="str">
        <f>IF(SUMIFS(TableTime[[Duration]:[Duration]],TableTime[[Date]:[Date]],$B24,TableTime[[Activity]:[Activity]],Q$1)=0,"",SUMIFS(TableTime[[Duration]:[Duration]],TableTime[[Date]:[Date]],$B24,TableTime[[Activity]:[Activity]],Q$1))</f>
        <v/>
      </c>
      <c r="R24" s="62" t="str">
        <f>IF(SUMIFS(TableTime[[Duration]:[Duration]],TableTime[[Date]:[Date]],$B24,TableTime[[Activity]:[Activity]],R$1)=0,"",SUMIFS(TableTime[[Duration]:[Duration]],TableTime[[Date]:[Date]],$B24,TableTime[[Activity]:[Activity]],R$1))</f>
        <v/>
      </c>
      <c r="S24" s="131" t="str">
        <f>IF(SUMIFS(TableTime[[Duration]:[Duration]],TableTime[[Date]:[Date]],$B24,TableTime[[Activity]:[Activity]],S$1)=0,"",SUMIFS(TableTime[[Duration]:[Duration]],TableTime[[Date]:[Date]],$B24,TableTime[[Activity]:[Activity]],S$1))</f>
        <v/>
      </c>
      <c r="T24" s="62" t="str">
        <f>IF(SUMIFS(TableTime[[Duration]:[Duration]],TableTime[[Date]:[Date]],$B24,TableTime[[Activity]:[Activity]],T$1)=0,"",SUMIFS(TableTime[[Duration]:[Duration]],TableTime[[Date]:[Date]],$B24,TableTime[[Activity]:[Activity]],T$1))</f>
        <v/>
      </c>
      <c r="U24" s="64" t="str">
        <f>IF(SUMIFS(TableTime[[Duration]:[Duration]],TableTime[[Date]:[Date]],$B24,TableTime[[Activity]:[Activity]],U$1)=0,"",SUMIFS(TableTime[[Duration]:[Duration]],TableTime[[Date]:[Date]],$B24,TableTime[[Activity]:[Activity]],U$1))</f>
        <v/>
      </c>
    </row>
    <row r="25" spans="1:21" x14ac:dyDescent="0.35">
      <c r="A25" s="35" t="str">
        <f t="shared" si="0"/>
        <v>Tue</v>
      </c>
      <c r="B25" s="5">
        <f t="shared" si="2"/>
        <v>44950</v>
      </c>
      <c r="C25" s="1">
        <f t="shared" si="3"/>
        <v>1</v>
      </c>
      <c r="D25" s="2">
        <f t="shared" si="1"/>
        <v>4</v>
      </c>
      <c r="E25" s="102"/>
      <c r="F25" s="1" t="str">
        <f>IFERROR(IF(OR(WEEKDAY(B25,2)=6,WEEKDAY(B25,2)=7),'Month summary'!$D$11,IF(E25="",'Month summary'!$C$11,E25)),"")</f>
        <v>W</v>
      </c>
      <c r="G25" s="4">
        <f>IF(B25&lt;Time!$B$2,"",IF(F25='Month summary'!$C$11,'Month summary'!$F$2/24,IF(F25="H/2",'Month summary'!$F$2/24/2,0)))</f>
        <v>0.33333333333333331</v>
      </c>
      <c r="H25" s="4">
        <f t="shared" si="4"/>
        <v>0</v>
      </c>
      <c r="I25" s="4" t="str">
        <f t="shared" si="5"/>
        <v/>
      </c>
      <c r="J25" s="107"/>
      <c r="K25" s="38" t="str">
        <f>IFERROR(INDEX(TableTime[Time],MATCH(B25,TableTime[Date],0)),"")</f>
        <v/>
      </c>
      <c r="L25" s="4" t="str">
        <f>IF(SUMIFS(TableTime[Duration],TableTime[Date],B25,TableTime[Activity],Projects!$C$9)+SUMIFS(TableTime[Duration],TableTime[Date],B25,TableTime[Activity],Projects!$C$10)+SUMIFS(TableTime[Duration],TableTime[Date],B25,TableTime[Activity],Projects!$C$11)=0,"",SUMIFS(TableTime[Duration],TableTime[Date],B25,TableTime[Activity],Projects!$C$9)+SUMIFS(TableTime[Duration],TableTime[Date],B25,TableTime[Activity],Projects!$C$10)+SUMIFS(TableTime[Duration],TableTime[Date],B25,TableTime[Activity],Projects!$C$11))</f>
        <v/>
      </c>
      <c r="M25" s="4" t="str" cm="1">
        <f t="array" ref="M25">IFERROR(LOOKUP(2,1/(TableTime[Date]=B25),TableTime[Time]),"")</f>
        <v/>
      </c>
      <c r="N25" s="38" t="str">
        <f>IF(SUMIFS(TableTime[[Duration]:[Duration]],TableTime[[Date]:[Date]],$B25,TableTime[[Activity]:[Activity]],N$1)=0,"",SUMIFS(TableTime[[Duration]:[Duration]],TableTime[[Date]:[Date]],$B25,TableTime[[Activity]:[Activity]],N$1))</f>
        <v/>
      </c>
      <c r="O25" s="4" t="str">
        <f>IF(SUMIFS(TableTime[[Duration]:[Duration]],TableTime[[Date]:[Date]],$B25,TableTime[[Activity]:[Activity]],O$1)=0,"",SUMIFS(TableTime[[Duration]:[Duration]],TableTime[[Date]:[Date]],$B25,TableTime[[Activity]:[Activity]],O$1))</f>
        <v/>
      </c>
      <c r="P25" s="4" t="str">
        <f>IF(SUMIFS(TableTime[[Duration]:[Duration]],TableTime[[Date]:[Date]],$B25,TableTime[[Activity]:[Activity]],P$1)=0,"",SUMIFS(TableTime[[Duration]:[Duration]],TableTime[[Date]:[Date]],$B25,TableTime[[Activity]:[Activity]],P$1))</f>
        <v/>
      </c>
      <c r="Q25" s="4" t="str">
        <f>IF(SUMIFS(TableTime[[Duration]:[Duration]],TableTime[[Date]:[Date]],$B25,TableTime[[Activity]:[Activity]],Q$1)=0,"",SUMIFS(TableTime[[Duration]:[Duration]],TableTime[[Date]:[Date]],$B25,TableTime[[Activity]:[Activity]],Q$1))</f>
        <v/>
      </c>
      <c r="R25" s="4" t="str">
        <f>IF(SUMIFS(TableTime[[Duration]:[Duration]],TableTime[[Date]:[Date]],$B25,TableTime[[Activity]:[Activity]],R$1)=0,"",SUMIFS(TableTime[[Duration]:[Duration]],TableTime[[Date]:[Date]],$B25,TableTime[[Activity]:[Activity]],R$1))</f>
        <v/>
      </c>
      <c r="S25" s="130" t="str">
        <f>IF(SUMIFS(TableTime[[Duration]:[Duration]],TableTime[[Date]:[Date]],$B25,TableTime[[Activity]:[Activity]],S$1)=0,"",SUMIFS(TableTime[[Duration]:[Duration]],TableTime[[Date]:[Date]],$B25,TableTime[[Activity]:[Activity]],S$1))</f>
        <v/>
      </c>
      <c r="T25" s="4" t="str">
        <f>IF(SUMIFS(TableTime[[Duration]:[Duration]],TableTime[[Date]:[Date]],$B25,TableTime[[Activity]:[Activity]],T$1)=0,"",SUMIFS(TableTime[[Duration]:[Duration]],TableTime[[Date]:[Date]],$B25,TableTime[[Activity]:[Activity]],T$1))</f>
        <v/>
      </c>
      <c r="U25" s="39" t="str">
        <f>IF(SUMIFS(TableTime[[Duration]:[Duration]],TableTime[[Date]:[Date]],$B25,TableTime[[Activity]:[Activity]],U$1)=0,"",SUMIFS(TableTime[[Duration]:[Duration]],TableTime[[Date]:[Date]],$B25,TableTime[[Activity]:[Activity]],U$1))</f>
        <v/>
      </c>
    </row>
    <row r="26" spans="1:21" x14ac:dyDescent="0.35">
      <c r="A26" s="59" t="str">
        <f t="shared" si="0"/>
        <v>Wed</v>
      </c>
      <c r="B26" s="91">
        <f t="shared" si="2"/>
        <v>44951</v>
      </c>
      <c r="C26" s="60">
        <f t="shared" si="3"/>
        <v>1</v>
      </c>
      <c r="D26" s="61">
        <f t="shared" si="1"/>
        <v>4</v>
      </c>
      <c r="E26" s="103"/>
      <c r="F26" s="60" t="str">
        <f>IFERROR(IF(OR(WEEKDAY(B26,2)=6,WEEKDAY(B26,2)=7),'Month summary'!$D$11,IF(E26="",'Month summary'!$C$11,E26)),"")</f>
        <v>W</v>
      </c>
      <c r="G26" s="62">
        <f>IF(B26&lt;Time!$B$2,"",IF(F26='Month summary'!$C$11,'Month summary'!$F$2/24,IF(F26="H/2",'Month summary'!$F$2/24/2,0)))</f>
        <v>0.33333333333333331</v>
      </c>
      <c r="H26" s="62">
        <f t="shared" si="4"/>
        <v>0</v>
      </c>
      <c r="I26" s="62" t="str">
        <f t="shared" si="5"/>
        <v/>
      </c>
      <c r="J26" s="108"/>
      <c r="K26" s="63" t="str">
        <f>IFERROR(INDEX(TableTime[Time],MATCH(B26,TableTime[Date],0)),"")</f>
        <v/>
      </c>
      <c r="L26" s="62" t="str">
        <f>IF(SUMIFS(TableTime[Duration],TableTime[Date],B26,TableTime[Activity],Projects!$C$9)+SUMIFS(TableTime[Duration],TableTime[Date],B26,TableTime[Activity],Projects!$C$10)+SUMIFS(TableTime[Duration],TableTime[Date],B26,TableTime[Activity],Projects!$C$11)=0,"",SUMIFS(TableTime[Duration],TableTime[Date],B26,TableTime[Activity],Projects!$C$9)+SUMIFS(TableTime[Duration],TableTime[Date],B26,TableTime[Activity],Projects!$C$10)+SUMIFS(TableTime[Duration],TableTime[Date],B26,TableTime[Activity],Projects!$C$11))</f>
        <v/>
      </c>
      <c r="M26" s="62" t="str" cm="1">
        <f t="array" ref="M26">IFERROR(LOOKUP(2,1/(TableTime[Date]=B26),TableTime[Time]),"")</f>
        <v/>
      </c>
      <c r="N26" s="63" t="str">
        <f>IF(SUMIFS(TableTime[[Duration]:[Duration]],TableTime[[Date]:[Date]],$B26,TableTime[[Activity]:[Activity]],N$1)=0,"",SUMIFS(TableTime[[Duration]:[Duration]],TableTime[[Date]:[Date]],$B26,TableTime[[Activity]:[Activity]],N$1))</f>
        <v/>
      </c>
      <c r="O26" s="62" t="str">
        <f>IF(SUMIFS(TableTime[[Duration]:[Duration]],TableTime[[Date]:[Date]],$B26,TableTime[[Activity]:[Activity]],O$1)=0,"",SUMIFS(TableTime[[Duration]:[Duration]],TableTime[[Date]:[Date]],$B26,TableTime[[Activity]:[Activity]],O$1))</f>
        <v/>
      </c>
      <c r="P26" s="62" t="str">
        <f>IF(SUMIFS(TableTime[[Duration]:[Duration]],TableTime[[Date]:[Date]],$B26,TableTime[[Activity]:[Activity]],P$1)=0,"",SUMIFS(TableTime[[Duration]:[Duration]],TableTime[[Date]:[Date]],$B26,TableTime[[Activity]:[Activity]],P$1))</f>
        <v/>
      </c>
      <c r="Q26" s="62" t="str">
        <f>IF(SUMIFS(TableTime[[Duration]:[Duration]],TableTime[[Date]:[Date]],$B26,TableTime[[Activity]:[Activity]],Q$1)=0,"",SUMIFS(TableTime[[Duration]:[Duration]],TableTime[[Date]:[Date]],$B26,TableTime[[Activity]:[Activity]],Q$1))</f>
        <v/>
      </c>
      <c r="R26" s="62" t="str">
        <f>IF(SUMIFS(TableTime[[Duration]:[Duration]],TableTime[[Date]:[Date]],$B26,TableTime[[Activity]:[Activity]],R$1)=0,"",SUMIFS(TableTime[[Duration]:[Duration]],TableTime[[Date]:[Date]],$B26,TableTime[[Activity]:[Activity]],R$1))</f>
        <v/>
      </c>
      <c r="S26" s="131" t="str">
        <f>IF(SUMIFS(TableTime[[Duration]:[Duration]],TableTime[[Date]:[Date]],$B26,TableTime[[Activity]:[Activity]],S$1)=0,"",SUMIFS(TableTime[[Duration]:[Duration]],TableTime[[Date]:[Date]],$B26,TableTime[[Activity]:[Activity]],S$1))</f>
        <v/>
      </c>
      <c r="T26" s="62" t="str">
        <f>IF(SUMIFS(TableTime[[Duration]:[Duration]],TableTime[[Date]:[Date]],$B26,TableTime[[Activity]:[Activity]],T$1)=0,"",SUMIFS(TableTime[[Duration]:[Duration]],TableTime[[Date]:[Date]],$B26,TableTime[[Activity]:[Activity]],T$1))</f>
        <v/>
      </c>
      <c r="U26" s="64" t="str">
        <f>IF(SUMIFS(TableTime[[Duration]:[Duration]],TableTime[[Date]:[Date]],$B26,TableTime[[Activity]:[Activity]],U$1)=0,"",SUMIFS(TableTime[[Duration]:[Duration]],TableTime[[Date]:[Date]],$B26,TableTime[[Activity]:[Activity]],U$1))</f>
        <v/>
      </c>
    </row>
    <row r="27" spans="1:21" x14ac:dyDescent="0.35">
      <c r="A27" s="35" t="str">
        <f t="shared" si="0"/>
        <v>Thr</v>
      </c>
      <c r="B27" s="5">
        <f t="shared" si="2"/>
        <v>44952</v>
      </c>
      <c r="C27" s="1">
        <f t="shared" si="3"/>
        <v>1</v>
      </c>
      <c r="D27" s="2">
        <f t="shared" si="1"/>
        <v>4</v>
      </c>
      <c r="E27" s="102"/>
      <c r="F27" s="1" t="str">
        <f>IFERROR(IF(OR(WEEKDAY(B27,2)=6,WEEKDAY(B27,2)=7),'Month summary'!$D$11,IF(E27="",'Month summary'!$C$11,E27)),"")</f>
        <v>W</v>
      </c>
      <c r="G27" s="4">
        <f>IF(B27&lt;Time!$B$2,"",IF(F27='Month summary'!$C$11,'Month summary'!$F$2/24,IF(F27="H/2",'Month summary'!$F$2/24/2,0)))</f>
        <v>0.33333333333333331</v>
      </c>
      <c r="H27" s="4">
        <f t="shared" si="4"/>
        <v>0</v>
      </c>
      <c r="I27" s="4" t="str">
        <f t="shared" si="5"/>
        <v/>
      </c>
      <c r="J27" s="107"/>
      <c r="K27" s="38" t="str">
        <f>IFERROR(INDEX(TableTime[Time],MATCH(B27,TableTime[Date],0)),"")</f>
        <v/>
      </c>
      <c r="L27" s="4" t="str">
        <f>IF(SUMIFS(TableTime[Duration],TableTime[Date],B27,TableTime[Activity],Projects!$C$9)+SUMIFS(TableTime[Duration],TableTime[Date],B27,TableTime[Activity],Projects!$C$10)+SUMIFS(TableTime[Duration],TableTime[Date],B27,TableTime[Activity],Projects!$C$11)=0,"",SUMIFS(TableTime[Duration],TableTime[Date],B27,TableTime[Activity],Projects!$C$9)+SUMIFS(TableTime[Duration],TableTime[Date],B27,TableTime[Activity],Projects!$C$10)+SUMIFS(TableTime[Duration],TableTime[Date],B27,TableTime[Activity],Projects!$C$11))</f>
        <v/>
      </c>
      <c r="M27" s="4" t="str" cm="1">
        <f t="array" ref="M27">IFERROR(LOOKUP(2,1/(TableTime[Date]=B27),TableTime[Time]),"")</f>
        <v/>
      </c>
      <c r="N27" s="38" t="str">
        <f>IF(SUMIFS(TableTime[[Duration]:[Duration]],TableTime[[Date]:[Date]],$B27,TableTime[[Activity]:[Activity]],N$1)=0,"",SUMIFS(TableTime[[Duration]:[Duration]],TableTime[[Date]:[Date]],$B27,TableTime[[Activity]:[Activity]],N$1))</f>
        <v/>
      </c>
      <c r="O27" s="4" t="str">
        <f>IF(SUMIFS(TableTime[[Duration]:[Duration]],TableTime[[Date]:[Date]],$B27,TableTime[[Activity]:[Activity]],O$1)=0,"",SUMIFS(TableTime[[Duration]:[Duration]],TableTime[[Date]:[Date]],$B27,TableTime[[Activity]:[Activity]],O$1))</f>
        <v/>
      </c>
      <c r="P27" s="4" t="str">
        <f>IF(SUMIFS(TableTime[[Duration]:[Duration]],TableTime[[Date]:[Date]],$B27,TableTime[[Activity]:[Activity]],P$1)=0,"",SUMIFS(TableTime[[Duration]:[Duration]],TableTime[[Date]:[Date]],$B27,TableTime[[Activity]:[Activity]],P$1))</f>
        <v/>
      </c>
      <c r="Q27" s="4" t="str">
        <f>IF(SUMIFS(TableTime[[Duration]:[Duration]],TableTime[[Date]:[Date]],$B27,TableTime[[Activity]:[Activity]],Q$1)=0,"",SUMIFS(TableTime[[Duration]:[Duration]],TableTime[[Date]:[Date]],$B27,TableTime[[Activity]:[Activity]],Q$1))</f>
        <v/>
      </c>
      <c r="R27" s="4" t="str">
        <f>IF(SUMIFS(TableTime[[Duration]:[Duration]],TableTime[[Date]:[Date]],$B27,TableTime[[Activity]:[Activity]],R$1)=0,"",SUMIFS(TableTime[[Duration]:[Duration]],TableTime[[Date]:[Date]],$B27,TableTime[[Activity]:[Activity]],R$1))</f>
        <v/>
      </c>
      <c r="S27" s="130" t="str">
        <f>IF(SUMIFS(TableTime[[Duration]:[Duration]],TableTime[[Date]:[Date]],$B27,TableTime[[Activity]:[Activity]],S$1)=0,"",SUMIFS(TableTime[[Duration]:[Duration]],TableTime[[Date]:[Date]],$B27,TableTime[[Activity]:[Activity]],S$1))</f>
        <v/>
      </c>
      <c r="T27" s="4" t="str">
        <f>IF(SUMIFS(TableTime[[Duration]:[Duration]],TableTime[[Date]:[Date]],$B27,TableTime[[Activity]:[Activity]],T$1)=0,"",SUMIFS(TableTime[[Duration]:[Duration]],TableTime[[Date]:[Date]],$B27,TableTime[[Activity]:[Activity]],T$1))</f>
        <v/>
      </c>
      <c r="U27" s="39" t="str">
        <f>IF(SUMIFS(TableTime[[Duration]:[Duration]],TableTime[[Date]:[Date]],$B27,TableTime[[Activity]:[Activity]],U$1)=0,"",SUMIFS(TableTime[[Duration]:[Duration]],TableTime[[Date]:[Date]],$B27,TableTime[[Activity]:[Activity]],U$1))</f>
        <v/>
      </c>
    </row>
    <row r="28" spans="1:21" x14ac:dyDescent="0.35">
      <c r="A28" s="59" t="str">
        <f t="shared" si="0"/>
        <v>Fri</v>
      </c>
      <c r="B28" s="91">
        <f t="shared" si="2"/>
        <v>44953</v>
      </c>
      <c r="C28" s="60">
        <f t="shared" si="3"/>
        <v>1</v>
      </c>
      <c r="D28" s="61">
        <f t="shared" si="1"/>
        <v>4</v>
      </c>
      <c r="E28" s="103"/>
      <c r="F28" s="60" t="str">
        <f>IFERROR(IF(OR(WEEKDAY(B28,2)=6,WEEKDAY(B28,2)=7),'Month summary'!$D$11,IF(E28="",'Month summary'!$C$11,E28)),"")</f>
        <v>W</v>
      </c>
      <c r="G28" s="62">
        <f>IF(B28&lt;Time!$B$2,"",IF(F28='Month summary'!$C$11,'Month summary'!$F$2/24,IF(F28="H/2",'Month summary'!$F$2/24/2,0)))</f>
        <v>0.33333333333333331</v>
      </c>
      <c r="H28" s="62">
        <f t="shared" si="4"/>
        <v>0</v>
      </c>
      <c r="I28" s="62" t="str">
        <f t="shared" si="5"/>
        <v/>
      </c>
      <c r="J28" s="108"/>
      <c r="K28" s="63" t="str">
        <f>IFERROR(INDEX(TableTime[Time],MATCH(B28,TableTime[Date],0)),"")</f>
        <v/>
      </c>
      <c r="L28" s="62" t="str">
        <f>IF(SUMIFS(TableTime[Duration],TableTime[Date],B28,TableTime[Activity],Projects!$C$9)+SUMIFS(TableTime[Duration],TableTime[Date],B28,TableTime[Activity],Projects!$C$10)+SUMIFS(TableTime[Duration],TableTime[Date],B28,TableTime[Activity],Projects!$C$11)=0,"",SUMIFS(TableTime[Duration],TableTime[Date],B28,TableTime[Activity],Projects!$C$9)+SUMIFS(TableTime[Duration],TableTime[Date],B28,TableTime[Activity],Projects!$C$10)+SUMIFS(TableTime[Duration],TableTime[Date],B28,TableTime[Activity],Projects!$C$11))</f>
        <v/>
      </c>
      <c r="M28" s="62" t="str" cm="1">
        <f t="array" ref="M28">IFERROR(LOOKUP(2,1/(TableTime[Date]=B28),TableTime[Time]),"")</f>
        <v/>
      </c>
      <c r="N28" s="63" t="str">
        <f>IF(SUMIFS(TableTime[[Duration]:[Duration]],TableTime[[Date]:[Date]],$B28,TableTime[[Activity]:[Activity]],N$1)=0,"",SUMIFS(TableTime[[Duration]:[Duration]],TableTime[[Date]:[Date]],$B28,TableTime[[Activity]:[Activity]],N$1))</f>
        <v/>
      </c>
      <c r="O28" s="62" t="str">
        <f>IF(SUMIFS(TableTime[[Duration]:[Duration]],TableTime[[Date]:[Date]],$B28,TableTime[[Activity]:[Activity]],O$1)=0,"",SUMIFS(TableTime[[Duration]:[Duration]],TableTime[[Date]:[Date]],$B28,TableTime[[Activity]:[Activity]],O$1))</f>
        <v/>
      </c>
      <c r="P28" s="62" t="str">
        <f>IF(SUMIFS(TableTime[[Duration]:[Duration]],TableTime[[Date]:[Date]],$B28,TableTime[[Activity]:[Activity]],P$1)=0,"",SUMIFS(TableTime[[Duration]:[Duration]],TableTime[[Date]:[Date]],$B28,TableTime[[Activity]:[Activity]],P$1))</f>
        <v/>
      </c>
      <c r="Q28" s="62" t="str">
        <f>IF(SUMIFS(TableTime[[Duration]:[Duration]],TableTime[[Date]:[Date]],$B28,TableTime[[Activity]:[Activity]],Q$1)=0,"",SUMIFS(TableTime[[Duration]:[Duration]],TableTime[[Date]:[Date]],$B28,TableTime[[Activity]:[Activity]],Q$1))</f>
        <v/>
      </c>
      <c r="R28" s="62" t="str">
        <f>IF(SUMIFS(TableTime[[Duration]:[Duration]],TableTime[[Date]:[Date]],$B28,TableTime[[Activity]:[Activity]],R$1)=0,"",SUMIFS(TableTime[[Duration]:[Duration]],TableTime[[Date]:[Date]],$B28,TableTime[[Activity]:[Activity]],R$1))</f>
        <v/>
      </c>
      <c r="S28" s="131" t="str">
        <f>IF(SUMIFS(TableTime[[Duration]:[Duration]],TableTime[[Date]:[Date]],$B28,TableTime[[Activity]:[Activity]],S$1)=0,"",SUMIFS(TableTime[[Duration]:[Duration]],TableTime[[Date]:[Date]],$B28,TableTime[[Activity]:[Activity]],S$1))</f>
        <v/>
      </c>
      <c r="T28" s="62" t="str">
        <f>IF(SUMIFS(TableTime[[Duration]:[Duration]],TableTime[[Date]:[Date]],$B28,TableTime[[Activity]:[Activity]],T$1)=0,"",SUMIFS(TableTime[[Duration]:[Duration]],TableTime[[Date]:[Date]],$B28,TableTime[[Activity]:[Activity]],T$1))</f>
        <v/>
      </c>
      <c r="U28" s="64" t="str">
        <f>IF(SUMIFS(TableTime[[Duration]:[Duration]],TableTime[[Date]:[Date]],$B28,TableTime[[Activity]:[Activity]],U$1)=0,"",SUMIFS(TableTime[[Duration]:[Duration]],TableTime[[Date]:[Date]],$B28,TableTime[[Activity]:[Activity]],U$1))</f>
        <v/>
      </c>
    </row>
    <row r="29" spans="1:21" x14ac:dyDescent="0.35">
      <c r="A29" s="35" t="str">
        <f t="shared" si="0"/>
        <v>Sat</v>
      </c>
      <c r="B29" s="5">
        <f t="shared" si="2"/>
        <v>44954</v>
      </c>
      <c r="C29" s="1">
        <f t="shared" si="3"/>
        <v>1</v>
      </c>
      <c r="D29" s="2">
        <f t="shared" si="1"/>
        <v>4</v>
      </c>
      <c r="E29" s="102"/>
      <c r="F29" s="1" t="str">
        <f>IFERROR(IF(OR(WEEKDAY(B29,2)=6,WEEKDAY(B29,2)=7),'Month summary'!$D$11,IF(E29="",'Month summary'!$C$11,E29)),"")</f>
        <v>WE</v>
      </c>
      <c r="G29" s="4">
        <f>IF(B29&lt;Time!$B$2,"",IF(F29='Month summary'!$C$11,'Month summary'!$F$2/24,IF(F29="H/2",'Month summary'!$F$2/24/2,0)))</f>
        <v>0</v>
      </c>
      <c r="H29" s="4">
        <f t="shared" si="4"/>
        <v>0</v>
      </c>
      <c r="I29" s="4" t="str">
        <f t="shared" si="5"/>
        <v/>
      </c>
      <c r="J29" s="107"/>
      <c r="K29" s="38" t="str">
        <f>IFERROR(INDEX(TableTime[Time],MATCH(B29,TableTime[Date],0)),"")</f>
        <v/>
      </c>
      <c r="L29" s="4" t="str">
        <f>IF(SUMIFS(TableTime[Duration],TableTime[Date],B29,TableTime[Activity],Projects!$C$9)+SUMIFS(TableTime[Duration],TableTime[Date],B29,TableTime[Activity],Projects!$C$10)+SUMIFS(TableTime[Duration],TableTime[Date],B29,TableTime[Activity],Projects!$C$11)=0,"",SUMIFS(TableTime[Duration],TableTime[Date],B29,TableTime[Activity],Projects!$C$9)+SUMIFS(TableTime[Duration],TableTime[Date],B29,TableTime[Activity],Projects!$C$10)+SUMIFS(TableTime[Duration],TableTime[Date],B29,TableTime[Activity],Projects!$C$11))</f>
        <v/>
      </c>
      <c r="M29" s="4" t="str" cm="1">
        <f t="array" ref="M29">IFERROR(LOOKUP(2,1/(TableTime[Date]=B29),TableTime[Time]),"")</f>
        <v/>
      </c>
      <c r="N29" s="38" t="str">
        <f>IF(SUMIFS(TableTime[[Duration]:[Duration]],TableTime[[Date]:[Date]],$B29,TableTime[[Activity]:[Activity]],N$1)=0,"",SUMIFS(TableTime[[Duration]:[Duration]],TableTime[[Date]:[Date]],$B29,TableTime[[Activity]:[Activity]],N$1))</f>
        <v/>
      </c>
      <c r="O29" s="4" t="str">
        <f>IF(SUMIFS(TableTime[[Duration]:[Duration]],TableTime[[Date]:[Date]],$B29,TableTime[[Activity]:[Activity]],O$1)=0,"",SUMIFS(TableTime[[Duration]:[Duration]],TableTime[[Date]:[Date]],$B29,TableTime[[Activity]:[Activity]],O$1))</f>
        <v/>
      </c>
      <c r="P29" s="4" t="str">
        <f>IF(SUMIFS(TableTime[[Duration]:[Duration]],TableTime[[Date]:[Date]],$B29,TableTime[[Activity]:[Activity]],P$1)=0,"",SUMIFS(TableTime[[Duration]:[Duration]],TableTime[[Date]:[Date]],$B29,TableTime[[Activity]:[Activity]],P$1))</f>
        <v/>
      </c>
      <c r="Q29" s="4" t="str">
        <f>IF(SUMIFS(TableTime[[Duration]:[Duration]],TableTime[[Date]:[Date]],$B29,TableTime[[Activity]:[Activity]],Q$1)=0,"",SUMIFS(TableTime[[Duration]:[Duration]],TableTime[[Date]:[Date]],$B29,TableTime[[Activity]:[Activity]],Q$1))</f>
        <v/>
      </c>
      <c r="R29" s="4" t="str">
        <f>IF(SUMIFS(TableTime[[Duration]:[Duration]],TableTime[[Date]:[Date]],$B29,TableTime[[Activity]:[Activity]],R$1)=0,"",SUMIFS(TableTime[[Duration]:[Duration]],TableTime[[Date]:[Date]],$B29,TableTime[[Activity]:[Activity]],R$1))</f>
        <v/>
      </c>
      <c r="S29" s="130" t="str">
        <f>IF(SUMIFS(TableTime[[Duration]:[Duration]],TableTime[[Date]:[Date]],$B29,TableTime[[Activity]:[Activity]],S$1)=0,"",SUMIFS(TableTime[[Duration]:[Duration]],TableTime[[Date]:[Date]],$B29,TableTime[[Activity]:[Activity]],S$1))</f>
        <v/>
      </c>
      <c r="T29" s="4" t="str">
        <f>IF(SUMIFS(TableTime[[Duration]:[Duration]],TableTime[[Date]:[Date]],$B29,TableTime[[Activity]:[Activity]],T$1)=0,"",SUMIFS(TableTime[[Duration]:[Duration]],TableTime[[Date]:[Date]],$B29,TableTime[[Activity]:[Activity]],T$1))</f>
        <v/>
      </c>
      <c r="U29" s="39" t="str">
        <f>IF(SUMIFS(TableTime[[Duration]:[Duration]],TableTime[[Date]:[Date]],$B29,TableTime[[Activity]:[Activity]],U$1)=0,"",SUMIFS(TableTime[[Duration]:[Duration]],TableTime[[Date]:[Date]],$B29,TableTime[[Activity]:[Activity]],U$1))</f>
        <v/>
      </c>
    </row>
    <row r="30" spans="1:21" x14ac:dyDescent="0.35">
      <c r="A30" s="59" t="str">
        <f t="shared" si="0"/>
        <v>Sun</v>
      </c>
      <c r="B30" s="91">
        <f t="shared" si="2"/>
        <v>44955</v>
      </c>
      <c r="C30" s="60">
        <f t="shared" si="3"/>
        <v>1</v>
      </c>
      <c r="D30" s="61">
        <f t="shared" si="1"/>
        <v>4</v>
      </c>
      <c r="E30" s="103"/>
      <c r="F30" s="60" t="str">
        <f>IFERROR(IF(OR(WEEKDAY(B30,2)=6,WEEKDAY(B30,2)=7),'Month summary'!$D$11,IF(E30="",'Month summary'!$C$11,E30)),"")</f>
        <v>WE</v>
      </c>
      <c r="G30" s="62">
        <f>IF(B30&lt;Time!$B$2,"",IF(F30='Month summary'!$C$11,'Month summary'!$F$2/24,IF(F30="H/2",'Month summary'!$F$2/24/2,0)))</f>
        <v>0</v>
      </c>
      <c r="H30" s="62">
        <f t="shared" si="4"/>
        <v>0</v>
      </c>
      <c r="I30" s="62" t="str">
        <f t="shared" si="5"/>
        <v/>
      </c>
      <c r="J30" s="108"/>
      <c r="K30" s="63" t="str">
        <f>IFERROR(INDEX(TableTime[Time],MATCH(B30,TableTime[Date],0)),"")</f>
        <v/>
      </c>
      <c r="L30" s="62" t="str">
        <f>IF(SUMIFS(TableTime[Duration],TableTime[Date],B30,TableTime[Activity],Projects!$C$9)+SUMIFS(TableTime[Duration],TableTime[Date],B30,TableTime[Activity],Projects!$C$10)+SUMIFS(TableTime[Duration],TableTime[Date],B30,TableTime[Activity],Projects!$C$11)=0,"",SUMIFS(TableTime[Duration],TableTime[Date],B30,TableTime[Activity],Projects!$C$9)+SUMIFS(TableTime[Duration],TableTime[Date],B30,TableTime[Activity],Projects!$C$10)+SUMIFS(TableTime[Duration],TableTime[Date],B30,TableTime[Activity],Projects!$C$11))</f>
        <v/>
      </c>
      <c r="M30" s="62" t="str" cm="1">
        <f t="array" ref="M30">IFERROR(LOOKUP(2,1/(TableTime[Date]=B30),TableTime[Time]),"")</f>
        <v/>
      </c>
      <c r="N30" s="63" t="str">
        <f>IF(SUMIFS(TableTime[[Duration]:[Duration]],TableTime[[Date]:[Date]],$B30,TableTime[[Activity]:[Activity]],N$1)=0,"",SUMIFS(TableTime[[Duration]:[Duration]],TableTime[[Date]:[Date]],$B30,TableTime[[Activity]:[Activity]],N$1))</f>
        <v/>
      </c>
      <c r="O30" s="62" t="str">
        <f>IF(SUMIFS(TableTime[[Duration]:[Duration]],TableTime[[Date]:[Date]],$B30,TableTime[[Activity]:[Activity]],O$1)=0,"",SUMIFS(TableTime[[Duration]:[Duration]],TableTime[[Date]:[Date]],$B30,TableTime[[Activity]:[Activity]],O$1))</f>
        <v/>
      </c>
      <c r="P30" s="62" t="str">
        <f>IF(SUMIFS(TableTime[[Duration]:[Duration]],TableTime[[Date]:[Date]],$B30,TableTime[[Activity]:[Activity]],P$1)=0,"",SUMIFS(TableTime[[Duration]:[Duration]],TableTime[[Date]:[Date]],$B30,TableTime[[Activity]:[Activity]],P$1))</f>
        <v/>
      </c>
      <c r="Q30" s="62" t="str">
        <f>IF(SUMIFS(TableTime[[Duration]:[Duration]],TableTime[[Date]:[Date]],$B30,TableTime[[Activity]:[Activity]],Q$1)=0,"",SUMIFS(TableTime[[Duration]:[Duration]],TableTime[[Date]:[Date]],$B30,TableTime[[Activity]:[Activity]],Q$1))</f>
        <v/>
      </c>
      <c r="R30" s="62" t="str">
        <f>IF(SUMIFS(TableTime[[Duration]:[Duration]],TableTime[[Date]:[Date]],$B30,TableTime[[Activity]:[Activity]],R$1)=0,"",SUMIFS(TableTime[[Duration]:[Duration]],TableTime[[Date]:[Date]],$B30,TableTime[[Activity]:[Activity]],R$1))</f>
        <v/>
      </c>
      <c r="S30" s="131" t="str">
        <f>IF(SUMIFS(TableTime[[Duration]:[Duration]],TableTime[[Date]:[Date]],$B30,TableTime[[Activity]:[Activity]],S$1)=0,"",SUMIFS(TableTime[[Duration]:[Duration]],TableTime[[Date]:[Date]],$B30,TableTime[[Activity]:[Activity]],S$1))</f>
        <v/>
      </c>
      <c r="T30" s="62" t="str">
        <f>IF(SUMIFS(TableTime[[Duration]:[Duration]],TableTime[[Date]:[Date]],$B30,TableTime[[Activity]:[Activity]],T$1)=0,"",SUMIFS(TableTime[[Duration]:[Duration]],TableTime[[Date]:[Date]],$B30,TableTime[[Activity]:[Activity]],T$1))</f>
        <v/>
      </c>
      <c r="U30" s="64" t="str">
        <f>IF(SUMIFS(TableTime[[Duration]:[Duration]],TableTime[[Date]:[Date]],$B30,TableTime[[Activity]:[Activity]],U$1)=0,"",SUMIFS(TableTime[[Duration]:[Duration]],TableTime[[Date]:[Date]],$B30,TableTime[[Activity]:[Activity]],U$1))</f>
        <v/>
      </c>
    </row>
    <row r="31" spans="1:21" x14ac:dyDescent="0.35">
      <c r="A31" s="35" t="str">
        <f t="shared" si="0"/>
        <v>Mon</v>
      </c>
      <c r="B31" s="5">
        <f t="shared" si="2"/>
        <v>44956</v>
      </c>
      <c r="C31" s="1">
        <f t="shared" si="3"/>
        <v>1</v>
      </c>
      <c r="D31" s="2">
        <f t="shared" si="1"/>
        <v>5</v>
      </c>
      <c r="E31" s="102"/>
      <c r="F31" s="1" t="str">
        <f>IFERROR(IF(OR(WEEKDAY(B31,2)=6,WEEKDAY(B31,2)=7),'Month summary'!$D$11,IF(E31="",'Month summary'!$C$11,E31)),"")</f>
        <v>W</v>
      </c>
      <c r="G31" s="4">
        <f>IF(B31&lt;Time!$B$2,"",IF(F31='Month summary'!$C$11,'Month summary'!$F$2/24,IF(F31="H/2",'Month summary'!$F$2/24/2,0)))</f>
        <v>0.33333333333333331</v>
      </c>
      <c r="H31" s="4">
        <f t="shared" si="4"/>
        <v>0</v>
      </c>
      <c r="I31" s="4" t="str">
        <f t="shared" si="5"/>
        <v/>
      </c>
      <c r="J31" s="107"/>
      <c r="K31" s="38" t="str">
        <f>IFERROR(INDEX(TableTime[Time],MATCH(B31,TableTime[Date],0)),"")</f>
        <v/>
      </c>
      <c r="L31" s="4" t="str">
        <f>IF(SUMIFS(TableTime[Duration],TableTime[Date],B31,TableTime[Activity],Projects!$C$9)+SUMIFS(TableTime[Duration],TableTime[Date],B31,TableTime[Activity],Projects!$C$10)+SUMIFS(TableTime[Duration],TableTime[Date],B31,TableTime[Activity],Projects!$C$11)=0,"",SUMIFS(TableTime[Duration],TableTime[Date],B31,TableTime[Activity],Projects!$C$9)+SUMIFS(TableTime[Duration],TableTime[Date],B31,TableTime[Activity],Projects!$C$10)+SUMIFS(TableTime[Duration],TableTime[Date],B31,TableTime[Activity],Projects!$C$11))</f>
        <v/>
      </c>
      <c r="M31" s="4" t="str" cm="1">
        <f t="array" ref="M31">IFERROR(LOOKUP(2,1/(TableTime[Date]=B31),TableTime[Time]),"")</f>
        <v/>
      </c>
      <c r="N31" s="38" t="str">
        <f>IF(SUMIFS(TableTime[[Duration]:[Duration]],TableTime[[Date]:[Date]],$B31,TableTime[[Activity]:[Activity]],N$1)=0,"",SUMIFS(TableTime[[Duration]:[Duration]],TableTime[[Date]:[Date]],$B31,TableTime[[Activity]:[Activity]],N$1))</f>
        <v/>
      </c>
      <c r="O31" s="4" t="str">
        <f>IF(SUMIFS(TableTime[[Duration]:[Duration]],TableTime[[Date]:[Date]],$B31,TableTime[[Activity]:[Activity]],O$1)=0,"",SUMIFS(TableTime[[Duration]:[Duration]],TableTime[[Date]:[Date]],$B31,TableTime[[Activity]:[Activity]],O$1))</f>
        <v/>
      </c>
      <c r="P31" s="4" t="str">
        <f>IF(SUMIFS(TableTime[[Duration]:[Duration]],TableTime[[Date]:[Date]],$B31,TableTime[[Activity]:[Activity]],P$1)=0,"",SUMIFS(TableTime[[Duration]:[Duration]],TableTime[[Date]:[Date]],$B31,TableTime[[Activity]:[Activity]],P$1))</f>
        <v/>
      </c>
      <c r="Q31" s="4" t="str">
        <f>IF(SUMIFS(TableTime[[Duration]:[Duration]],TableTime[[Date]:[Date]],$B31,TableTime[[Activity]:[Activity]],Q$1)=0,"",SUMIFS(TableTime[[Duration]:[Duration]],TableTime[[Date]:[Date]],$B31,TableTime[[Activity]:[Activity]],Q$1))</f>
        <v/>
      </c>
      <c r="R31" s="4" t="str">
        <f>IF(SUMIFS(TableTime[[Duration]:[Duration]],TableTime[[Date]:[Date]],$B31,TableTime[[Activity]:[Activity]],R$1)=0,"",SUMIFS(TableTime[[Duration]:[Duration]],TableTime[[Date]:[Date]],$B31,TableTime[[Activity]:[Activity]],R$1))</f>
        <v/>
      </c>
      <c r="S31" s="130" t="str">
        <f>IF(SUMIFS(TableTime[[Duration]:[Duration]],TableTime[[Date]:[Date]],$B31,TableTime[[Activity]:[Activity]],S$1)=0,"",SUMIFS(TableTime[[Duration]:[Duration]],TableTime[[Date]:[Date]],$B31,TableTime[[Activity]:[Activity]],S$1))</f>
        <v/>
      </c>
      <c r="T31" s="4" t="str">
        <f>IF(SUMIFS(TableTime[[Duration]:[Duration]],TableTime[[Date]:[Date]],$B31,TableTime[[Activity]:[Activity]],T$1)=0,"",SUMIFS(TableTime[[Duration]:[Duration]],TableTime[[Date]:[Date]],$B31,TableTime[[Activity]:[Activity]],T$1))</f>
        <v/>
      </c>
      <c r="U31" s="39" t="str">
        <f>IF(SUMIFS(TableTime[[Duration]:[Duration]],TableTime[[Date]:[Date]],$B31,TableTime[[Activity]:[Activity]],U$1)=0,"",SUMIFS(TableTime[[Duration]:[Duration]],TableTime[[Date]:[Date]],$B31,TableTime[[Activity]:[Activity]],U$1))</f>
        <v/>
      </c>
    </row>
    <row r="32" spans="1:21" x14ac:dyDescent="0.35">
      <c r="A32" s="59" t="str">
        <f t="shared" si="0"/>
        <v>Tue</v>
      </c>
      <c r="B32" s="91">
        <f t="shared" si="2"/>
        <v>44957</v>
      </c>
      <c r="C32" s="60">
        <f t="shared" si="3"/>
        <v>1</v>
      </c>
      <c r="D32" s="61">
        <f t="shared" si="1"/>
        <v>5</v>
      </c>
      <c r="E32" s="103"/>
      <c r="F32" s="60" t="str">
        <f>IFERROR(IF(OR(WEEKDAY(B32,2)=6,WEEKDAY(B32,2)=7),'Month summary'!$D$11,IF(E32="",'Month summary'!$C$11,E32)),"")</f>
        <v>W</v>
      </c>
      <c r="G32" s="62">
        <f>IF(B32&lt;Time!$B$2,"",IF(F32='Month summary'!$C$11,'Month summary'!$F$2/24,IF(F32="H/2",'Month summary'!$F$2/24/2,0)))</f>
        <v>0.33333333333333331</v>
      </c>
      <c r="H32" s="62">
        <f t="shared" si="4"/>
        <v>0</v>
      </c>
      <c r="I32" s="62" t="str">
        <f t="shared" si="5"/>
        <v/>
      </c>
      <c r="J32" s="108"/>
      <c r="K32" s="63" t="str">
        <f>IFERROR(INDEX(TableTime[Time],MATCH(B32,TableTime[Date],0)),"")</f>
        <v/>
      </c>
      <c r="L32" s="62" t="str">
        <f>IF(SUMIFS(TableTime[Duration],TableTime[Date],B32,TableTime[Activity],Projects!$C$9)+SUMIFS(TableTime[Duration],TableTime[Date],B32,TableTime[Activity],Projects!$C$10)+SUMIFS(TableTime[Duration],TableTime[Date],B32,TableTime[Activity],Projects!$C$11)=0,"",SUMIFS(TableTime[Duration],TableTime[Date],B32,TableTime[Activity],Projects!$C$9)+SUMIFS(TableTime[Duration],TableTime[Date],B32,TableTime[Activity],Projects!$C$10)+SUMIFS(TableTime[Duration],TableTime[Date],B32,TableTime[Activity],Projects!$C$11))</f>
        <v/>
      </c>
      <c r="M32" s="62" t="str" cm="1">
        <f t="array" ref="M32">IFERROR(LOOKUP(2,1/(TableTime[Date]=B32),TableTime[Time]),"")</f>
        <v/>
      </c>
      <c r="N32" s="63" t="str">
        <f>IF(SUMIFS(TableTime[[Duration]:[Duration]],TableTime[[Date]:[Date]],$B32,TableTime[[Activity]:[Activity]],N$1)=0,"",SUMIFS(TableTime[[Duration]:[Duration]],TableTime[[Date]:[Date]],$B32,TableTime[[Activity]:[Activity]],N$1))</f>
        <v/>
      </c>
      <c r="O32" s="62" t="str">
        <f>IF(SUMIFS(TableTime[[Duration]:[Duration]],TableTime[[Date]:[Date]],$B32,TableTime[[Activity]:[Activity]],O$1)=0,"",SUMIFS(TableTime[[Duration]:[Duration]],TableTime[[Date]:[Date]],$B32,TableTime[[Activity]:[Activity]],O$1))</f>
        <v/>
      </c>
      <c r="P32" s="62" t="str">
        <f>IF(SUMIFS(TableTime[[Duration]:[Duration]],TableTime[[Date]:[Date]],$B32,TableTime[[Activity]:[Activity]],P$1)=0,"",SUMIFS(TableTime[[Duration]:[Duration]],TableTime[[Date]:[Date]],$B32,TableTime[[Activity]:[Activity]],P$1))</f>
        <v/>
      </c>
      <c r="Q32" s="62" t="str">
        <f>IF(SUMIFS(TableTime[[Duration]:[Duration]],TableTime[[Date]:[Date]],$B32,TableTime[[Activity]:[Activity]],Q$1)=0,"",SUMIFS(TableTime[[Duration]:[Duration]],TableTime[[Date]:[Date]],$B32,TableTime[[Activity]:[Activity]],Q$1))</f>
        <v/>
      </c>
      <c r="R32" s="62" t="str">
        <f>IF(SUMIFS(TableTime[[Duration]:[Duration]],TableTime[[Date]:[Date]],$B32,TableTime[[Activity]:[Activity]],R$1)=0,"",SUMIFS(TableTime[[Duration]:[Duration]],TableTime[[Date]:[Date]],$B32,TableTime[[Activity]:[Activity]],R$1))</f>
        <v/>
      </c>
      <c r="S32" s="131" t="str">
        <f>IF(SUMIFS(TableTime[[Duration]:[Duration]],TableTime[[Date]:[Date]],$B32,TableTime[[Activity]:[Activity]],S$1)=0,"",SUMIFS(TableTime[[Duration]:[Duration]],TableTime[[Date]:[Date]],$B32,TableTime[[Activity]:[Activity]],S$1))</f>
        <v/>
      </c>
      <c r="T32" s="62" t="str">
        <f>IF(SUMIFS(TableTime[[Duration]:[Duration]],TableTime[[Date]:[Date]],$B32,TableTime[[Activity]:[Activity]],T$1)=0,"",SUMIFS(TableTime[[Duration]:[Duration]],TableTime[[Date]:[Date]],$B32,TableTime[[Activity]:[Activity]],T$1))</f>
        <v/>
      </c>
      <c r="U32" s="64" t="str">
        <f>IF(SUMIFS(TableTime[[Duration]:[Duration]],TableTime[[Date]:[Date]],$B32,TableTime[[Activity]:[Activity]],U$1)=0,"",SUMIFS(TableTime[[Duration]:[Duration]],TableTime[[Date]:[Date]],$B32,TableTime[[Activity]:[Activity]],U$1))</f>
        <v/>
      </c>
    </row>
    <row r="33" spans="1:21" x14ac:dyDescent="0.35">
      <c r="A33" s="35" t="str">
        <f t="shared" si="0"/>
        <v>Wed</v>
      </c>
      <c r="B33" s="5">
        <f t="shared" si="2"/>
        <v>44958</v>
      </c>
      <c r="C33" s="1">
        <f t="shared" si="3"/>
        <v>2</v>
      </c>
      <c r="D33" s="2">
        <f t="shared" si="1"/>
        <v>5</v>
      </c>
      <c r="E33" s="102"/>
      <c r="F33" s="1" t="str">
        <f>IFERROR(IF(OR(WEEKDAY(B33,2)=6,WEEKDAY(B33,2)=7),'Month summary'!$D$11,IF(E33="",'Month summary'!$C$11,E33)),"")</f>
        <v>W</v>
      </c>
      <c r="G33" s="4">
        <f>IF(B33&lt;Time!$B$2,"",IF(F33='Month summary'!$C$11,'Month summary'!$F$2/24,IF(F33="H/2",'Month summary'!$F$2/24/2,0)))</f>
        <v>0.33333333333333331</v>
      </c>
      <c r="H33" s="4">
        <f t="shared" si="4"/>
        <v>0</v>
      </c>
      <c r="I33" s="4" t="str">
        <f t="shared" si="5"/>
        <v/>
      </c>
      <c r="J33" s="107"/>
      <c r="K33" s="38" t="str">
        <f>IFERROR(INDEX(TableTime[Time],MATCH(B33,TableTime[Date],0)),"")</f>
        <v/>
      </c>
      <c r="L33" s="4" t="str">
        <f>IF(SUMIFS(TableTime[Duration],TableTime[Date],B33,TableTime[Activity],Projects!$C$9)+SUMIFS(TableTime[Duration],TableTime[Date],B33,TableTime[Activity],Projects!$C$10)+SUMIFS(TableTime[Duration],TableTime[Date],B33,TableTime[Activity],Projects!$C$11)=0,"",SUMIFS(TableTime[Duration],TableTime[Date],B33,TableTime[Activity],Projects!$C$9)+SUMIFS(TableTime[Duration],TableTime[Date],B33,TableTime[Activity],Projects!$C$10)+SUMIFS(TableTime[Duration],TableTime[Date],B33,TableTime[Activity],Projects!$C$11))</f>
        <v/>
      </c>
      <c r="M33" s="4" t="str" cm="1">
        <f t="array" ref="M33">IFERROR(LOOKUP(2,1/(TableTime[Date]=B33),TableTime[Time]),"")</f>
        <v/>
      </c>
      <c r="N33" s="38" t="str">
        <f>IF(SUMIFS(TableTime[[Duration]:[Duration]],TableTime[[Date]:[Date]],$B33,TableTime[[Activity]:[Activity]],N$1)=0,"",SUMIFS(TableTime[[Duration]:[Duration]],TableTime[[Date]:[Date]],$B33,TableTime[[Activity]:[Activity]],N$1))</f>
        <v/>
      </c>
      <c r="O33" s="4" t="str">
        <f>IF(SUMIFS(TableTime[[Duration]:[Duration]],TableTime[[Date]:[Date]],$B33,TableTime[[Activity]:[Activity]],O$1)=0,"",SUMIFS(TableTime[[Duration]:[Duration]],TableTime[[Date]:[Date]],$B33,TableTime[[Activity]:[Activity]],O$1))</f>
        <v/>
      </c>
      <c r="P33" s="4" t="str">
        <f>IF(SUMIFS(TableTime[[Duration]:[Duration]],TableTime[[Date]:[Date]],$B33,TableTime[[Activity]:[Activity]],P$1)=0,"",SUMIFS(TableTime[[Duration]:[Duration]],TableTime[[Date]:[Date]],$B33,TableTime[[Activity]:[Activity]],P$1))</f>
        <v/>
      </c>
      <c r="Q33" s="4" t="str">
        <f>IF(SUMIFS(TableTime[[Duration]:[Duration]],TableTime[[Date]:[Date]],$B33,TableTime[[Activity]:[Activity]],Q$1)=0,"",SUMIFS(TableTime[[Duration]:[Duration]],TableTime[[Date]:[Date]],$B33,TableTime[[Activity]:[Activity]],Q$1))</f>
        <v/>
      </c>
      <c r="R33" s="4" t="str">
        <f>IF(SUMIFS(TableTime[[Duration]:[Duration]],TableTime[[Date]:[Date]],$B33,TableTime[[Activity]:[Activity]],R$1)=0,"",SUMIFS(TableTime[[Duration]:[Duration]],TableTime[[Date]:[Date]],$B33,TableTime[[Activity]:[Activity]],R$1))</f>
        <v/>
      </c>
      <c r="S33" s="130" t="str">
        <f>IF(SUMIFS(TableTime[[Duration]:[Duration]],TableTime[[Date]:[Date]],$B33,TableTime[[Activity]:[Activity]],S$1)=0,"",SUMIFS(TableTime[[Duration]:[Duration]],TableTime[[Date]:[Date]],$B33,TableTime[[Activity]:[Activity]],S$1))</f>
        <v/>
      </c>
      <c r="T33" s="4" t="str">
        <f>IF(SUMIFS(TableTime[[Duration]:[Duration]],TableTime[[Date]:[Date]],$B33,TableTime[[Activity]:[Activity]],T$1)=0,"",SUMIFS(TableTime[[Duration]:[Duration]],TableTime[[Date]:[Date]],$B33,TableTime[[Activity]:[Activity]],T$1))</f>
        <v/>
      </c>
      <c r="U33" s="39" t="str">
        <f>IF(SUMIFS(TableTime[[Duration]:[Duration]],TableTime[[Date]:[Date]],$B33,TableTime[[Activity]:[Activity]],U$1)=0,"",SUMIFS(TableTime[[Duration]:[Duration]],TableTime[[Date]:[Date]],$B33,TableTime[[Activity]:[Activity]],U$1))</f>
        <v/>
      </c>
    </row>
    <row r="34" spans="1:21" x14ac:dyDescent="0.35">
      <c r="A34" s="59" t="str">
        <f t="shared" si="0"/>
        <v>Thr</v>
      </c>
      <c r="B34" s="91">
        <f t="shared" si="2"/>
        <v>44959</v>
      </c>
      <c r="C34" s="60">
        <f t="shared" si="3"/>
        <v>2</v>
      </c>
      <c r="D34" s="61">
        <f t="shared" si="1"/>
        <v>5</v>
      </c>
      <c r="E34" s="103"/>
      <c r="F34" s="60" t="str">
        <f>IFERROR(IF(OR(WEEKDAY(B34,2)=6,WEEKDAY(B34,2)=7),'Month summary'!$D$11,IF(E34="",'Month summary'!$C$11,E34)),"")</f>
        <v>W</v>
      </c>
      <c r="G34" s="62">
        <f>IF(B34&lt;Time!$B$2,"",IF(F34='Month summary'!$C$11,'Month summary'!$F$2/24,IF(F34="H/2",'Month summary'!$F$2/24/2,0)))</f>
        <v>0.33333333333333331</v>
      </c>
      <c r="H34" s="62">
        <f t="shared" si="4"/>
        <v>0</v>
      </c>
      <c r="I34" s="62" t="str">
        <f t="shared" si="5"/>
        <v/>
      </c>
      <c r="J34" s="108"/>
      <c r="K34" s="63" t="str">
        <f>IFERROR(INDEX(TableTime[Time],MATCH(B34,TableTime[Date],0)),"")</f>
        <v/>
      </c>
      <c r="L34" s="62" t="str">
        <f>IF(SUMIFS(TableTime[Duration],TableTime[Date],B34,TableTime[Activity],Projects!$C$9)+SUMIFS(TableTime[Duration],TableTime[Date],B34,TableTime[Activity],Projects!$C$10)+SUMIFS(TableTime[Duration],TableTime[Date],B34,TableTime[Activity],Projects!$C$11)=0,"",SUMIFS(TableTime[Duration],TableTime[Date],B34,TableTime[Activity],Projects!$C$9)+SUMIFS(TableTime[Duration],TableTime[Date],B34,TableTime[Activity],Projects!$C$10)+SUMIFS(TableTime[Duration],TableTime[Date],B34,TableTime[Activity],Projects!$C$11))</f>
        <v/>
      </c>
      <c r="M34" s="62" t="str" cm="1">
        <f t="array" ref="M34">IFERROR(LOOKUP(2,1/(TableTime[Date]=B34),TableTime[Time]),"")</f>
        <v/>
      </c>
      <c r="N34" s="63" t="str">
        <f>IF(SUMIFS(TableTime[[Duration]:[Duration]],TableTime[[Date]:[Date]],$B34,TableTime[[Activity]:[Activity]],N$1)=0,"",SUMIFS(TableTime[[Duration]:[Duration]],TableTime[[Date]:[Date]],$B34,TableTime[[Activity]:[Activity]],N$1))</f>
        <v/>
      </c>
      <c r="O34" s="62" t="str">
        <f>IF(SUMIFS(TableTime[[Duration]:[Duration]],TableTime[[Date]:[Date]],$B34,TableTime[[Activity]:[Activity]],O$1)=0,"",SUMIFS(TableTime[[Duration]:[Duration]],TableTime[[Date]:[Date]],$B34,TableTime[[Activity]:[Activity]],O$1))</f>
        <v/>
      </c>
      <c r="P34" s="62" t="str">
        <f>IF(SUMIFS(TableTime[[Duration]:[Duration]],TableTime[[Date]:[Date]],$B34,TableTime[[Activity]:[Activity]],P$1)=0,"",SUMIFS(TableTime[[Duration]:[Duration]],TableTime[[Date]:[Date]],$B34,TableTime[[Activity]:[Activity]],P$1))</f>
        <v/>
      </c>
      <c r="Q34" s="62" t="str">
        <f>IF(SUMIFS(TableTime[[Duration]:[Duration]],TableTime[[Date]:[Date]],$B34,TableTime[[Activity]:[Activity]],Q$1)=0,"",SUMIFS(TableTime[[Duration]:[Duration]],TableTime[[Date]:[Date]],$B34,TableTime[[Activity]:[Activity]],Q$1))</f>
        <v/>
      </c>
      <c r="R34" s="62" t="str">
        <f>IF(SUMIFS(TableTime[[Duration]:[Duration]],TableTime[[Date]:[Date]],$B34,TableTime[[Activity]:[Activity]],R$1)=0,"",SUMIFS(TableTime[[Duration]:[Duration]],TableTime[[Date]:[Date]],$B34,TableTime[[Activity]:[Activity]],R$1))</f>
        <v/>
      </c>
      <c r="S34" s="131" t="str">
        <f>IF(SUMIFS(TableTime[[Duration]:[Duration]],TableTime[[Date]:[Date]],$B34,TableTime[[Activity]:[Activity]],S$1)=0,"",SUMIFS(TableTime[[Duration]:[Duration]],TableTime[[Date]:[Date]],$B34,TableTime[[Activity]:[Activity]],S$1))</f>
        <v/>
      </c>
      <c r="T34" s="62" t="str">
        <f>IF(SUMIFS(TableTime[[Duration]:[Duration]],TableTime[[Date]:[Date]],$B34,TableTime[[Activity]:[Activity]],T$1)=0,"",SUMIFS(TableTime[[Duration]:[Duration]],TableTime[[Date]:[Date]],$B34,TableTime[[Activity]:[Activity]],T$1))</f>
        <v/>
      </c>
      <c r="U34" s="64" t="str">
        <f>IF(SUMIFS(TableTime[[Duration]:[Duration]],TableTime[[Date]:[Date]],$B34,TableTime[[Activity]:[Activity]],U$1)=0,"",SUMIFS(TableTime[[Duration]:[Duration]],TableTime[[Date]:[Date]],$B34,TableTime[[Activity]:[Activity]],U$1))</f>
        <v/>
      </c>
    </row>
    <row r="35" spans="1:21" x14ac:dyDescent="0.35">
      <c r="A35" s="35" t="str">
        <f t="shared" si="0"/>
        <v>Fri</v>
      </c>
      <c r="B35" s="5">
        <f t="shared" si="2"/>
        <v>44960</v>
      </c>
      <c r="C35" s="1">
        <f t="shared" si="3"/>
        <v>2</v>
      </c>
      <c r="D35" s="2">
        <f t="shared" si="1"/>
        <v>5</v>
      </c>
      <c r="E35" s="102"/>
      <c r="F35" s="1" t="str">
        <f>IFERROR(IF(OR(WEEKDAY(B35,2)=6,WEEKDAY(B35,2)=7),'Month summary'!$D$11,IF(E35="",'Month summary'!$C$11,E35)),"")</f>
        <v>W</v>
      </c>
      <c r="G35" s="4">
        <f>IF(B35&lt;Time!$B$2,"",IF(F35='Month summary'!$C$11,'Month summary'!$F$2/24,IF(F35="H/2",'Month summary'!$F$2/24/2,0)))</f>
        <v>0.33333333333333331</v>
      </c>
      <c r="H35" s="4">
        <f t="shared" si="4"/>
        <v>0</v>
      </c>
      <c r="I35" s="4" t="str">
        <f t="shared" si="5"/>
        <v/>
      </c>
      <c r="J35" s="107"/>
      <c r="K35" s="38" t="str">
        <f>IFERROR(INDEX(TableTime[Time],MATCH(B35,TableTime[Date],0)),"")</f>
        <v/>
      </c>
      <c r="L35" s="4" t="str">
        <f>IF(SUMIFS(TableTime[Duration],TableTime[Date],B35,TableTime[Activity],Projects!$C$9)+SUMIFS(TableTime[Duration],TableTime[Date],B35,TableTime[Activity],Projects!$C$10)+SUMIFS(TableTime[Duration],TableTime[Date],B35,TableTime[Activity],Projects!$C$11)=0,"",SUMIFS(TableTime[Duration],TableTime[Date],B35,TableTime[Activity],Projects!$C$9)+SUMIFS(TableTime[Duration],TableTime[Date],B35,TableTime[Activity],Projects!$C$10)+SUMIFS(TableTime[Duration],TableTime[Date],B35,TableTime[Activity],Projects!$C$11))</f>
        <v/>
      </c>
      <c r="M35" s="4" t="str" cm="1">
        <f t="array" ref="M35">IFERROR(LOOKUP(2,1/(TableTime[Date]=B35),TableTime[Time]),"")</f>
        <v/>
      </c>
      <c r="N35" s="38" t="str">
        <f>IF(SUMIFS(TableTime[[Duration]:[Duration]],TableTime[[Date]:[Date]],$B35,TableTime[[Activity]:[Activity]],N$1)=0,"",SUMIFS(TableTime[[Duration]:[Duration]],TableTime[[Date]:[Date]],$B35,TableTime[[Activity]:[Activity]],N$1))</f>
        <v/>
      </c>
      <c r="O35" s="4" t="str">
        <f>IF(SUMIFS(TableTime[[Duration]:[Duration]],TableTime[[Date]:[Date]],$B35,TableTime[[Activity]:[Activity]],O$1)=0,"",SUMIFS(TableTime[[Duration]:[Duration]],TableTime[[Date]:[Date]],$B35,TableTime[[Activity]:[Activity]],O$1))</f>
        <v/>
      </c>
      <c r="P35" s="4" t="str">
        <f>IF(SUMIFS(TableTime[[Duration]:[Duration]],TableTime[[Date]:[Date]],$B35,TableTime[[Activity]:[Activity]],P$1)=0,"",SUMIFS(TableTime[[Duration]:[Duration]],TableTime[[Date]:[Date]],$B35,TableTime[[Activity]:[Activity]],P$1))</f>
        <v/>
      </c>
      <c r="Q35" s="4" t="str">
        <f>IF(SUMIFS(TableTime[[Duration]:[Duration]],TableTime[[Date]:[Date]],$B35,TableTime[[Activity]:[Activity]],Q$1)=0,"",SUMIFS(TableTime[[Duration]:[Duration]],TableTime[[Date]:[Date]],$B35,TableTime[[Activity]:[Activity]],Q$1))</f>
        <v/>
      </c>
      <c r="R35" s="4" t="str">
        <f>IF(SUMIFS(TableTime[[Duration]:[Duration]],TableTime[[Date]:[Date]],$B35,TableTime[[Activity]:[Activity]],R$1)=0,"",SUMIFS(TableTime[[Duration]:[Duration]],TableTime[[Date]:[Date]],$B35,TableTime[[Activity]:[Activity]],R$1))</f>
        <v/>
      </c>
      <c r="S35" s="130" t="str">
        <f>IF(SUMIFS(TableTime[[Duration]:[Duration]],TableTime[[Date]:[Date]],$B35,TableTime[[Activity]:[Activity]],S$1)=0,"",SUMIFS(TableTime[[Duration]:[Duration]],TableTime[[Date]:[Date]],$B35,TableTime[[Activity]:[Activity]],S$1))</f>
        <v/>
      </c>
      <c r="T35" s="4" t="str">
        <f>IF(SUMIFS(TableTime[[Duration]:[Duration]],TableTime[[Date]:[Date]],$B35,TableTime[[Activity]:[Activity]],T$1)=0,"",SUMIFS(TableTime[[Duration]:[Duration]],TableTime[[Date]:[Date]],$B35,TableTime[[Activity]:[Activity]],T$1))</f>
        <v/>
      </c>
      <c r="U35" s="39" t="str">
        <f>IF(SUMIFS(TableTime[[Duration]:[Duration]],TableTime[[Date]:[Date]],$B35,TableTime[[Activity]:[Activity]],U$1)=0,"",SUMIFS(TableTime[[Duration]:[Duration]],TableTime[[Date]:[Date]],$B35,TableTime[[Activity]:[Activity]],U$1))</f>
        <v/>
      </c>
    </row>
    <row r="36" spans="1:21" x14ac:dyDescent="0.35">
      <c r="A36" s="59" t="str">
        <f t="shared" si="0"/>
        <v>Sat</v>
      </c>
      <c r="B36" s="91">
        <f t="shared" si="2"/>
        <v>44961</v>
      </c>
      <c r="C36" s="60">
        <f t="shared" si="3"/>
        <v>2</v>
      </c>
      <c r="D36" s="61">
        <f t="shared" si="1"/>
        <v>5</v>
      </c>
      <c r="E36" s="103"/>
      <c r="F36" s="60" t="str">
        <f>IFERROR(IF(OR(WEEKDAY(B36,2)=6,WEEKDAY(B36,2)=7),'Month summary'!$D$11,IF(E36="",'Month summary'!$C$11,E36)),"")</f>
        <v>WE</v>
      </c>
      <c r="G36" s="62">
        <f>IF(B36&lt;Time!$B$2,"",IF(F36='Month summary'!$C$11,'Month summary'!$F$2/24,IF(F36="H/2",'Month summary'!$F$2/24/2,0)))</f>
        <v>0</v>
      </c>
      <c r="H36" s="62">
        <f t="shared" si="4"/>
        <v>0</v>
      </c>
      <c r="I36" s="62" t="str">
        <f t="shared" si="5"/>
        <v/>
      </c>
      <c r="J36" s="108"/>
      <c r="K36" s="63" t="str">
        <f>IFERROR(INDEX(TableTime[Time],MATCH(B36,TableTime[Date],0)),"")</f>
        <v/>
      </c>
      <c r="L36" s="62" t="str">
        <f>IF(SUMIFS(TableTime[Duration],TableTime[Date],B36,TableTime[Activity],Projects!$C$9)+SUMIFS(TableTime[Duration],TableTime[Date],B36,TableTime[Activity],Projects!$C$10)+SUMIFS(TableTime[Duration],TableTime[Date],B36,TableTime[Activity],Projects!$C$11)=0,"",SUMIFS(TableTime[Duration],TableTime[Date],B36,TableTime[Activity],Projects!$C$9)+SUMIFS(TableTime[Duration],TableTime[Date],B36,TableTime[Activity],Projects!$C$10)+SUMIFS(TableTime[Duration],TableTime[Date],B36,TableTime[Activity],Projects!$C$11))</f>
        <v/>
      </c>
      <c r="M36" s="62" t="str" cm="1">
        <f t="array" ref="M36">IFERROR(LOOKUP(2,1/(TableTime[Date]=B36),TableTime[Time]),"")</f>
        <v/>
      </c>
      <c r="N36" s="63" t="str">
        <f>IF(SUMIFS(TableTime[[Duration]:[Duration]],TableTime[[Date]:[Date]],$B36,TableTime[[Activity]:[Activity]],N$1)=0,"",SUMIFS(TableTime[[Duration]:[Duration]],TableTime[[Date]:[Date]],$B36,TableTime[[Activity]:[Activity]],N$1))</f>
        <v/>
      </c>
      <c r="O36" s="62" t="str">
        <f>IF(SUMIFS(TableTime[[Duration]:[Duration]],TableTime[[Date]:[Date]],$B36,TableTime[[Activity]:[Activity]],O$1)=0,"",SUMIFS(TableTime[[Duration]:[Duration]],TableTime[[Date]:[Date]],$B36,TableTime[[Activity]:[Activity]],O$1))</f>
        <v/>
      </c>
      <c r="P36" s="62" t="str">
        <f>IF(SUMIFS(TableTime[[Duration]:[Duration]],TableTime[[Date]:[Date]],$B36,TableTime[[Activity]:[Activity]],P$1)=0,"",SUMIFS(TableTime[[Duration]:[Duration]],TableTime[[Date]:[Date]],$B36,TableTime[[Activity]:[Activity]],P$1))</f>
        <v/>
      </c>
      <c r="Q36" s="62" t="str">
        <f>IF(SUMIFS(TableTime[[Duration]:[Duration]],TableTime[[Date]:[Date]],$B36,TableTime[[Activity]:[Activity]],Q$1)=0,"",SUMIFS(TableTime[[Duration]:[Duration]],TableTime[[Date]:[Date]],$B36,TableTime[[Activity]:[Activity]],Q$1))</f>
        <v/>
      </c>
      <c r="R36" s="62" t="str">
        <f>IF(SUMIFS(TableTime[[Duration]:[Duration]],TableTime[[Date]:[Date]],$B36,TableTime[[Activity]:[Activity]],R$1)=0,"",SUMIFS(TableTime[[Duration]:[Duration]],TableTime[[Date]:[Date]],$B36,TableTime[[Activity]:[Activity]],R$1))</f>
        <v/>
      </c>
      <c r="S36" s="131" t="str">
        <f>IF(SUMIFS(TableTime[[Duration]:[Duration]],TableTime[[Date]:[Date]],$B36,TableTime[[Activity]:[Activity]],S$1)=0,"",SUMIFS(TableTime[[Duration]:[Duration]],TableTime[[Date]:[Date]],$B36,TableTime[[Activity]:[Activity]],S$1))</f>
        <v/>
      </c>
      <c r="T36" s="62" t="str">
        <f>IF(SUMIFS(TableTime[[Duration]:[Duration]],TableTime[[Date]:[Date]],$B36,TableTime[[Activity]:[Activity]],T$1)=0,"",SUMIFS(TableTime[[Duration]:[Duration]],TableTime[[Date]:[Date]],$B36,TableTime[[Activity]:[Activity]],T$1))</f>
        <v/>
      </c>
      <c r="U36" s="64" t="str">
        <f>IF(SUMIFS(TableTime[[Duration]:[Duration]],TableTime[[Date]:[Date]],$B36,TableTime[[Activity]:[Activity]],U$1)=0,"",SUMIFS(TableTime[[Duration]:[Duration]],TableTime[[Date]:[Date]],$B36,TableTime[[Activity]:[Activity]],U$1))</f>
        <v/>
      </c>
    </row>
    <row r="37" spans="1:21" x14ac:dyDescent="0.35">
      <c r="A37" s="35" t="str">
        <f t="shared" si="0"/>
        <v>Sun</v>
      </c>
      <c r="B37" s="5">
        <f t="shared" si="2"/>
        <v>44962</v>
      </c>
      <c r="C37" s="1">
        <f t="shared" si="3"/>
        <v>2</v>
      </c>
      <c r="D37" s="2">
        <f t="shared" si="1"/>
        <v>5</v>
      </c>
      <c r="E37" s="102"/>
      <c r="F37" s="1" t="str">
        <f>IFERROR(IF(OR(WEEKDAY(B37,2)=6,WEEKDAY(B37,2)=7),'Month summary'!$D$11,IF(E37="",'Month summary'!$C$11,E37)),"")</f>
        <v>WE</v>
      </c>
      <c r="G37" s="4">
        <f>IF(B37&lt;Time!$B$2,"",IF(F37='Month summary'!$C$11,'Month summary'!$F$2/24,IF(F37="H/2",'Month summary'!$F$2/24/2,0)))</f>
        <v>0</v>
      </c>
      <c r="H37" s="4">
        <f t="shared" si="4"/>
        <v>0</v>
      </c>
      <c r="I37" s="4" t="str">
        <f t="shared" si="5"/>
        <v/>
      </c>
      <c r="J37" s="107"/>
      <c r="K37" s="38" t="str">
        <f>IFERROR(INDEX(TableTime[Time],MATCH(B37,TableTime[Date],0)),"")</f>
        <v/>
      </c>
      <c r="L37" s="4" t="str">
        <f>IF(SUMIFS(TableTime[Duration],TableTime[Date],B37,TableTime[Activity],Projects!$C$9)+SUMIFS(TableTime[Duration],TableTime[Date],B37,TableTime[Activity],Projects!$C$10)+SUMIFS(TableTime[Duration],TableTime[Date],B37,TableTime[Activity],Projects!$C$11)=0,"",SUMIFS(TableTime[Duration],TableTime[Date],B37,TableTime[Activity],Projects!$C$9)+SUMIFS(TableTime[Duration],TableTime[Date],B37,TableTime[Activity],Projects!$C$10)+SUMIFS(TableTime[Duration],TableTime[Date],B37,TableTime[Activity],Projects!$C$11))</f>
        <v/>
      </c>
      <c r="M37" s="4" t="str" cm="1">
        <f t="array" ref="M37">IFERROR(LOOKUP(2,1/(TableTime[Date]=B37),TableTime[Time]),"")</f>
        <v/>
      </c>
      <c r="N37" s="38" t="str">
        <f>IF(SUMIFS(TableTime[[Duration]:[Duration]],TableTime[[Date]:[Date]],$B37,TableTime[[Activity]:[Activity]],N$1)=0,"",SUMIFS(TableTime[[Duration]:[Duration]],TableTime[[Date]:[Date]],$B37,TableTime[[Activity]:[Activity]],N$1))</f>
        <v/>
      </c>
      <c r="O37" s="4" t="str">
        <f>IF(SUMIFS(TableTime[[Duration]:[Duration]],TableTime[[Date]:[Date]],$B37,TableTime[[Activity]:[Activity]],O$1)=0,"",SUMIFS(TableTime[[Duration]:[Duration]],TableTime[[Date]:[Date]],$B37,TableTime[[Activity]:[Activity]],O$1))</f>
        <v/>
      </c>
      <c r="P37" s="4" t="str">
        <f>IF(SUMIFS(TableTime[[Duration]:[Duration]],TableTime[[Date]:[Date]],$B37,TableTime[[Activity]:[Activity]],P$1)=0,"",SUMIFS(TableTime[[Duration]:[Duration]],TableTime[[Date]:[Date]],$B37,TableTime[[Activity]:[Activity]],P$1))</f>
        <v/>
      </c>
      <c r="Q37" s="4" t="str">
        <f>IF(SUMIFS(TableTime[[Duration]:[Duration]],TableTime[[Date]:[Date]],$B37,TableTime[[Activity]:[Activity]],Q$1)=0,"",SUMIFS(TableTime[[Duration]:[Duration]],TableTime[[Date]:[Date]],$B37,TableTime[[Activity]:[Activity]],Q$1))</f>
        <v/>
      </c>
      <c r="R37" s="4" t="str">
        <f>IF(SUMIFS(TableTime[[Duration]:[Duration]],TableTime[[Date]:[Date]],$B37,TableTime[[Activity]:[Activity]],R$1)=0,"",SUMIFS(TableTime[[Duration]:[Duration]],TableTime[[Date]:[Date]],$B37,TableTime[[Activity]:[Activity]],R$1))</f>
        <v/>
      </c>
      <c r="S37" s="130" t="str">
        <f>IF(SUMIFS(TableTime[[Duration]:[Duration]],TableTime[[Date]:[Date]],$B37,TableTime[[Activity]:[Activity]],S$1)=0,"",SUMIFS(TableTime[[Duration]:[Duration]],TableTime[[Date]:[Date]],$B37,TableTime[[Activity]:[Activity]],S$1))</f>
        <v/>
      </c>
      <c r="T37" s="4" t="str">
        <f>IF(SUMIFS(TableTime[[Duration]:[Duration]],TableTime[[Date]:[Date]],$B37,TableTime[[Activity]:[Activity]],T$1)=0,"",SUMIFS(TableTime[[Duration]:[Duration]],TableTime[[Date]:[Date]],$B37,TableTime[[Activity]:[Activity]],T$1))</f>
        <v/>
      </c>
      <c r="U37" s="39" t="str">
        <f>IF(SUMIFS(TableTime[[Duration]:[Duration]],TableTime[[Date]:[Date]],$B37,TableTime[[Activity]:[Activity]],U$1)=0,"",SUMIFS(TableTime[[Duration]:[Duration]],TableTime[[Date]:[Date]],$B37,TableTime[[Activity]:[Activity]],U$1))</f>
        <v/>
      </c>
    </row>
    <row r="38" spans="1:21" x14ac:dyDescent="0.35">
      <c r="A38" s="59" t="str">
        <f t="shared" si="0"/>
        <v>Mon</v>
      </c>
      <c r="B38" s="91">
        <f t="shared" si="2"/>
        <v>44963</v>
      </c>
      <c r="C38" s="60">
        <f t="shared" si="3"/>
        <v>2</v>
      </c>
      <c r="D38" s="61">
        <f t="shared" si="1"/>
        <v>6</v>
      </c>
      <c r="E38" s="103"/>
      <c r="F38" s="60" t="str">
        <f>IFERROR(IF(OR(WEEKDAY(B38,2)=6,WEEKDAY(B38,2)=7),'Month summary'!$D$11,IF(E38="",'Month summary'!$C$11,E38)),"")</f>
        <v>W</v>
      </c>
      <c r="G38" s="62">
        <f>IF(B38&lt;Time!$B$2,"",IF(F38='Month summary'!$C$11,'Month summary'!$F$2/24,IF(F38="H/2",'Month summary'!$F$2/24/2,0)))</f>
        <v>0.33333333333333331</v>
      </c>
      <c r="H38" s="62">
        <f t="shared" si="4"/>
        <v>0</v>
      </c>
      <c r="I38" s="62" t="str">
        <f t="shared" si="5"/>
        <v/>
      </c>
      <c r="J38" s="108"/>
      <c r="K38" s="63" t="str">
        <f>IFERROR(INDEX(TableTime[Time],MATCH(B38,TableTime[Date],0)),"")</f>
        <v/>
      </c>
      <c r="L38" s="62" t="str">
        <f>IF(SUMIFS(TableTime[Duration],TableTime[Date],B38,TableTime[Activity],Projects!$C$9)+SUMIFS(TableTime[Duration],TableTime[Date],B38,TableTime[Activity],Projects!$C$10)+SUMIFS(TableTime[Duration],TableTime[Date],B38,TableTime[Activity],Projects!$C$11)=0,"",SUMIFS(TableTime[Duration],TableTime[Date],B38,TableTime[Activity],Projects!$C$9)+SUMIFS(TableTime[Duration],TableTime[Date],B38,TableTime[Activity],Projects!$C$10)+SUMIFS(TableTime[Duration],TableTime[Date],B38,TableTime[Activity],Projects!$C$11))</f>
        <v/>
      </c>
      <c r="M38" s="62" t="str" cm="1">
        <f t="array" ref="M38">IFERROR(LOOKUP(2,1/(TableTime[Date]=B38),TableTime[Time]),"")</f>
        <v/>
      </c>
      <c r="N38" s="63" t="str">
        <f>IF(SUMIFS(TableTime[[Duration]:[Duration]],TableTime[[Date]:[Date]],$B38,TableTime[[Activity]:[Activity]],N$1)=0,"",SUMIFS(TableTime[[Duration]:[Duration]],TableTime[[Date]:[Date]],$B38,TableTime[[Activity]:[Activity]],N$1))</f>
        <v/>
      </c>
      <c r="O38" s="62" t="str">
        <f>IF(SUMIFS(TableTime[[Duration]:[Duration]],TableTime[[Date]:[Date]],$B38,TableTime[[Activity]:[Activity]],O$1)=0,"",SUMIFS(TableTime[[Duration]:[Duration]],TableTime[[Date]:[Date]],$B38,TableTime[[Activity]:[Activity]],O$1))</f>
        <v/>
      </c>
      <c r="P38" s="62" t="str">
        <f>IF(SUMIFS(TableTime[[Duration]:[Duration]],TableTime[[Date]:[Date]],$B38,TableTime[[Activity]:[Activity]],P$1)=0,"",SUMIFS(TableTime[[Duration]:[Duration]],TableTime[[Date]:[Date]],$B38,TableTime[[Activity]:[Activity]],P$1))</f>
        <v/>
      </c>
      <c r="Q38" s="62" t="str">
        <f>IF(SUMIFS(TableTime[[Duration]:[Duration]],TableTime[[Date]:[Date]],$B38,TableTime[[Activity]:[Activity]],Q$1)=0,"",SUMIFS(TableTime[[Duration]:[Duration]],TableTime[[Date]:[Date]],$B38,TableTime[[Activity]:[Activity]],Q$1))</f>
        <v/>
      </c>
      <c r="R38" s="62" t="str">
        <f>IF(SUMIFS(TableTime[[Duration]:[Duration]],TableTime[[Date]:[Date]],$B38,TableTime[[Activity]:[Activity]],R$1)=0,"",SUMIFS(TableTime[[Duration]:[Duration]],TableTime[[Date]:[Date]],$B38,TableTime[[Activity]:[Activity]],R$1))</f>
        <v/>
      </c>
      <c r="S38" s="131" t="str">
        <f>IF(SUMIFS(TableTime[[Duration]:[Duration]],TableTime[[Date]:[Date]],$B38,TableTime[[Activity]:[Activity]],S$1)=0,"",SUMIFS(TableTime[[Duration]:[Duration]],TableTime[[Date]:[Date]],$B38,TableTime[[Activity]:[Activity]],S$1))</f>
        <v/>
      </c>
      <c r="T38" s="62" t="str">
        <f>IF(SUMIFS(TableTime[[Duration]:[Duration]],TableTime[[Date]:[Date]],$B38,TableTime[[Activity]:[Activity]],T$1)=0,"",SUMIFS(TableTime[[Duration]:[Duration]],TableTime[[Date]:[Date]],$B38,TableTime[[Activity]:[Activity]],T$1))</f>
        <v/>
      </c>
      <c r="U38" s="64" t="str">
        <f>IF(SUMIFS(TableTime[[Duration]:[Duration]],TableTime[[Date]:[Date]],$B38,TableTime[[Activity]:[Activity]],U$1)=0,"",SUMIFS(TableTime[[Duration]:[Duration]],TableTime[[Date]:[Date]],$B38,TableTime[[Activity]:[Activity]],U$1))</f>
        <v/>
      </c>
    </row>
    <row r="39" spans="1:21" x14ac:dyDescent="0.35">
      <c r="A39" s="35" t="str">
        <f t="shared" si="0"/>
        <v>Tue</v>
      </c>
      <c r="B39" s="5">
        <f t="shared" si="2"/>
        <v>44964</v>
      </c>
      <c r="C39" s="1">
        <f t="shared" si="3"/>
        <v>2</v>
      </c>
      <c r="D39" s="2">
        <f t="shared" si="1"/>
        <v>6</v>
      </c>
      <c r="E39" s="102"/>
      <c r="F39" s="1" t="str">
        <f>IFERROR(IF(OR(WEEKDAY(B39,2)=6,WEEKDAY(B39,2)=7),'Month summary'!$D$11,IF(E39="",'Month summary'!$C$11,E39)),"")</f>
        <v>W</v>
      </c>
      <c r="G39" s="4">
        <f>IF(B39&lt;Time!$B$2,"",IF(F39='Month summary'!$C$11,'Month summary'!$F$2/24,IF(F39="H/2",'Month summary'!$F$2/24/2,0)))</f>
        <v>0.33333333333333331</v>
      </c>
      <c r="H39" s="4">
        <f t="shared" si="4"/>
        <v>0</v>
      </c>
      <c r="I39" s="4" t="str">
        <f t="shared" si="5"/>
        <v/>
      </c>
      <c r="J39" s="107"/>
      <c r="K39" s="38" t="str">
        <f>IFERROR(INDEX(TableTime[Time],MATCH(B39,TableTime[Date],0)),"")</f>
        <v/>
      </c>
      <c r="L39" s="4" t="str">
        <f>IF(SUMIFS(TableTime[Duration],TableTime[Date],B39,TableTime[Activity],Projects!$C$9)+SUMIFS(TableTime[Duration],TableTime[Date],B39,TableTime[Activity],Projects!$C$10)+SUMIFS(TableTime[Duration],TableTime[Date],B39,TableTime[Activity],Projects!$C$11)=0,"",SUMIFS(TableTime[Duration],TableTime[Date],B39,TableTime[Activity],Projects!$C$9)+SUMIFS(TableTime[Duration],TableTime[Date],B39,TableTime[Activity],Projects!$C$10)+SUMIFS(TableTime[Duration],TableTime[Date],B39,TableTime[Activity],Projects!$C$11))</f>
        <v/>
      </c>
      <c r="M39" s="4" t="str" cm="1">
        <f t="array" ref="M39">IFERROR(LOOKUP(2,1/(TableTime[Date]=B39),TableTime[Time]),"")</f>
        <v/>
      </c>
      <c r="N39" s="38" t="str">
        <f>IF(SUMIFS(TableTime[[Duration]:[Duration]],TableTime[[Date]:[Date]],$B39,TableTime[[Activity]:[Activity]],N$1)=0,"",SUMIFS(TableTime[[Duration]:[Duration]],TableTime[[Date]:[Date]],$B39,TableTime[[Activity]:[Activity]],N$1))</f>
        <v/>
      </c>
      <c r="O39" s="4" t="str">
        <f>IF(SUMIFS(TableTime[[Duration]:[Duration]],TableTime[[Date]:[Date]],$B39,TableTime[[Activity]:[Activity]],O$1)=0,"",SUMIFS(TableTime[[Duration]:[Duration]],TableTime[[Date]:[Date]],$B39,TableTime[[Activity]:[Activity]],O$1))</f>
        <v/>
      </c>
      <c r="P39" s="4" t="str">
        <f>IF(SUMIFS(TableTime[[Duration]:[Duration]],TableTime[[Date]:[Date]],$B39,TableTime[[Activity]:[Activity]],P$1)=0,"",SUMIFS(TableTime[[Duration]:[Duration]],TableTime[[Date]:[Date]],$B39,TableTime[[Activity]:[Activity]],P$1))</f>
        <v/>
      </c>
      <c r="Q39" s="4" t="str">
        <f>IF(SUMIFS(TableTime[[Duration]:[Duration]],TableTime[[Date]:[Date]],$B39,TableTime[[Activity]:[Activity]],Q$1)=0,"",SUMIFS(TableTime[[Duration]:[Duration]],TableTime[[Date]:[Date]],$B39,TableTime[[Activity]:[Activity]],Q$1))</f>
        <v/>
      </c>
      <c r="R39" s="4" t="str">
        <f>IF(SUMIFS(TableTime[[Duration]:[Duration]],TableTime[[Date]:[Date]],$B39,TableTime[[Activity]:[Activity]],R$1)=0,"",SUMIFS(TableTime[[Duration]:[Duration]],TableTime[[Date]:[Date]],$B39,TableTime[[Activity]:[Activity]],R$1))</f>
        <v/>
      </c>
      <c r="S39" s="130" t="str">
        <f>IF(SUMIFS(TableTime[[Duration]:[Duration]],TableTime[[Date]:[Date]],$B39,TableTime[[Activity]:[Activity]],S$1)=0,"",SUMIFS(TableTime[[Duration]:[Duration]],TableTime[[Date]:[Date]],$B39,TableTime[[Activity]:[Activity]],S$1))</f>
        <v/>
      </c>
      <c r="T39" s="4" t="str">
        <f>IF(SUMIFS(TableTime[[Duration]:[Duration]],TableTime[[Date]:[Date]],$B39,TableTime[[Activity]:[Activity]],T$1)=0,"",SUMIFS(TableTime[[Duration]:[Duration]],TableTime[[Date]:[Date]],$B39,TableTime[[Activity]:[Activity]],T$1))</f>
        <v/>
      </c>
      <c r="U39" s="39" t="str">
        <f>IF(SUMIFS(TableTime[[Duration]:[Duration]],TableTime[[Date]:[Date]],$B39,TableTime[[Activity]:[Activity]],U$1)=0,"",SUMIFS(TableTime[[Duration]:[Duration]],TableTime[[Date]:[Date]],$B39,TableTime[[Activity]:[Activity]],U$1))</f>
        <v/>
      </c>
    </row>
    <row r="40" spans="1:21" x14ac:dyDescent="0.35">
      <c r="A40" s="59" t="str">
        <f t="shared" si="0"/>
        <v>Wed</v>
      </c>
      <c r="B40" s="91">
        <f t="shared" si="2"/>
        <v>44965</v>
      </c>
      <c r="C40" s="60">
        <f t="shared" si="3"/>
        <v>2</v>
      </c>
      <c r="D40" s="61">
        <f t="shared" si="1"/>
        <v>6</v>
      </c>
      <c r="E40" s="103"/>
      <c r="F40" s="60" t="str">
        <f>IFERROR(IF(OR(WEEKDAY(B40,2)=6,WEEKDAY(B40,2)=7),'Month summary'!$D$11,IF(E40="",'Month summary'!$C$11,E40)),"")</f>
        <v>W</v>
      </c>
      <c r="G40" s="62">
        <f>IF(B40&lt;Time!$B$2,"",IF(F40='Month summary'!$C$11,'Month summary'!$F$2/24,IF(F40="H/2",'Month summary'!$F$2/24/2,0)))</f>
        <v>0.33333333333333331</v>
      </c>
      <c r="H40" s="62">
        <f t="shared" si="4"/>
        <v>0</v>
      </c>
      <c r="I40" s="62" t="str">
        <f t="shared" si="5"/>
        <v/>
      </c>
      <c r="J40" s="108"/>
      <c r="K40" s="63" t="str">
        <f>IFERROR(INDEX(TableTime[Time],MATCH(B40,TableTime[Date],0)),"")</f>
        <v/>
      </c>
      <c r="L40" s="62" t="str">
        <f>IF(SUMIFS(TableTime[Duration],TableTime[Date],B40,TableTime[Activity],Projects!$C$9)+SUMIFS(TableTime[Duration],TableTime[Date],B40,TableTime[Activity],Projects!$C$10)+SUMIFS(TableTime[Duration],TableTime[Date],B40,TableTime[Activity],Projects!$C$11)=0,"",SUMIFS(TableTime[Duration],TableTime[Date],B40,TableTime[Activity],Projects!$C$9)+SUMIFS(TableTime[Duration],TableTime[Date],B40,TableTime[Activity],Projects!$C$10)+SUMIFS(TableTime[Duration],TableTime[Date],B40,TableTime[Activity],Projects!$C$11))</f>
        <v/>
      </c>
      <c r="M40" s="62" t="str" cm="1">
        <f t="array" ref="M40">IFERROR(LOOKUP(2,1/(TableTime[Date]=B40),TableTime[Time]),"")</f>
        <v/>
      </c>
      <c r="N40" s="63" t="str">
        <f>IF(SUMIFS(TableTime[[Duration]:[Duration]],TableTime[[Date]:[Date]],$B40,TableTime[[Activity]:[Activity]],N$1)=0,"",SUMIFS(TableTime[[Duration]:[Duration]],TableTime[[Date]:[Date]],$B40,TableTime[[Activity]:[Activity]],N$1))</f>
        <v/>
      </c>
      <c r="O40" s="62" t="str">
        <f>IF(SUMIFS(TableTime[[Duration]:[Duration]],TableTime[[Date]:[Date]],$B40,TableTime[[Activity]:[Activity]],O$1)=0,"",SUMIFS(TableTime[[Duration]:[Duration]],TableTime[[Date]:[Date]],$B40,TableTime[[Activity]:[Activity]],O$1))</f>
        <v/>
      </c>
      <c r="P40" s="62" t="str">
        <f>IF(SUMIFS(TableTime[[Duration]:[Duration]],TableTime[[Date]:[Date]],$B40,TableTime[[Activity]:[Activity]],P$1)=0,"",SUMIFS(TableTime[[Duration]:[Duration]],TableTime[[Date]:[Date]],$B40,TableTime[[Activity]:[Activity]],P$1))</f>
        <v/>
      </c>
      <c r="Q40" s="62" t="str">
        <f>IF(SUMIFS(TableTime[[Duration]:[Duration]],TableTime[[Date]:[Date]],$B40,TableTime[[Activity]:[Activity]],Q$1)=0,"",SUMIFS(TableTime[[Duration]:[Duration]],TableTime[[Date]:[Date]],$B40,TableTime[[Activity]:[Activity]],Q$1))</f>
        <v/>
      </c>
      <c r="R40" s="62" t="str">
        <f>IF(SUMIFS(TableTime[[Duration]:[Duration]],TableTime[[Date]:[Date]],$B40,TableTime[[Activity]:[Activity]],R$1)=0,"",SUMIFS(TableTime[[Duration]:[Duration]],TableTime[[Date]:[Date]],$B40,TableTime[[Activity]:[Activity]],R$1))</f>
        <v/>
      </c>
      <c r="S40" s="131" t="str">
        <f>IF(SUMIFS(TableTime[[Duration]:[Duration]],TableTime[[Date]:[Date]],$B40,TableTime[[Activity]:[Activity]],S$1)=0,"",SUMIFS(TableTime[[Duration]:[Duration]],TableTime[[Date]:[Date]],$B40,TableTime[[Activity]:[Activity]],S$1))</f>
        <v/>
      </c>
      <c r="T40" s="62" t="str">
        <f>IF(SUMIFS(TableTime[[Duration]:[Duration]],TableTime[[Date]:[Date]],$B40,TableTime[[Activity]:[Activity]],T$1)=0,"",SUMIFS(TableTime[[Duration]:[Duration]],TableTime[[Date]:[Date]],$B40,TableTime[[Activity]:[Activity]],T$1))</f>
        <v/>
      </c>
      <c r="U40" s="64" t="str">
        <f>IF(SUMIFS(TableTime[[Duration]:[Duration]],TableTime[[Date]:[Date]],$B40,TableTime[[Activity]:[Activity]],U$1)=0,"",SUMIFS(TableTime[[Duration]:[Duration]],TableTime[[Date]:[Date]],$B40,TableTime[[Activity]:[Activity]],U$1))</f>
        <v/>
      </c>
    </row>
    <row r="41" spans="1:21" x14ac:dyDescent="0.35">
      <c r="A41" s="35" t="str">
        <f t="shared" si="0"/>
        <v>Thr</v>
      </c>
      <c r="B41" s="5">
        <f t="shared" si="2"/>
        <v>44966</v>
      </c>
      <c r="C41" s="1">
        <f t="shared" si="3"/>
        <v>2</v>
      </c>
      <c r="D41" s="2">
        <f t="shared" si="1"/>
        <v>6</v>
      </c>
      <c r="E41" s="102"/>
      <c r="F41" s="1" t="str">
        <f>IFERROR(IF(OR(WEEKDAY(B41,2)=6,WEEKDAY(B41,2)=7),'Month summary'!$D$11,IF(E41="",'Month summary'!$C$11,E41)),"")</f>
        <v>W</v>
      </c>
      <c r="G41" s="4">
        <f>IF(B41&lt;Time!$B$2,"",IF(F41='Month summary'!$C$11,'Month summary'!$F$2/24,IF(F41="H/2",'Month summary'!$F$2/24/2,0)))</f>
        <v>0.33333333333333331</v>
      </c>
      <c r="H41" s="4">
        <f t="shared" si="4"/>
        <v>0</v>
      </c>
      <c r="I41" s="4" t="str">
        <f t="shared" si="5"/>
        <v/>
      </c>
      <c r="J41" s="107"/>
      <c r="K41" s="38" t="str">
        <f>IFERROR(INDEX(TableTime[Time],MATCH(B41,TableTime[Date],0)),"")</f>
        <v/>
      </c>
      <c r="L41" s="4" t="str">
        <f>IF(SUMIFS(TableTime[Duration],TableTime[Date],B41,TableTime[Activity],Projects!$C$9)+SUMIFS(TableTime[Duration],TableTime[Date],B41,TableTime[Activity],Projects!$C$10)+SUMIFS(TableTime[Duration],TableTime[Date],B41,TableTime[Activity],Projects!$C$11)=0,"",SUMIFS(TableTime[Duration],TableTime[Date],B41,TableTime[Activity],Projects!$C$9)+SUMIFS(TableTime[Duration],TableTime[Date],B41,TableTime[Activity],Projects!$C$10)+SUMIFS(TableTime[Duration],TableTime[Date],B41,TableTime[Activity],Projects!$C$11))</f>
        <v/>
      </c>
      <c r="M41" s="4" t="str" cm="1">
        <f t="array" ref="M41">IFERROR(LOOKUP(2,1/(TableTime[Date]=B41),TableTime[Time]),"")</f>
        <v/>
      </c>
      <c r="N41" s="38" t="str">
        <f>IF(SUMIFS(TableTime[[Duration]:[Duration]],TableTime[[Date]:[Date]],$B41,TableTime[[Activity]:[Activity]],N$1)=0,"",SUMIFS(TableTime[[Duration]:[Duration]],TableTime[[Date]:[Date]],$B41,TableTime[[Activity]:[Activity]],N$1))</f>
        <v/>
      </c>
      <c r="O41" s="4" t="str">
        <f>IF(SUMIFS(TableTime[[Duration]:[Duration]],TableTime[[Date]:[Date]],$B41,TableTime[[Activity]:[Activity]],O$1)=0,"",SUMIFS(TableTime[[Duration]:[Duration]],TableTime[[Date]:[Date]],$B41,TableTime[[Activity]:[Activity]],O$1))</f>
        <v/>
      </c>
      <c r="P41" s="4" t="str">
        <f>IF(SUMIFS(TableTime[[Duration]:[Duration]],TableTime[[Date]:[Date]],$B41,TableTime[[Activity]:[Activity]],P$1)=0,"",SUMIFS(TableTime[[Duration]:[Duration]],TableTime[[Date]:[Date]],$B41,TableTime[[Activity]:[Activity]],P$1))</f>
        <v/>
      </c>
      <c r="Q41" s="4" t="str">
        <f>IF(SUMIFS(TableTime[[Duration]:[Duration]],TableTime[[Date]:[Date]],$B41,TableTime[[Activity]:[Activity]],Q$1)=0,"",SUMIFS(TableTime[[Duration]:[Duration]],TableTime[[Date]:[Date]],$B41,TableTime[[Activity]:[Activity]],Q$1))</f>
        <v/>
      </c>
      <c r="R41" s="4" t="str">
        <f>IF(SUMIFS(TableTime[[Duration]:[Duration]],TableTime[[Date]:[Date]],$B41,TableTime[[Activity]:[Activity]],R$1)=0,"",SUMIFS(TableTime[[Duration]:[Duration]],TableTime[[Date]:[Date]],$B41,TableTime[[Activity]:[Activity]],R$1))</f>
        <v/>
      </c>
      <c r="S41" s="130" t="str">
        <f>IF(SUMIFS(TableTime[[Duration]:[Duration]],TableTime[[Date]:[Date]],$B41,TableTime[[Activity]:[Activity]],S$1)=0,"",SUMIFS(TableTime[[Duration]:[Duration]],TableTime[[Date]:[Date]],$B41,TableTime[[Activity]:[Activity]],S$1))</f>
        <v/>
      </c>
      <c r="T41" s="4" t="str">
        <f>IF(SUMIFS(TableTime[[Duration]:[Duration]],TableTime[[Date]:[Date]],$B41,TableTime[[Activity]:[Activity]],T$1)=0,"",SUMIFS(TableTime[[Duration]:[Duration]],TableTime[[Date]:[Date]],$B41,TableTime[[Activity]:[Activity]],T$1))</f>
        <v/>
      </c>
      <c r="U41" s="39" t="str">
        <f>IF(SUMIFS(TableTime[[Duration]:[Duration]],TableTime[[Date]:[Date]],$B41,TableTime[[Activity]:[Activity]],U$1)=0,"",SUMIFS(TableTime[[Duration]:[Duration]],TableTime[[Date]:[Date]],$B41,TableTime[[Activity]:[Activity]],U$1))</f>
        <v/>
      </c>
    </row>
    <row r="42" spans="1:21" x14ac:dyDescent="0.35">
      <c r="A42" s="59" t="str">
        <f t="shared" si="0"/>
        <v>Fri</v>
      </c>
      <c r="B42" s="91">
        <f t="shared" si="2"/>
        <v>44967</v>
      </c>
      <c r="C42" s="60">
        <f t="shared" si="3"/>
        <v>2</v>
      </c>
      <c r="D42" s="61">
        <f t="shared" si="1"/>
        <v>6</v>
      </c>
      <c r="E42" s="103"/>
      <c r="F42" s="60" t="str">
        <f>IFERROR(IF(OR(WEEKDAY(B42,2)=6,WEEKDAY(B42,2)=7),'Month summary'!$D$11,IF(E42="",'Month summary'!$C$11,E42)),"")</f>
        <v>W</v>
      </c>
      <c r="G42" s="62">
        <f>IF(B42&lt;Time!$B$2,"",IF(F42='Month summary'!$C$11,'Month summary'!$F$2/24,IF(F42="H/2",'Month summary'!$F$2/24/2,0)))</f>
        <v>0.33333333333333331</v>
      </c>
      <c r="H42" s="62">
        <f t="shared" si="4"/>
        <v>0</v>
      </c>
      <c r="I42" s="62" t="str">
        <f t="shared" si="5"/>
        <v/>
      </c>
      <c r="J42" s="108"/>
      <c r="K42" s="63" t="str">
        <f>IFERROR(INDEX(TableTime[Time],MATCH(B42,TableTime[Date],0)),"")</f>
        <v/>
      </c>
      <c r="L42" s="62" t="str">
        <f>IF(SUMIFS(TableTime[Duration],TableTime[Date],B42,TableTime[Activity],Projects!$C$9)+SUMIFS(TableTime[Duration],TableTime[Date],B42,TableTime[Activity],Projects!$C$10)+SUMIFS(TableTime[Duration],TableTime[Date],B42,TableTime[Activity],Projects!$C$11)=0,"",SUMIFS(TableTime[Duration],TableTime[Date],B42,TableTime[Activity],Projects!$C$9)+SUMIFS(TableTime[Duration],TableTime[Date],B42,TableTime[Activity],Projects!$C$10)+SUMIFS(TableTime[Duration],TableTime[Date],B42,TableTime[Activity],Projects!$C$11))</f>
        <v/>
      </c>
      <c r="M42" s="62" t="str" cm="1">
        <f t="array" ref="M42">IFERROR(LOOKUP(2,1/(TableTime[Date]=B42),TableTime[Time]),"")</f>
        <v/>
      </c>
      <c r="N42" s="63" t="str">
        <f>IF(SUMIFS(TableTime[[Duration]:[Duration]],TableTime[[Date]:[Date]],$B42,TableTime[[Activity]:[Activity]],N$1)=0,"",SUMIFS(TableTime[[Duration]:[Duration]],TableTime[[Date]:[Date]],$B42,TableTime[[Activity]:[Activity]],N$1))</f>
        <v/>
      </c>
      <c r="O42" s="62" t="str">
        <f>IF(SUMIFS(TableTime[[Duration]:[Duration]],TableTime[[Date]:[Date]],$B42,TableTime[[Activity]:[Activity]],O$1)=0,"",SUMIFS(TableTime[[Duration]:[Duration]],TableTime[[Date]:[Date]],$B42,TableTime[[Activity]:[Activity]],O$1))</f>
        <v/>
      </c>
      <c r="P42" s="62" t="str">
        <f>IF(SUMIFS(TableTime[[Duration]:[Duration]],TableTime[[Date]:[Date]],$B42,TableTime[[Activity]:[Activity]],P$1)=0,"",SUMIFS(TableTime[[Duration]:[Duration]],TableTime[[Date]:[Date]],$B42,TableTime[[Activity]:[Activity]],P$1))</f>
        <v/>
      </c>
      <c r="Q42" s="62" t="str">
        <f>IF(SUMIFS(TableTime[[Duration]:[Duration]],TableTime[[Date]:[Date]],$B42,TableTime[[Activity]:[Activity]],Q$1)=0,"",SUMIFS(TableTime[[Duration]:[Duration]],TableTime[[Date]:[Date]],$B42,TableTime[[Activity]:[Activity]],Q$1))</f>
        <v/>
      </c>
      <c r="R42" s="62" t="str">
        <f>IF(SUMIFS(TableTime[[Duration]:[Duration]],TableTime[[Date]:[Date]],$B42,TableTime[[Activity]:[Activity]],R$1)=0,"",SUMIFS(TableTime[[Duration]:[Duration]],TableTime[[Date]:[Date]],$B42,TableTime[[Activity]:[Activity]],R$1))</f>
        <v/>
      </c>
      <c r="S42" s="131" t="str">
        <f>IF(SUMIFS(TableTime[[Duration]:[Duration]],TableTime[[Date]:[Date]],$B42,TableTime[[Activity]:[Activity]],S$1)=0,"",SUMIFS(TableTime[[Duration]:[Duration]],TableTime[[Date]:[Date]],$B42,TableTime[[Activity]:[Activity]],S$1))</f>
        <v/>
      </c>
      <c r="T42" s="62" t="str">
        <f>IF(SUMIFS(TableTime[[Duration]:[Duration]],TableTime[[Date]:[Date]],$B42,TableTime[[Activity]:[Activity]],T$1)=0,"",SUMIFS(TableTime[[Duration]:[Duration]],TableTime[[Date]:[Date]],$B42,TableTime[[Activity]:[Activity]],T$1))</f>
        <v/>
      </c>
      <c r="U42" s="64" t="str">
        <f>IF(SUMIFS(TableTime[[Duration]:[Duration]],TableTime[[Date]:[Date]],$B42,TableTime[[Activity]:[Activity]],U$1)=0,"",SUMIFS(TableTime[[Duration]:[Duration]],TableTime[[Date]:[Date]],$B42,TableTime[[Activity]:[Activity]],U$1))</f>
        <v/>
      </c>
    </row>
    <row r="43" spans="1:21" x14ac:dyDescent="0.35">
      <c r="A43" s="35" t="str">
        <f t="shared" si="0"/>
        <v>Sat</v>
      </c>
      <c r="B43" s="5">
        <f t="shared" si="2"/>
        <v>44968</v>
      </c>
      <c r="C43" s="1">
        <f t="shared" si="3"/>
        <v>2</v>
      </c>
      <c r="D43" s="2">
        <f t="shared" si="1"/>
        <v>6</v>
      </c>
      <c r="E43" s="102"/>
      <c r="F43" s="1" t="str">
        <f>IFERROR(IF(OR(WEEKDAY(B43,2)=6,WEEKDAY(B43,2)=7),'Month summary'!$D$11,IF(E43="",'Month summary'!$C$11,E43)),"")</f>
        <v>WE</v>
      </c>
      <c r="G43" s="4">
        <f>IF(B43&lt;Time!$B$2,"",IF(F43='Month summary'!$C$11,'Month summary'!$F$2/24,IF(F43="H/2",'Month summary'!$F$2/24/2,0)))</f>
        <v>0</v>
      </c>
      <c r="H43" s="4">
        <f t="shared" si="4"/>
        <v>0</v>
      </c>
      <c r="I43" s="4" t="str">
        <f t="shared" si="5"/>
        <v/>
      </c>
      <c r="J43" s="107"/>
      <c r="K43" s="38" t="str">
        <f>IFERROR(INDEX(TableTime[Time],MATCH(B43,TableTime[Date],0)),"")</f>
        <v/>
      </c>
      <c r="L43" s="4" t="str">
        <f>IF(SUMIFS(TableTime[Duration],TableTime[Date],B43,TableTime[Activity],Projects!$C$9)+SUMIFS(TableTime[Duration],TableTime[Date],B43,TableTime[Activity],Projects!$C$10)+SUMIFS(TableTime[Duration],TableTime[Date],B43,TableTime[Activity],Projects!$C$11)=0,"",SUMIFS(TableTime[Duration],TableTime[Date],B43,TableTime[Activity],Projects!$C$9)+SUMIFS(TableTime[Duration],TableTime[Date],B43,TableTime[Activity],Projects!$C$10)+SUMIFS(TableTime[Duration],TableTime[Date],B43,TableTime[Activity],Projects!$C$11))</f>
        <v/>
      </c>
      <c r="M43" s="4" t="str" cm="1">
        <f t="array" ref="M43">IFERROR(LOOKUP(2,1/(TableTime[Date]=B43),TableTime[Time]),"")</f>
        <v/>
      </c>
      <c r="N43" s="38" t="str">
        <f>IF(SUMIFS(TableTime[[Duration]:[Duration]],TableTime[[Date]:[Date]],$B43,TableTime[[Activity]:[Activity]],N$1)=0,"",SUMIFS(TableTime[[Duration]:[Duration]],TableTime[[Date]:[Date]],$B43,TableTime[[Activity]:[Activity]],N$1))</f>
        <v/>
      </c>
      <c r="O43" s="4" t="str">
        <f>IF(SUMIFS(TableTime[[Duration]:[Duration]],TableTime[[Date]:[Date]],$B43,TableTime[[Activity]:[Activity]],O$1)=0,"",SUMIFS(TableTime[[Duration]:[Duration]],TableTime[[Date]:[Date]],$B43,TableTime[[Activity]:[Activity]],O$1))</f>
        <v/>
      </c>
      <c r="P43" s="4" t="str">
        <f>IF(SUMIFS(TableTime[[Duration]:[Duration]],TableTime[[Date]:[Date]],$B43,TableTime[[Activity]:[Activity]],P$1)=0,"",SUMIFS(TableTime[[Duration]:[Duration]],TableTime[[Date]:[Date]],$B43,TableTime[[Activity]:[Activity]],P$1))</f>
        <v/>
      </c>
      <c r="Q43" s="4" t="str">
        <f>IF(SUMIFS(TableTime[[Duration]:[Duration]],TableTime[[Date]:[Date]],$B43,TableTime[[Activity]:[Activity]],Q$1)=0,"",SUMIFS(TableTime[[Duration]:[Duration]],TableTime[[Date]:[Date]],$B43,TableTime[[Activity]:[Activity]],Q$1))</f>
        <v/>
      </c>
      <c r="R43" s="4" t="str">
        <f>IF(SUMIFS(TableTime[[Duration]:[Duration]],TableTime[[Date]:[Date]],$B43,TableTime[[Activity]:[Activity]],R$1)=0,"",SUMIFS(TableTime[[Duration]:[Duration]],TableTime[[Date]:[Date]],$B43,TableTime[[Activity]:[Activity]],R$1))</f>
        <v/>
      </c>
      <c r="S43" s="130" t="str">
        <f>IF(SUMIFS(TableTime[[Duration]:[Duration]],TableTime[[Date]:[Date]],$B43,TableTime[[Activity]:[Activity]],S$1)=0,"",SUMIFS(TableTime[[Duration]:[Duration]],TableTime[[Date]:[Date]],$B43,TableTime[[Activity]:[Activity]],S$1))</f>
        <v/>
      </c>
      <c r="T43" s="4" t="str">
        <f>IF(SUMIFS(TableTime[[Duration]:[Duration]],TableTime[[Date]:[Date]],$B43,TableTime[[Activity]:[Activity]],T$1)=0,"",SUMIFS(TableTime[[Duration]:[Duration]],TableTime[[Date]:[Date]],$B43,TableTime[[Activity]:[Activity]],T$1))</f>
        <v/>
      </c>
      <c r="U43" s="39" t="str">
        <f>IF(SUMIFS(TableTime[[Duration]:[Duration]],TableTime[[Date]:[Date]],$B43,TableTime[[Activity]:[Activity]],U$1)=0,"",SUMIFS(TableTime[[Duration]:[Duration]],TableTime[[Date]:[Date]],$B43,TableTime[[Activity]:[Activity]],U$1))</f>
        <v/>
      </c>
    </row>
    <row r="44" spans="1:21" x14ac:dyDescent="0.35">
      <c r="A44" s="59" t="str">
        <f t="shared" si="0"/>
        <v>Sun</v>
      </c>
      <c r="B44" s="91">
        <f t="shared" si="2"/>
        <v>44969</v>
      </c>
      <c r="C44" s="60">
        <f t="shared" si="3"/>
        <v>2</v>
      </c>
      <c r="D44" s="61">
        <f t="shared" si="1"/>
        <v>6</v>
      </c>
      <c r="E44" s="103"/>
      <c r="F44" s="60" t="str">
        <f>IFERROR(IF(OR(WEEKDAY(B44,2)=6,WEEKDAY(B44,2)=7),'Month summary'!$D$11,IF(E44="",'Month summary'!$C$11,E44)),"")</f>
        <v>WE</v>
      </c>
      <c r="G44" s="62">
        <f>IF(B44&lt;Time!$B$2,"",IF(F44='Month summary'!$C$11,'Month summary'!$F$2/24,IF(F44="H/2",'Month summary'!$F$2/24/2,0)))</f>
        <v>0</v>
      </c>
      <c r="H44" s="62">
        <f t="shared" si="4"/>
        <v>0</v>
      </c>
      <c r="I44" s="62" t="str">
        <f t="shared" si="5"/>
        <v/>
      </c>
      <c r="J44" s="108"/>
      <c r="K44" s="63" t="str">
        <f>IFERROR(INDEX(TableTime[Time],MATCH(B44,TableTime[Date],0)),"")</f>
        <v/>
      </c>
      <c r="L44" s="62" t="str">
        <f>IF(SUMIFS(TableTime[Duration],TableTime[Date],B44,TableTime[Activity],Projects!$C$9)+SUMIFS(TableTime[Duration],TableTime[Date],B44,TableTime[Activity],Projects!$C$10)+SUMIFS(TableTime[Duration],TableTime[Date],B44,TableTime[Activity],Projects!$C$11)=0,"",SUMIFS(TableTime[Duration],TableTime[Date],B44,TableTime[Activity],Projects!$C$9)+SUMIFS(TableTime[Duration],TableTime[Date],B44,TableTime[Activity],Projects!$C$10)+SUMIFS(TableTime[Duration],TableTime[Date],B44,TableTime[Activity],Projects!$C$11))</f>
        <v/>
      </c>
      <c r="M44" s="62" t="str" cm="1">
        <f t="array" ref="M44">IFERROR(LOOKUP(2,1/(TableTime[Date]=B44),TableTime[Time]),"")</f>
        <v/>
      </c>
      <c r="N44" s="63" t="str">
        <f>IF(SUMIFS(TableTime[[Duration]:[Duration]],TableTime[[Date]:[Date]],$B44,TableTime[[Activity]:[Activity]],N$1)=0,"",SUMIFS(TableTime[[Duration]:[Duration]],TableTime[[Date]:[Date]],$B44,TableTime[[Activity]:[Activity]],N$1))</f>
        <v/>
      </c>
      <c r="O44" s="62" t="str">
        <f>IF(SUMIFS(TableTime[[Duration]:[Duration]],TableTime[[Date]:[Date]],$B44,TableTime[[Activity]:[Activity]],O$1)=0,"",SUMIFS(TableTime[[Duration]:[Duration]],TableTime[[Date]:[Date]],$B44,TableTime[[Activity]:[Activity]],O$1))</f>
        <v/>
      </c>
      <c r="P44" s="62" t="str">
        <f>IF(SUMIFS(TableTime[[Duration]:[Duration]],TableTime[[Date]:[Date]],$B44,TableTime[[Activity]:[Activity]],P$1)=0,"",SUMIFS(TableTime[[Duration]:[Duration]],TableTime[[Date]:[Date]],$B44,TableTime[[Activity]:[Activity]],P$1))</f>
        <v/>
      </c>
      <c r="Q44" s="62" t="str">
        <f>IF(SUMIFS(TableTime[[Duration]:[Duration]],TableTime[[Date]:[Date]],$B44,TableTime[[Activity]:[Activity]],Q$1)=0,"",SUMIFS(TableTime[[Duration]:[Duration]],TableTime[[Date]:[Date]],$B44,TableTime[[Activity]:[Activity]],Q$1))</f>
        <v/>
      </c>
      <c r="R44" s="62" t="str">
        <f>IF(SUMIFS(TableTime[[Duration]:[Duration]],TableTime[[Date]:[Date]],$B44,TableTime[[Activity]:[Activity]],R$1)=0,"",SUMIFS(TableTime[[Duration]:[Duration]],TableTime[[Date]:[Date]],$B44,TableTime[[Activity]:[Activity]],R$1))</f>
        <v/>
      </c>
      <c r="S44" s="131" t="str">
        <f>IF(SUMIFS(TableTime[[Duration]:[Duration]],TableTime[[Date]:[Date]],$B44,TableTime[[Activity]:[Activity]],S$1)=0,"",SUMIFS(TableTime[[Duration]:[Duration]],TableTime[[Date]:[Date]],$B44,TableTime[[Activity]:[Activity]],S$1))</f>
        <v/>
      </c>
      <c r="T44" s="62" t="str">
        <f>IF(SUMIFS(TableTime[[Duration]:[Duration]],TableTime[[Date]:[Date]],$B44,TableTime[[Activity]:[Activity]],T$1)=0,"",SUMIFS(TableTime[[Duration]:[Duration]],TableTime[[Date]:[Date]],$B44,TableTime[[Activity]:[Activity]],T$1))</f>
        <v/>
      </c>
      <c r="U44" s="64" t="str">
        <f>IF(SUMIFS(TableTime[[Duration]:[Duration]],TableTime[[Date]:[Date]],$B44,TableTime[[Activity]:[Activity]],U$1)=0,"",SUMIFS(TableTime[[Duration]:[Duration]],TableTime[[Date]:[Date]],$B44,TableTime[[Activity]:[Activity]],U$1))</f>
        <v/>
      </c>
    </row>
    <row r="45" spans="1:21" x14ac:dyDescent="0.35">
      <c r="A45" s="35" t="str">
        <f t="shared" si="0"/>
        <v>Mon</v>
      </c>
      <c r="B45" s="5">
        <f t="shared" si="2"/>
        <v>44970</v>
      </c>
      <c r="C45" s="1">
        <f t="shared" si="3"/>
        <v>2</v>
      </c>
      <c r="D45" s="2">
        <f t="shared" si="1"/>
        <v>7</v>
      </c>
      <c r="E45" s="102"/>
      <c r="F45" s="1" t="str">
        <f>IFERROR(IF(OR(WEEKDAY(B45,2)=6,WEEKDAY(B45,2)=7),'Month summary'!$D$11,IF(E45="",'Month summary'!$C$11,E45)),"")</f>
        <v>W</v>
      </c>
      <c r="G45" s="4">
        <f>IF(B45&lt;Time!$B$2,"",IF(F45='Month summary'!$C$11,'Month summary'!$F$2/24,IF(F45="H/2",'Month summary'!$F$2/24/2,0)))</f>
        <v>0.33333333333333331</v>
      </c>
      <c r="H45" s="4">
        <f t="shared" si="4"/>
        <v>0</v>
      </c>
      <c r="I45" s="4" t="str">
        <f t="shared" si="5"/>
        <v/>
      </c>
      <c r="J45" s="107"/>
      <c r="K45" s="38" t="str">
        <f>IFERROR(INDEX(TableTime[Time],MATCH(B45,TableTime[Date],0)),"")</f>
        <v/>
      </c>
      <c r="L45" s="4" t="str">
        <f>IF(SUMIFS(TableTime[Duration],TableTime[Date],B45,TableTime[Activity],Projects!$C$9)+SUMIFS(TableTime[Duration],TableTime[Date],B45,TableTime[Activity],Projects!$C$10)+SUMIFS(TableTime[Duration],TableTime[Date],B45,TableTime[Activity],Projects!$C$11)=0,"",SUMIFS(TableTime[Duration],TableTime[Date],B45,TableTime[Activity],Projects!$C$9)+SUMIFS(TableTime[Duration],TableTime[Date],B45,TableTime[Activity],Projects!$C$10)+SUMIFS(TableTime[Duration],TableTime[Date],B45,TableTime[Activity],Projects!$C$11))</f>
        <v/>
      </c>
      <c r="M45" s="4" t="str" cm="1">
        <f t="array" ref="M45">IFERROR(LOOKUP(2,1/(TableTime[Date]=B45),TableTime[Time]),"")</f>
        <v/>
      </c>
      <c r="N45" s="38" t="str">
        <f>IF(SUMIFS(TableTime[[Duration]:[Duration]],TableTime[[Date]:[Date]],$B45,TableTime[[Activity]:[Activity]],N$1)=0,"",SUMIFS(TableTime[[Duration]:[Duration]],TableTime[[Date]:[Date]],$B45,TableTime[[Activity]:[Activity]],N$1))</f>
        <v/>
      </c>
      <c r="O45" s="4" t="str">
        <f>IF(SUMIFS(TableTime[[Duration]:[Duration]],TableTime[[Date]:[Date]],$B45,TableTime[[Activity]:[Activity]],O$1)=0,"",SUMIFS(TableTime[[Duration]:[Duration]],TableTime[[Date]:[Date]],$B45,TableTime[[Activity]:[Activity]],O$1))</f>
        <v/>
      </c>
      <c r="P45" s="4" t="str">
        <f>IF(SUMIFS(TableTime[[Duration]:[Duration]],TableTime[[Date]:[Date]],$B45,TableTime[[Activity]:[Activity]],P$1)=0,"",SUMIFS(TableTime[[Duration]:[Duration]],TableTime[[Date]:[Date]],$B45,TableTime[[Activity]:[Activity]],P$1))</f>
        <v/>
      </c>
      <c r="Q45" s="4" t="str">
        <f>IF(SUMIFS(TableTime[[Duration]:[Duration]],TableTime[[Date]:[Date]],$B45,TableTime[[Activity]:[Activity]],Q$1)=0,"",SUMIFS(TableTime[[Duration]:[Duration]],TableTime[[Date]:[Date]],$B45,TableTime[[Activity]:[Activity]],Q$1))</f>
        <v/>
      </c>
      <c r="R45" s="4" t="str">
        <f>IF(SUMIFS(TableTime[[Duration]:[Duration]],TableTime[[Date]:[Date]],$B45,TableTime[[Activity]:[Activity]],R$1)=0,"",SUMIFS(TableTime[[Duration]:[Duration]],TableTime[[Date]:[Date]],$B45,TableTime[[Activity]:[Activity]],R$1))</f>
        <v/>
      </c>
      <c r="S45" s="130" t="str">
        <f>IF(SUMIFS(TableTime[[Duration]:[Duration]],TableTime[[Date]:[Date]],$B45,TableTime[[Activity]:[Activity]],S$1)=0,"",SUMIFS(TableTime[[Duration]:[Duration]],TableTime[[Date]:[Date]],$B45,TableTime[[Activity]:[Activity]],S$1))</f>
        <v/>
      </c>
      <c r="T45" s="4" t="str">
        <f>IF(SUMIFS(TableTime[[Duration]:[Duration]],TableTime[[Date]:[Date]],$B45,TableTime[[Activity]:[Activity]],T$1)=0,"",SUMIFS(TableTime[[Duration]:[Duration]],TableTime[[Date]:[Date]],$B45,TableTime[[Activity]:[Activity]],T$1))</f>
        <v/>
      </c>
      <c r="U45" s="39" t="str">
        <f>IF(SUMIFS(TableTime[[Duration]:[Duration]],TableTime[[Date]:[Date]],$B45,TableTime[[Activity]:[Activity]],U$1)=0,"",SUMIFS(TableTime[[Duration]:[Duration]],TableTime[[Date]:[Date]],$B45,TableTime[[Activity]:[Activity]],U$1))</f>
        <v/>
      </c>
    </row>
    <row r="46" spans="1:21" x14ac:dyDescent="0.35">
      <c r="A46" s="59" t="str">
        <f t="shared" si="0"/>
        <v>Tue</v>
      </c>
      <c r="B46" s="91">
        <f t="shared" si="2"/>
        <v>44971</v>
      </c>
      <c r="C46" s="60">
        <f t="shared" si="3"/>
        <v>2</v>
      </c>
      <c r="D46" s="61">
        <f t="shared" si="1"/>
        <v>7</v>
      </c>
      <c r="E46" s="103"/>
      <c r="F46" s="60" t="str">
        <f>IFERROR(IF(OR(WEEKDAY(B46,2)=6,WEEKDAY(B46,2)=7),'Month summary'!$D$11,IF(E46="",'Month summary'!$C$11,E46)),"")</f>
        <v>W</v>
      </c>
      <c r="G46" s="62">
        <f>IF(B46&lt;Time!$B$2,"",IF(F46='Month summary'!$C$11,'Month summary'!$F$2/24,IF(F46="H/2",'Month summary'!$F$2/24/2,0)))</f>
        <v>0.33333333333333331</v>
      </c>
      <c r="H46" s="62">
        <f t="shared" si="4"/>
        <v>0</v>
      </c>
      <c r="I46" s="62" t="str">
        <f t="shared" si="5"/>
        <v/>
      </c>
      <c r="J46" s="108"/>
      <c r="K46" s="63" t="str">
        <f>IFERROR(INDEX(TableTime[Time],MATCH(B46,TableTime[Date],0)),"")</f>
        <v/>
      </c>
      <c r="L46" s="62" t="str">
        <f>IF(SUMIFS(TableTime[Duration],TableTime[Date],B46,TableTime[Activity],Projects!$C$9)+SUMIFS(TableTime[Duration],TableTime[Date],B46,TableTime[Activity],Projects!$C$10)+SUMIFS(TableTime[Duration],TableTime[Date],B46,TableTime[Activity],Projects!$C$11)=0,"",SUMIFS(TableTime[Duration],TableTime[Date],B46,TableTime[Activity],Projects!$C$9)+SUMIFS(TableTime[Duration],TableTime[Date],B46,TableTime[Activity],Projects!$C$10)+SUMIFS(TableTime[Duration],TableTime[Date],B46,TableTime[Activity],Projects!$C$11))</f>
        <v/>
      </c>
      <c r="M46" s="62" t="str" cm="1">
        <f t="array" ref="M46">IFERROR(LOOKUP(2,1/(TableTime[Date]=B46),TableTime[Time]),"")</f>
        <v/>
      </c>
      <c r="N46" s="63" t="str">
        <f>IF(SUMIFS(TableTime[[Duration]:[Duration]],TableTime[[Date]:[Date]],$B46,TableTime[[Activity]:[Activity]],N$1)=0,"",SUMIFS(TableTime[[Duration]:[Duration]],TableTime[[Date]:[Date]],$B46,TableTime[[Activity]:[Activity]],N$1))</f>
        <v/>
      </c>
      <c r="O46" s="62" t="str">
        <f>IF(SUMIFS(TableTime[[Duration]:[Duration]],TableTime[[Date]:[Date]],$B46,TableTime[[Activity]:[Activity]],O$1)=0,"",SUMIFS(TableTime[[Duration]:[Duration]],TableTime[[Date]:[Date]],$B46,TableTime[[Activity]:[Activity]],O$1))</f>
        <v/>
      </c>
      <c r="P46" s="62" t="str">
        <f>IF(SUMIFS(TableTime[[Duration]:[Duration]],TableTime[[Date]:[Date]],$B46,TableTime[[Activity]:[Activity]],P$1)=0,"",SUMIFS(TableTime[[Duration]:[Duration]],TableTime[[Date]:[Date]],$B46,TableTime[[Activity]:[Activity]],P$1))</f>
        <v/>
      </c>
      <c r="Q46" s="62" t="str">
        <f>IF(SUMIFS(TableTime[[Duration]:[Duration]],TableTime[[Date]:[Date]],$B46,TableTime[[Activity]:[Activity]],Q$1)=0,"",SUMIFS(TableTime[[Duration]:[Duration]],TableTime[[Date]:[Date]],$B46,TableTime[[Activity]:[Activity]],Q$1))</f>
        <v/>
      </c>
      <c r="R46" s="62" t="str">
        <f>IF(SUMIFS(TableTime[[Duration]:[Duration]],TableTime[[Date]:[Date]],$B46,TableTime[[Activity]:[Activity]],R$1)=0,"",SUMIFS(TableTime[[Duration]:[Duration]],TableTime[[Date]:[Date]],$B46,TableTime[[Activity]:[Activity]],R$1))</f>
        <v/>
      </c>
      <c r="S46" s="131" t="str">
        <f>IF(SUMIFS(TableTime[[Duration]:[Duration]],TableTime[[Date]:[Date]],$B46,TableTime[[Activity]:[Activity]],S$1)=0,"",SUMIFS(TableTime[[Duration]:[Duration]],TableTime[[Date]:[Date]],$B46,TableTime[[Activity]:[Activity]],S$1))</f>
        <v/>
      </c>
      <c r="T46" s="62" t="str">
        <f>IF(SUMIFS(TableTime[[Duration]:[Duration]],TableTime[[Date]:[Date]],$B46,TableTime[[Activity]:[Activity]],T$1)=0,"",SUMIFS(TableTime[[Duration]:[Duration]],TableTime[[Date]:[Date]],$B46,TableTime[[Activity]:[Activity]],T$1))</f>
        <v/>
      </c>
      <c r="U46" s="64" t="str">
        <f>IF(SUMIFS(TableTime[[Duration]:[Duration]],TableTime[[Date]:[Date]],$B46,TableTime[[Activity]:[Activity]],U$1)=0,"",SUMIFS(TableTime[[Duration]:[Duration]],TableTime[[Date]:[Date]],$B46,TableTime[[Activity]:[Activity]],U$1))</f>
        <v/>
      </c>
    </row>
    <row r="47" spans="1:21" x14ac:dyDescent="0.35">
      <c r="A47" s="35" t="str">
        <f t="shared" si="0"/>
        <v>Wed</v>
      </c>
      <c r="B47" s="5">
        <f t="shared" si="2"/>
        <v>44972</v>
      </c>
      <c r="C47" s="1">
        <f t="shared" si="3"/>
        <v>2</v>
      </c>
      <c r="D47" s="2">
        <f t="shared" si="1"/>
        <v>7</v>
      </c>
      <c r="E47" s="102"/>
      <c r="F47" s="1" t="str">
        <f>IFERROR(IF(OR(WEEKDAY(B47,2)=6,WEEKDAY(B47,2)=7),'Month summary'!$D$11,IF(E47="",'Month summary'!$C$11,E47)),"")</f>
        <v>W</v>
      </c>
      <c r="G47" s="4">
        <f>IF(B47&lt;Time!$B$2,"",IF(F47='Month summary'!$C$11,'Month summary'!$F$2/24,IF(F47="H/2",'Month summary'!$F$2/24/2,0)))</f>
        <v>0.33333333333333331</v>
      </c>
      <c r="H47" s="4">
        <f t="shared" si="4"/>
        <v>0</v>
      </c>
      <c r="I47" s="4" t="str">
        <f t="shared" si="5"/>
        <v/>
      </c>
      <c r="J47" s="107"/>
      <c r="K47" s="38" t="str">
        <f>IFERROR(INDEX(TableTime[Time],MATCH(B47,TableTime[Date],0)),"")</f>
        <v/>
      </c>
      <c r="L47" s="4" t="str">
        <f>IF(SUMIFS(TableTime[Duration],TableTime[Date],B47,TableTime[Activity],Projects!$C$9)+SUMIFS(TableTime[Duration],TableTime[Date],B47,TableTime[Activity],Projects!$C$10)+SUMIFS(TableTime[Duration],TableTime[Date],B47,TableTime[Activity],Projects!$C$11)=0,"",SUMIFS(TableTime[Duration],TableTime[Date],B47,TableTime[Activity],Projects!$C$9)+SUMIFS(TableTime[Duration],TableTime[Date],B47,TableTime[Activity],Projects!$C$10)+SUMIFS(TableTime[Duration],TableTime[Date],B47,TableTime[Activity],Projects!$C$11))</f>
        <v/>
      </c>
      <c r="M47" s="4" t="str" cm="1">
        <f t="array" ref="M47">IFERROR(LOOKUP(2,1/(TableTime[Date]=B47),TableTime[Time]),"")</f>
        <v/>
      </c>
      <c r="N47" s="38" t="str">
        <f>IF(SUMIFS(TableTime[[Duration]:[Duration]],TableTime[[Date]:[Date]],$B47,TableTime[[Activity]:[Activity]],N$1)=0,"",SUMIFS(TableTime[[Duration]:[Duration]],TableTime[[Date]:[Date]],$B47,TableTime[[Activity]:[Activity]],N$1))</f>
        <v/>
      </c>
      <c r="O47" s="4" t="str">
        <f>IF(SUMIFS(TableTime[[Duration]:[Duration]],TableTime[[Date]:[Date]],$B47,TableTime[[Activity]:[Activity]],O$1)=0,"",SUMIFS(TableTime[[Duration]:[Duration]],TableTime[[Date]:[Date]],$B47,TableTime[[Activity]:[Activity]],O$1))</f>
        <v/>
      </c>
      <c r="P47" s="4" t="str">
        <f>IF(SUMIFS(TableTime[[Duration]:[Duration]],TableTime[[Date]:[Date]],$B47,TableTime[[Activity]:[Activity]],P$1)=0,"",SUMIFS(TableTime[[Duration]:[Duration]],TableTime[[Date]:[Date]],$B47,TableTime[[Activity]:[Activity]],P$1))</f>
        <v/>
      </c>
      <c r="Q47" s="4" t="str">
        <f>IF(SUMIFS(TableTime[[Duration]:[Duration]],TableTime[[Date]:[Date]],$B47,TableTime[[Activity]:[Activity]],Q$1)=0,"",SUMIFS(TableTime[[Duration]:[Duration]],TableTime[[Date]:[Date]],$B47,TableTime[[Activity]:[Activity]],Q$1))</f>
        <v/>
      </c>
      <c r="R47" s="4" t="str">
        <f>IF(SUMIFS(TableTime[[Duration]:[Duration]],TableTime[[Date]:[Date]],$B47,TableTime[[Activity]:[Activity]],R$1)=0,"",SUMIFS(TableTime[[Duration]:[Duration]],TableTime[[Date]:[Date]],$B47,TableTime[[Activity]:[Activity]],R$1))</f>
        <v/>
      </c>
      <c r="S47" s="130" t="str">
        <f>IF(SUMIFS(TableTime[[Duration]:[Duration]],TableTime[[Date]:[Date]],$B47,TableTime[[Activity]:[Activity]],S$1)=0,"",SUMIFS(TableTime[[Duration]:[Duration]],TableTime[[Date]:[Date]],$B47,TableTime[[Activity]:[Activity]],S$1))</f>
        <v/>
      </c>
      <c r="T47" s="4" t="str">
        <f>IF(SUMIFS(TableTime[[Duration]:[Duration]],TableTime[[Date]:[Date]],$B47,TableTime[[Activity]:[Activity]],T$1)=0,"",SUMIFS(TableTime[[Duration]:[Duration]],TableTime[[Date]:[Date]],$B47,TableTime[[Activity]:[Activity]],T$1))</f>
        <v/>
      </c>
      <c r="U47" s="39" t="str">
        <f>IF(SUMIFS(TableTime[[Duration]:[Duration]],TableTime[[Date]:[Date]],$B47,TableTime[[Activity]:[Activity]],U$1)=0,"",SUMIFS(TableTime[[Duration]:[Duration]],TableTime[[Date]:[Date]],$B47,TableTime[[Activity]:[Activity]],U$1))</f>
        <v/>
      </c>
    </row>
    <row r="48" spans="1:21" x14ac:dyDescent="0.35">
      <c r="A48" s="59" t="str">
        <f t="shared" si="0"/>
        <v>Thr</v>
      </c>
      <c r="B48" s="91">
        <f t="shared" si="2"/>
        <v>44973</v>
      </c>
      <c r="C48" s="60">
        <f t="shared" si="3"/>
        <v>2</v>
      </c>
      <c r="D48" s="61">
        <f t="shared" si="1"/>
        <v>7</v>
      </c>
      <c r="E48" s="103"/>
      <c r="F48" s="60" t="str">
        <f>IFERROR(IF(OR(WEEKDAY(B48,2)=6,WEEKDAY(B48,2)=7),'Month summary'!$D$11,IF(E48="",'Month summary'!$C$11,E48)),"")</f>
        <v>W</v>
      </c>
      <c r="G48" s="62">
        <f>IF(B48&lt;Time!$B$2,"",IF(F48='Month summary'!$C$11,'Month summary'!$F$2/24,IF(F48="H/2",'Month summary'!$F$2/24/2,0)))</f>
        <v>0.33333333333333331</v>
      </c>
      <c r="H48" s="62">
        <f t="shared" si="4"/>
        <v>0</v>
      </c>
      <c r="I48" s="62" t="str">
        <f t="shared" si="5"/>
        <v/>
      </c>
      <c r="J48" s="108"/>
      <c r="K48" s="63" t="str">
        <f>IFERROR(INDEX(TableTime[Time],MATCH(B48,TableTime[Date],0)),"")</f>
        <v/>
      </c>
      <c r="L48" s="62" t="str">
        <f>IF(SUMIFS(TableTime[Duration],TableTime[Date],B48,TableTime[Activity],Projects!$C$9)+SUMIFS(TableTime[Duration],TableTime[Date],B48,TableTime[Activity],Projects!$C$10)+SUMIFS(TableTime[Duration],TableTime[Date],B48,TableTime[Activity],Projects!$C$11)=0,"",SUMIFS(TableTime[Duration],TableTime[Date],B48,TableTime[Activity],Projects!$C$9)+SUMIFS(TableTime[Duration],TableTime[Date],B48,TableTime[Activity],Projects!$C$10)+SUMIFS(TableTime[Duration],TableTime[Date],B48,TableTime[Activity],Projects!$C$11))</f>
        <v/>
      </c>
      <c r="M48" s="62" t="str" cm="1">
        <f t="array" ref="M48">IFERROR(LOOKUP(2,1/(TableTime[Date]=B48),TableTime[Time]),"")</f>
        <v/>
      </c>
      <c r="N48" s="63" t="str">
        <f>IF(SUMIFS(TableTime[[Duration]:[Duration]],TableTime[[Date]:[Date]],$B48,TableTime[[Activity]:[Activity]],N$1)=0,"",SUMIFS(TableTime[[Duration]:[Duration]],TableTime[[Date]:[Date]],$B48,TableTime[[Activity]:[Activity]],N$1))</f>
        <v/>
      </c>
      <c r="O48" s="62" t="str">
        <f>IF(SUMIFS(TableTime[[Duration]:[Duration]],TableTime[[Date]:[Date]],$B48,TableTime[[Activity]:[Activity]],O$1)=0,"",SUMIFS(TableTime[[Duration]:[Duration]],TableTime[[Date]:[Date]],$B48,TableTime[[Activity]:[Activity]],O$1))</f>
        <v/>
      </c>
      <c r="P48" s="62" t="str">
        <f>IF(SUMIFS(TableTime[[Duration]:[Duration]],TableTime[[Date]:[Date]],$B48,TableTime[[Activity]:[Activity]],P$1)=0,"",SUMIFS(TableTime[[Duration]:[Duration]],TableTime[[Date]:[Date]],$B48,TableTime[[Activity]:[Activity]],P$1))</f>
        <v/>
      </c>
      <c r="Q48" s="62" t="str">
        <f>IF(SUMIFS(TableTime[[Duration]:[Duration]],TableTime[[Date]:[Date]],$B48,TableTime[[Activity]:[Activity]],Q$1)=0,"",SUMIFS(TableTime[[Duration]:[Duration]],TableTime[[Date]:[Date]],$B48,TableTime[[Activity]:[Activity]],Q$1))</f>
        <v/>
      </c>
      <c r="R48" s="62" t="str">
        <f>IF(SUMIFS(TableTime[[Duration]:[Duration]],TableTime[[Date]:[Date]],$B48,TableTime[[Activity]:[Activity]],R$1)=0,"",SUMIFS(TableTime[[Duration]:[Duration]],TableTime[[Date]:[Date]],$B48,TableTime[[Activity]:[Activity]],R$1))</f>
        <v/>
      </c>
      <c r="S48" s="131" t="str">
        <f>IF(SUMIFS(TableTime[[Duration]:[Duration]],TableTime[[Date]:[Date]],$B48,TableTime[[Activity]:[Activity]],S$1)=0,"",SUMIFS(TableTime[[Duration]:[Duration]],TableTime[[Date]:[Date]],$B48,TableTime[[Activity]:[Activity]],S$1))</f>
        <v/>
      </c>
      <c r="T48" s="62" t="str">
        <f>IF(SUMIFS(TableTime[[Duration]:[Duration]],TableTime[[Date]:[Date]],$B48,TableTime[[Activity]:[Activity]],T$1)=0,"",SUMIFS(TableTime[[Duration]:[Duration]],TableTime[[Date]:[Date]],$B48,TableTime[[Activity]:[Activity]],T$1))</f>
        <v/>
      </c>
      <c r="U48" s="64" t="str">
        <f>IF(SUMIFS(TableTime[[Duration]:[Duration]],TableTime[[Date]:[Date]],$B48,TableTime[[Activity]:[Activity]],U$1)=0,"",SUMIFS(TableTime[[Duration]:[Duration]],TableTime[[Date]:[Date]],$B48,TableTime[[Activity]:[Activity]],U$1))</f>
        <v/>
      </c>
    </row>
    <row r="49" spans="1:21" x14ac:dyDescent="0.35">
      <c r="A49" s="35" t="str">
        <f t="shared" si="0"/>
        <v>Fri</v>
      </c>
      <c r="B49" s="5">
        <f t="shared" si="2"/>
        <v>44974</v>
      </c>
      <c r="C49" s="1">
        <f t="shared" si="3"/>
        <v>2</v>
      </c>
      <c r="D49" s="2">
        <f t="shared" si="1"/>
        <v>7</v>
      </c>
      <c r="E49" s="102"/>
      <c r="F49" s="1" t="str">
        <f>IFERROR(IF(OR(WEEKDAY(B49,2)=6,WEEKDAY(B49,2)=7),'Month summary'!$D$11,IF(E49="",'Month summary'!$C$11,E49)),"")</f>
        <v>W</v>
      </c>
      <c r="G49" s="4">
        <f>IF(B49&lt;Time!$B$2,"",IF(F49='Month summary'!$C$11,'Month summary'!$F$2/24,IF(F49="H/2",'Month summary'!$F$2/24/2,0)))</f>
        <v>0.33333333333333331</v>
      </c>
      <c r="H49" s="4">
        <f t="shared" si="4"/>
        <v>0</v>
      </c>
      <c r="I49" s="4" t="str">
        <f t="shared" si="5"/>
        <v/>
      </c>
      <c r="J49" s="107"/>
      <c r="K49" s="38" t="str">
        <f>IFERROR(INDEX(TableTime[Time],MATCH(B49,TableTime[Date],0)),"")</f>
        <v/>
      </c>
      <c r="L49" s="4" t="str">
        <f>IF(SUMIFS(TableTime[Duration],TableTime[Date],B49,TableTime[Activity],Projects!$C$9)+SUMIFS(TableTime[Duration],TableTime[Date],B49,TableTime[Activity],Projects!$C$10)+SUMIFS(TableTime[Duration],TableTime[Date],B49,TableTime[Activity],Projects!$C$11)=0,"",SUMIFS(TableTime[Duration],TableTime[Date],B49,TableTime[Activity],Projects!$C$9)+SUMIFS(TableTime[Duration],TableTime[Date],B49,TableTime[Activity],Projects!$C$10)+SUMIFS(TableTime[Duration],TableTime[Date],B49,TableTime[Activity],Projects!$C$11))</f>
        <v/>
      </c>
      <c r="M49" s="4" t="str" cm="1">
        <f t="array" ref="M49">IFERROR(LOOKUP(2,1/(TableTime[Date]=B49),TableTime[Time]),"")</f>
        <v/>
      </c>
      <c r="N49" s="38" t="str">
        <f>IF(SUMIFS(TableTime[[Duration]:[Duration]],TableTime[[Date]:[Date]],$B49,TableTime[[Activity]:[Activity]],N$1)=0,"",SUMIFS(TableTime[[Duration]:[Duration]],TableTime[[Date]:[Date]],$B49,TableTime[[Activity]:[Activity]],N$1))</f>
        <v/>
      </c>
      <c r="O49" s="4" t="str">
        <f>IF(SUMIFS(TableTime[[Duration]:[Duration]],TableTime[[Date]:[Date]],$B49,TableTime[[Activity]:[Activity]],O$1)=0,"",SUMIFS(TableTime[[Duration]:[Duration]],TableTime[[Date]:[Date]],$B49,TableTime[[Activity]:[Activity]],O$1))</f>
        <v/>
      </c>
      <c r="P49" s="4" t="str">
        <f>IF(SUMIFS(TableTime[[Duration]:[Duration]],TableTime[[Date]:[Date]],$B49,TableTime[[Activity]:[Activity]],P$1)=0,"",SUMIFS(TableTime[[Duration]:[Duration]],TableTime[[Date]:[Date]],$B49,TableTime[[Activity]:[Activity]],P$1))</f>
        <v/>
      </c>
      <c r="Q49" s="4" t="str">
        <f>IF(SUMIFS(TableTime[[Duration]:[Duration]],TableTime[[Date]:[Date]],$B49,TableTime[[Activity]:[Activity]],Q$1)=0,"",SUMIFS(TableTime[[Duration]:[Duration]],TableTime[[Date]:[Date]],$B49,TableTime[[Activity]:[Activity]],Q$1))</f>
        <v/>
      </c>
      <c r="R49" s="4" t="str">
        <f>IF(SUMIFS(TableTime[[Duration]:[Duration]],TableTime[[Date]:[Date]],$B49,TableTime[[Activity]:[Activity]],R$1)=0,"",SUMIFS(TableTime[[Duration]:[Duration]],TableTime[[Date]:[Date]],$B49,TableTime[[Activity]:[Activity]],R$1))</f>
        <v/>
      </c>
      <c r="S49" s="130" t="str">
        <f>IF(SUMIFS(TableTime[[Duration]:[Duration]],TableTime[[Date]:[Date]],$B49,TableTime[[Activity]:[Activity]],S$1)=0,"",SUMIFS(TableTime[[Duration]:[Duration]],TableTime[[Date]:[Date]],$B49,TableTime[[Activity]:[Activity]],S$1))</f>
        <v/>
      </c>
      <c r="T49" s="4" t="str">
        <f>IF(SUMIFS(TableTime[[Duration]:[Duration]],TableTime[[Date]:[Date]],$B49,TableTime[[Activity]:[Activity]],T$1)=0,"",SUMIFS(TableTime[[Duration]:[Duration]],TableTime[[Date]:[Date]],$B49,TableTime[[Activity]:[Activity]],T$1))</f>
        <v/>
      </c>
      <c r="U49" s="39" t="str">
        <f>IF(SUMIFS(TableTime[[Duration]:[Duration]],TableTime[[Date]:[Date]],$B49,TableTime[[Activity]:[Activity]],U$1)=0,"",SUMIFS(TableTime[[Duration]:[Duration]],TableTime[[Date]:[Date]],$B49,TableTime[[Activity]:[Activity]],U$1))</f>
        <v/>
      </c>
    </row>
    <row r="50" spans="1:21" x14ac:dyDescent="0.35">
      <c r="A50" s="59" t="str">
        <f t="shared" si="0"/>
        <v>Sat</v>
      </c>
      <c r="B50" s="91">
        <f t="shared" si="2"/>
        <v>44975</v>
      </c>
      <c r="C50" s="60">
        <f t="shared" si="3"/>
        <v>2</v>
      </c>
      <c r="D50" s="61">
        <f t="shared" si="1"/>
        <v>7</v>
      </c>
      <c r="E50" s="103"/>
      <c r="F50" s="60" t="str">
        <f>IFERROR(IF(OR(WEEKDAY(B50,2)=6,WEEKDAY(B50,2)=7),'Month summary'!$D$11,IF(E50="",'Month summary'!$C$11,E50)),"")</f>
        <v>WE</v>
      </c>
      <c r="G50" s="62">
        <f>IF(B50&lt;Time!$B$2,"",IF(F50='Month summary'!$C$11,'Month summary'!$F$2/24,IF(F50="H/2",'Month summary'!$F$2/24/2,0)))</f>
        <v>0</v>
      </c>
      <c r="H50" s="62">
        <f t="shared" si="4"/>
        <v>0</v>
      </c>
      <c r="I50" s="62" t="str">
        <f t="shared" si="5"/>
        <v/>
      </c>
      <c r="J50" s="108"/>
      <c r="K50" s="63" t="str">
        <f>IFERROR(INDEX(TableTime[Time],MATCH(B50,TableTime[Date],0)),"")</f>
        <v/>
      </c>
      <c r="L50" s="62" t="str">
        <f>IF(SUMIFS(TableTime[Duration],TableTime[Date],B50,TableTime[Activity],Projects!$C$9)+SUMIFS(TableTime[Duration],TableTime[Date],B50,TableTime[Activity],Projects!$C$10)+SUMIFS(TableTime[Duration],TableTime[Date],B50,TableTime[Activity],Projects!$C$11)=0,"",SUMIFS(TableTime[Duration],TableTime[Date],B50,TableTime[Activity],Projects!$C$9)+SUMIFS(TableTime[Duration],TableTime[Date],B50,TableTime[Activity],Projects!$C$10)+SUMIFS(TableTime[Duration],TableTime[Date],B50,TableTime[Activity],Projects!$C$11))</f>
        <v/>
      </c>
      <c r="M50" s="62" t="str" cm="1">
        <f t="array" ref="M50">IFERROR(LOOKUP(2,1/(TableTime[Date]=B50),TableTime[Time]),"")</f>
        <v/>
      </c>
      <c r="N50" s="63" t="str">
        <f>IF(SUMIFS(TableTime[[Duration]:[Duration]],TableTime[[Date]:[Date]],$B50,TableTime[[Activity]:[Activity]],N$1)=0,"",SUMIFS(TableTime[[Duration]:[Duration]],TableTime[[Date]:[Date]],$B50,TableTime[[Activity]:[Activity]],N$1))</f>
        <v/>
      </c>
      <c r="O50" s="62" t="str">
        <f>IF(SUMIFS(TableTime[[Duration]:[Duration]],TableTime[[Date]:[Date]],$B50,TableTime[[Activity]:[Activity]],O$1)=0,"",SUMIFS(TableTime[[Duration]:[Duration]],TableTime[[Date]:[Date]],$B50,TableTime[[Activity]:[Activity]],O$1))</f>
        <v/>
      </c>
      <c r="P50" s="62" t="str">
        <f>IF(SUMIFS(TableTime[[Duration]:[Duration]],TableTime[[Date]:[Date]],$B50,TableTime[[Activity]:[Activity]],P$1)=0,"",SUMIFS(TableTime[[Duration]:[Duration]],TableTime[[Date]:[Date]],$B50,TableTime[[Activity]:[Activity]],P$1))</f>
        <v/>
      </c>
      <c r="Q50" s="62" t="str">
        <f>IF(SUMIFS(TableTime[[Duration]:[Duration]],TableTime[[Date]:[Date]],$B50,TableTime[[Activity]:[Activity]],Q$1)=0,"",SUMIFS(TableTime[[Duration]:[Duration]],TableTime[[Date]:[Date]],$B50,TableTime[[Activity]:[Activity]],Q$1))</f>
        <v/>
      </c>
      <c r="R50" s="62" t="str">
        <f>IF(SUMIFS(TableTime[[Duration]:[Duration]],TableTime[[Date]:[Date]],$B50,TableTime[[Activity]:[Activity]],R$1)=0,"",SUMIFS(TableTime[[Duration]:[Duration]],TableTime[[Date]:[Date]],$B50,TableTime[[Activity]:[Activity]],R$1))</f>
        <v/>
      </c>
      <c r="S50" s="131" t="str">
        <f>IF(SUMIFS(TableTime[[Duration]:[Duration]],TableTime[[Date]:[Date]],$B50,TableTime[[Activity]:[Activity]],S$1)=0,"",SUMIFS(TableTime[[Duration]:[Duration]],TableTime[[Date]:[Date]],$B50,TableTime[[Activity]:[Activity]],S$1))</f>
        <v/>
      </c>
      <c r="T50" s="62" t="str">
        <f>IF(SUMIFS(TableTime[[Duration]:[Duration]],TableTime[[Date]:[Date]],$B50,TableTime[[Activity]:[Activity]],T$1)=0,"",SUMIFS(TableTime[[Duration]:[Duration]],TableTime[[Date]:[Date]],$B50,TableTime[[Activity]:[Activity]],T$1))</f>
        <v/>
      </c>
      <c r="U50" s="64" t="str">
        <f>IF(SUMIFS(TableTime[[Duration]:[Duration]],TableTime[[Date]:[Date]],$B50,TableTime[[Activity]:[Activity]],U$1)=0,"",SUMIFS(TableTime[[Duration]:[Duration]],TableTime[[Date]:[Date]],$B50,TableTime[[Activity]:[Activity]],U$1))</f>
        <v/>
      </c>
    </row>
    <row r="51" spans="1:21" x14ac:dyDescent="0.35">
      <c r="A51" s="35" t="str">
        <f t="shared" si="0"/>
        <v>Sun</v>
      </c>
      <c r="B51" s="5">
        <f t="shared" si="2"/>
        <v>44976</v>
      </c>
      <c r="C51" s="1">
        <f t="shared" si="3"/>
        <v>2</v>
      </c>
      <c r="D51" s="2">
        <f t="shared" si="1"/>
        <v>7</v>
      </c>
      <c r="E51" s="102"/>
      <c r="F51" s="1" t="str">
        <f>IFERROR(IF(OR(WEEKDAY(B51,2)=6,WEEKDAY(B51,2)=7),'Month summary'!$D$11,IF(E51="",'Month summary'!$C$11,E51)),"")</f>
        <v>WE</v>
      </c>
      <c r="G51" s="4">
        <f>IF(B51&lt;Time!$B$2,"",IF(F51='Month summary'!$C$11,'Month summary'!$F$2/24,IF(F51="H/2",'Month summary'!$F$2/24/2,0)))</f>
        <v>0</v>
      </c>
      <c r="H51" s="4">
        <f t="shared" si="4"/>
        <v>0</v>
      </c>
      <c r="I51" s="4" t="str">
        <f t="shared" si="5"/>
        <v/>
      </c>
      <c r="J51" s="107"/>
      <c r="K51" s="38" t="str">
        <f>IFERROR(INDEX(TableTime[Time],MATCH(B51,TableTime[Date],0)),"")</f>
        <v/>
      </c>
      <c r="L51" s="4" t="str">
        <f>IF(SUMIFS(TableTime[Duration],TableTime[Date],B51,TableTime[Activity],Projects!$C$9)+SUMIFS(TableTime[Duration],TableTime[Date],B51,TableTime[Activity],Projects!$C$10)+SUMIFS(TableTime[Duration],TableTime[Date],B51,TableTime[Activity],Projects!$C$11)=0,"",SUMIFS(TableTime[Duration],TableTime[Date],B51,TableTime[Activity],Projects!$C$9)+SUMIFS(TableTime[Duration],TableTime[Date],B51,TableTime[Activity],Projects!$C$10)+SUMIFS(TableTime[Duration],TableTime[Date],B51,TableTime[Activity],Projects!$C$11))</f>
        <v/>
      </c>
      <c r="M51" s="4" t="str" cm="1">
        <f t="array" ref="M51">IFERROR(LOOKUP(2,1/(TableTime[Date]=B51),TableTime[Time]),"")</f>
        <v/>
      </c>
      <c r="N51" s="38" t="str">
        <f>IF(SUMIFS(TableTime[[Duration]:[Duration]],TableTime[[Date]:[Date]],$B51,TableTime[[Activity]:[Activity]],N$1)=0,"",SUMIFS(TableTime[[Duration]:[Duration]],TableTime[[Date]:[Date]],$B51,TableTime[[Activity]:[Activity]],N$1))</f>
        <v/>
      </c>
      <c r="O51" s="4" t="str">
        <f>IF(SUMIFS(TableTime[[Duration]:[Duration]],TableTime[[Date]:[Date]],$B51,TableTime[[Activity]:[Activity]],O$1)=0,"",SUMIFS(TableTime[[Duration]:[Duration]],TableTime[[Date]:[Date]],$B51,TableTime[[Activity]:[Activity]],O$1))</f>
        <v/>
      </c>
      <c r="P51" s="4" t="str">
        <f>IF(SUMIFS(TableTime[[Duration]:[Duration]],TableTime[[Date]:[Date]],$B51,TableTime[[Activity]:[Activity]],P$1)=0,"",SUMIFS(TableTime[[Duration]:[Duration]],TableTime[[Date]:[Date]],$B51,TableTime[[Activity]:[Activity]],P$1))</f>
        <v/>
      </c>
      <c r="Q51" s="4" t="str">
        <f>IF(SUMIFS(TableTime[[Duration]:[Duration]],TableTime[[Date]:[Date]],$B51,TableTime[[Activity]:[Activity]],Q$1)=0,"",SUMIFS(TableTime[[Duration]:[Duration]],TableTime[[Date]:[Date]],$B51,TableTime[[Activity]:[Activity]],Q$1))</f>
        <v/>
      </c>
      <c r="R51" s="4" t="str">
        <f>IF(SUMIFS(TableTime[[Duration]:[Duration]],TableTime[[Date]:[Date]],$B51,TableTime[[Activity]:[Activity]],R$1)=0,"",SUMIFS(TableTime[[Duration]:[Duration]],TableTime[[Date]:[Date]],$B51,TableTime[[Activity]:[Activity]],R$1))</f>
        <v/>
      </c>
      <c r="S51" s="130" t="str">
        <f>IF(SUMIFS(TableTime[[Duration]:[Duration]],TableTime[[Date]:[Date]],$B51,TableTime[[Activity]:[Activity]],S$1)=0,"",SUMIFS(TableTime[[Duration]:[Duration]],TableTime[[Date]:[Date]],$B51,TableTime[[Activity]:[Activity]],S$1))</f>
        <v/>
      </c>
      <c r="T51" s="4" t="str">
        <f>IF(SUMIFS(TableTime[[Duration]:[Duration]],TableTime[[Date]:[Date]],$B51,TableTime[[Activity]:[Activity]],T$1)=0,"",SUMIFS(TableTime[[Duration]:[Duration]],TableTime[[Date]:[Date]],$B51,TableTime[[Activity]:[Activity]],T$1))</f>
        <v/>
      </c>
      <c r="U51" s="39" t="str">
        <f>IF(SUMIFS(TableTime[[Duration]:[Duration]],TableTime[[Date]:[Date]],$B51,TableTime[[Activity]:[Activity]],U$1)=0,"",SUMIFS(TableTime[[Duration]:[Duration]],TableTime[[Date]:[Date]],$B51,TableTime[[Activity]:[Activity]],U$1))</f>
        <v/>
      </c>
    </row>
    <row r="52" spans="1:21" x14ac:dyDescent="0.35">
      <c r="A52" s="59" t="str">
        <f t="shared" si="0"/>
        <v>Mon</v>
      </c>
      <c r="B52" s="91">
        <f t="shared" si="2"/>
        <v>44977</v>
      </c>
      <c r="C52" s="60">
        <f t="shared" si="3"/>
        <v>2</v>
      </c>
      <c r="D52" s="61">
        <f t="shared" si="1"/>
        <v>8</v>
      </c>
      <c r="E52" s="103"/>
      <c r="F52" s="60" t="str">
        <f>IFERROR(IF(OR(WEEKDAY(B52,2)=6,WEEKDAY(B52,2)=7),'Month summary'!$D$11,IF(E52="",'Month summary'!$C$11,E52)),"")</f>
        <v>W</v>
      </c>
      <c r="G52" s="62">
        <f>IF(B52&lt;Time!$B$2,"",IF(F52='Month summary'!$C$11,'Month summary'!$F$2/24,IF(F52="H/2",'Month summary'!$F$2/24/2,0)))</f>
        <v>0.33333333333333331</v>
      </c>
      <c r="H52" s="62">
        <f t="shared" si="4"/>
        <v>0</v>
      </c>
      <c r="I52" s="62" t="str">
        <f t="shared" si="5"/>
        <v/>
      </c>
      <c r="J52" s="108"/>
      <c r="K52" s="63" t="str">
        <f>IFERROR(INDEX(TableTime[Time],MATCH(B52,TableTime[Date],0)),"")</f>
        <v/>
      </c>
      <c r="L52" s="62" t="str">
        <f>IF(SUMIFS(TableTime[Duration],TableTime[Date],B52,TableTime[Activity],Projects!$C$9)+SUMIFS(TableTime[Duration],TableTime[Date],B52,TableTime[Activity],Projects!$C$10)+SUMIFS(TableTime[Duration],TableTime[Date],B52,TableTime[Activity],Projects!$C$11)=0,"",SUMIFS(TableTime[Duration],TableTime[Date],B52,TableTime[Activity],Projects!$C$9)+SUMIFS(TableTime[Duration],TableTime[Date],B52,TableTime[Activity],Projects!$C$10)+SUMIFS(TableTime[Duration],TableTime[Date],B52,TableTime[Activity],Projects!$C$11))</f>
        <v/>
      </c>
      <c r="M52" s="62" t="str" cm="1">
        <f t="array" ref="M52">IFERROR(LOOKUP(2,1/(TableTime[Date]=B52),TableTime[Time]),"")</f>
        <v/>
      </c>
      <c r="N52" s="63" t="str">
        <f>IF(SUMIFS(TableTime[[Duration]:[Duration]],TableTime[[Date]:[Date]],$B52,TableTime[[Activity]:[Activity]],N$1)=0,"",SUMIFS(TableTime[[Duration]:[Duration]],TableTime[[Date]:[Date]],$B52,TableTime[[Activity]:[Activity]],N$1))</f>
        <v/>
      </c>
      <c r="O52" s="62" t="str">
        <f>IF(SUMIFS(TableTime[[Duration]:[Duration]],TableTime[[Date]:[Date]],$B52,TableTime[[Activity]:[Activity]],O$1)=0,"",SUMIFS(TableTime[[Duration]:[Duration]],TableTime[[Date]:[Date]],$B52,TableTime[[Activity]:[Activity]],O$1))</f>
        <v/>
      </c>
      <c r="P52" s="62" t="str">
        <f>IF(SUMIFS(TableTime[[Duration]:[Duration]],TableTime[[Date]:[Date]],$B52,TableTime[[Activity]:[Activity]],P$1)=0,"",SUMIFS(TableTime[[Duration]:[Duration]],TableTime[[Date]:[Date]],$B52,TableTime[[Activity]:[Activity]],P$1))</f>
        <v/>
      </c>
      <c r="Q52" s="62" t="str">
        <f>IF(SUMIFS(TableTime[[Duration]:[Duration]],TableTime[[Date]:[Date]],$B52,TableTime[[Activity]:[Activity]],Q$1)=0,"",SUMIFS(TableTime[[Duration]:[Duration]],TableTime[[Date]:[Date]],$B52,TableTime[[Activity]:[Activity]],Q$1))</f>
        <v/>
      </c>
      <c r="R52" s="62" t="str">
        <f>IF(SUMIFS(TableTime[[Duration]:[Duration]],TableTime[[Date]:[Date]],$B52,TableTime[[Activity]:[Activity]],R$1)=0,"",SUMIFS(TableTime[[Duration]:[Duration]],TableTime[[Date]:[Date]],$B52,TableTime[[Activity]:[Activity]],R$1))</f>
        <v/>
      </c>
      <c r="S52" s="131" t="str">
        <f>IF(SUMIFS(TableTime[[Duration]:[Duration]],TableTime[[Date]:[Date]],$B52,TableTime[[Activity]:[Activity]],S$1)=0,"",SUMIFS(TableTime[[Duration]:[Duration]],TableTime[[Date]:[Date]],$B52,TableTime[[Activity]:[Activity]],S$1))</f>
        <v/>
      </c>
      <c r="T52" s="62" t="str">
        <f>IF(SUMIFS(TableTime[[Duration]:[Duration]],TableTime[[Date]:[Date]],$B52,TableTime[[Activity]:[Activity]],T$1)=0,"",SUMIFS(TableTime[[Duration]:[Duration]],TableTime[[Date]:[Date]],$B52,TableTime[[Activity]:[Activity]],T$1))</f>
        <v/>
      </c>
      <c r="U52" s="64" t="str">
        <f>IF(SUMIFS(TableTime[[Duration]:[Duration]],TableTime[[Date]:[Date]],$B52,TableTime[[Activity]:[Activity]],U$1)=0,"",SUMIFS(TableTime[[Duration]:[Duration]],TableTime[[Date]:[Date]],$B52,TableTime[[Activity]:[Activity]],U$1))</f>
        <v/>
      </c>
    </row>
    <row r="53" spans="1:21" x14ac:dyDescent="0.35">
      <c r="A53" s="35" t="str">
        <f t="shared" si="0"/>
        <v>Tue</v>
      </c>
      <c r="B53" s="5">
        <f t="shared" si="2"/>
        <v>44978</v>
      </c>
      <c r="C53" s="1">
        <f t="shared" si="3"/>
        <v>2</v>
      </c>
      <c r="D53" s="2">
        <f t="shared" si="1"/>
        <v>8</v>
      </c>
      <c r="E53" s="102"/>
      <c r="F53" s="1" t="str">
        <f>IFERROR(IF(OR(WEEKDAY(B53,2)=6,WEEKDAY(B53,2)=7),'Month summary'!$D$11,IF(E53="",'Month summary'!$C$11,E53)),"")</f>
        <v>W</v>
      </c>
      <c r="G53" s="4">
        <f>IF(B53&lt;Time!$B$2,"",IF(F53='Month summary'!$C$11,'Month summary'!$F$2/24,IF(F53="H/2",'Month summary'!$F$2/24/2,0)))</f>
        <v>0.33333333333333331</v>
      </c>
      <c r="H53" s="4">
        <f t="shared" si="4"/>
        <v>0</v>
      </c>
      <c r="I53" s="4" t="str">
        <f t="shared" si="5"/>
        <v/>
      </c>
      <c r="J53" s="107"/>
      <c r="K53" s="38" t="str">
        <f>IFERROR(INDEX(TableTime[Time],MATCH(B53,TableTime[Date],0)),"")</f>
        <v/>
      </c>
      <c r="L53" s="4" t="str">
        <f>IF(SUMIFS(TableTime[Duration],TableTime[Date],B53,TableTime[Activity],Projects!$C$9)+SUMIFS(TableTime[Duration],TableTime[Date],B53,TableTime[Activity],Projects!$C$10)+SUMIFS(TableTime[Duration],TableTime[Date],B53,TableTime[Activity],Projects!$C$11)=0,"",SUMIFS(TableTime[Duration],TableTime[Date],B53,TableTime[Activity],Projects!$C$9)+SUMIFS(TableTime[Duration],TableTime[Date],B53,TableTime[Activity],Projects!$C$10)+SUMIFS(TableTime[Duration],TableTime[Date],B53,TableTime[Activity],Projects!$C$11))</f>
        <v/>
      </c>
      <c r="M53" s="4" t="str" cm="1">
        <f t="array" ref="M53">IFERROR(LOOKUP(2,1/(TableTime[Date]=B53),TableTime[Time]),"")</f>
        <v/>
      </c>
      <c r="N53" s="38" t="str">
        <f>IF(SUMIFS(TableTime[[Duration]:[Duration]],TableTime[[Date]:[Date]],$B53,TableTime[[Activity]:[Activity]],N$1)=0,"",SUMIFS(TableTime[[Duration]:[Duration]],TableTime[[Date]:[Date]],$B53,TableTime[[Activity]:[Activity]],N$1))</f>
        <v/>
      </c>
      <c r="O53" s="4" t="str">
        <f>IF(SUMIFS(TableTime[[Duration]:[Duration]],TableTime[[Date]:[Date]],$B53,TableTime[[Activity]:[Activity]],O$1)=0,"",SUMIFS(TableTime[[Duration]:[Duration]],TableTime[[Date]:[Date]],$B53,TableTime[[Activity]:[Activity]],O$1))</f>
        <v/>
      </c>
      <c r="P53" s="4" t="str">
        <f>IF(SUMIFS(TableTime[[Duration]:[Duration]],TableTime[[Date]:[Date]],$B53,TableTime[[Activity]:[Activity]],P$1)=0,"",SUMIFS(TableTime[[Duration]:[Duration]],TableTime[[Date]:[Date]],$B53,TableTime[[Activity]:[Activity]],P$1))</f>
        <v/>
      </c>
      <c r="Q53" s="4" t="str">
        <f>IF(SUMIFS(TableTime[[Duration]:[Duration]],TableTime[[Date]:[Date]],$B53,TableTime[[Activity]:[Activity]],Q$1)=0,"",SUMIFS(TableTime[[Duration]:[Duration]],TableTime[[Date]:[Date]],$B53,TableTime[[Activity]:[Activity]],Q$1))</f>
        <v/>
      </c>
      <c r="R53" s="4" t="str">
        <f>IF(SUMIFS(TableTime[[Duration]:[Duration]],TableTime[[Date]:[Date]],$B53,TableTime[[Activity]:[Activity]],R$1)=0,"",SUMIFS(TableTime[[Duration]:[Duration]],TableTime[[Date]:[Date]],$B53,TableTime[[Activity]:[Activity]],R$1))</f>
        <v/>
      </c>
      <c r="S53" s="130" t="str">
        <f>IF(SUMIFS(TableTime[[Duration]:[Duration]],TableTime[[Date]:[Date]],$B53,TableTime[[Activity]:[Activity]],S$1)=0,"",SUMIFS(TableTime[[Duration]:[Duration]],TableTime[[Date]:[Date]],$B53,TableTime[[Activity]:[Activity]],S$1))</f>
        <v/>
      </c>
      <c r="T53" s="4" t="str">
        <f>IF(SUMIFS(TableTime[[Duration]:[Duration]],TableTime[[Date]:[Date]],$B53,TableTime[[Activity]:[Activity]],T$1)=0,"",SUMIFS(TableTime[[Duration]:[Duration]],TableTime[[Date]:[Date]],$B53,TableTime[[Activity]:[Activity]],T$1))</f>
        <v/>
      </c>
      <c r="U53" s="39" t="str">
        <f>IF(SUMIFS(TableTime[[Duration]:[Duration]],TableTime[[Date]:[Date]],$B53,TableTime[[Activity]:[Activity]],U$1)=0,"",SUMIFS(TableTime[[Duration]:[Duration]],TableTime[[Date]:[Date]],$B53,TableTime[[Activity]:[Activity]],U$1))</f>
        <v/>
      </c>
    </row>
    <row r="54" spans="1:21" x14ac:dyDescent="0.35">
      <c r="A54" s="59" t="str">
        <f t="shared" si="0"/>
        <v>Wed</v>
      </c>
      <c r="B54" s="91">
        <f t="shared" si="2"/>
        <v>44979</v>
      </c>
      <c r="C54" s="60">
        <f t="shared" si="3"/>
        <v>2</v>
      </c>
      <c r="D54" s="61">
        <f t="shared" si="1"/>
        <v>8</v>
      </c>
      <c r="E54" s="103"/>
      <c r="F54" s="60" t="str">
        <f>IFERROR(IF(OR(WEEKDAY(B54,2)=6,WEEKDAY(B54,2)=7),'Month summary'!$D$11,IF(E54="",'Month summary'!$C$11,E54)),"")</f>
        <v>W</v>
      </c>
      <c r="G54" s="62">
        <f>IF(B54&lt;Time!$B$2,"",IF(F54='Month summary'!$C$11,'Month summary'!$F$2/24,IF(F54="H/2",'Month summary'!$F$2/24/2,0)))</f>
        <v>0.33333333333333331</v>
      </c>
      <c r="H54" s="62">
        <f t="shared" si="4"/>
        <v>0</v>
      </c>
      <c r="I54" s="62" t="str">
        <f t="shared" si="5"/>
        <v/>
      </c>
      <c r="J54" s="108"/>
      <c r="K54" s="63" t="str">
        <f>IFERROR(INDEX(TableTime[Time],MATCH(B54,TableTime[Date],0)),"")</f>
        <v/>
      </c>
      <c r="L54" s="62" t="str">
        <f>IF(SUMIFS(TableTime[Duration],TableTime[Date],B54,TableTime[Activity],Projects!$C$9)+SUMIFS(TableTime[Duration],TableTime[Date],B54,TableTime[Activity],Projects!$C$10)+SUMIFS(TableTime[Duration],TableTime[Date],B54,TableTime[Activity],Projects!$C$11)=0,"",SUMIFS(TableTime[Duration],TableTime[Date],B54,TableTime[Activity],Projects!$C$9)+SUMIFS(TableTime[Duration],TableTime[Date],B54,TableTime[Activity],Projects!$C$10)+SUMIFS(TableTime[Duration],TableTime[Date],B54,TableTime[Activity],Projects!$C$11))</f>
        <v/>
      </c>
      <c r="M54" s="62" t="str" cm="1">
        <f t="array" ref="M54">IFERROR(LOOKUP(2,1/(TableTime[Date]=B54),TableTime[Time]),"")</f>
        <v/>
      </c>
      <c r="N54" s="63" t="str">
        <f>IF(SUMIFS(TableTime[[Duration]:[Duration]],TableTime[[Date]:[Date]],$B54,TableTime[[Activity]:[Activity]],N$1)=0,"",SUMIFS(TableTime[[Duration]:[Duration]],TableTime[[Date]:[Date]],$B54,TableTime[[Activity]:[Activity]],N$1))</f>
        <v/>
      </c>
      <c r="O54" s="62" t="str">
        <f>IF(SUMIFS(TableTime[[Duration]:[Duration]],TableTime[[Date]:[Date]],$B54,TableTime[[Activity]:[Activity]],O$1)=0,"",SUMIFS(TableTime[[Duration]:[Duration]],TableTime[[Date]:[Date]],$B54,TableTime[[Activity]:[Activity]],O$1))</f>
        <v/>
      </c>
      <c r="P54" s="62" t="str">
        <f>IF(SUMIFS(TableTime[[Duration]:[Duration]],TableTime[[Date]:[Date]],$B54,TableTime[[Activity]:[Activity]],P$1)=0,"",SUMIFS(TableTime[[Duration]:[Duration]],TableTime[[Date]:[Date]],$B54,TableTime[[Activity]:[Activity]],P$1))</f>
        <v/>
      </c>
      <c r="Q54" s="62" t="str">
        <f>IF(SUMIFS(TableTime[[Duration]:[Duration]],TableTime[[Date]:[Date]],$B54,TableTime[[Activity]:[Activity]],Q$1)=0,"",SUMIFS(TableTime[[Duration]:[Duration]],TableTime[[Date]:[Date]],$B54,TableTime[[Activity]:[Activity]],Q$1))</f>
        <v/>
      </c>
      <c r="R54" s="62" t="str">
        <f>IF(SUMIFS(TableTime[[Duration]:[Duration]],TableTime[[Date]:[Date]],$B54,TableTime[[Activity]:[Activity]],R$1)=0,"",SUMIFS(TableTime[[Duration]:[Duration]],TableTime[[Date]:[Date]],$B54,TableTime[[Activity]:[Activity]],R$1))</f>
        <v/>
      </c>
      <c r="S54" s="131" t="str">
        <f>IF(SUMIFS(TableTime[[Duration]:[Duration]],TableTime[[Date]:[Date]],$B54,TableTime[[Activity]:[Activity]],S$1)=0,"",SUMIFS(TableTime[[Duration]:[Duration]],TableTime[[Date]:[Date]],$B54,TableTime[[Activity]:[Activity]],S$1))</f>
        <v/>
      </c>
      <c r="T54" s="62" t="str">
        <f>IF(SUMIFS(TableTime[[Duration]:[Duration]],TableTime[[Date]:[Date]],$B54,TableTime[[Activity]:[Activity]],T$1)=0,"",SUMIFS(TableTime[[Duration]:[Duration]],TableTime[[Date]:[Date]],$B54,TableTime[[Activity]:[Activity]],T$1))</f>
        <v/>
      </c>
      <c r="U54" s="64" t="str">
        <f>IF(SUMIFS(TableTime[[Duration]:[Duration]],TableTime[[Date]:[Date]],$B54,TableTime[[Activity]:[Activity]],U$1)=0,"",SUMIFS(TableTime[[Duration]:[Duration]],TableTime[[Date]:[Date]],$B54,TableTime[[Activity]:[Activity]],U$1))</f>
        <v/>
      </c>
    </row>
    <row r="55" spans="1:21" x14ac:dyDescent="0.35">
      <c r="A55" s="35" t="str">
        <f t="shared" si="0"/>
        <v>Thr</v>
      </c>
      <c r="B55" s="5">
        <f t="shared" si="2"/>
        <v>44980</v>
      </c>
      <c r="C55" s="1">
        <f t="shared" si="3"/>
        <v>2</v>
      </c>
      <c r="D55" s="2">
        <f t="shared" si="1"/>
        <v>8</v>
      </c>
      <c r="E55" s="102"/>
      <c r="F55" s="1" t="str">
        <f>IFERROR(IF(OR(WEEKDAY(B55,2)=6,WEEKDAY(B55,2)=7),'Month summary'!$D$11,IF(E55="",'Month summary'!$C$11,E55)),"")</f>
        <v>W</v>
      </c>
      <c r="G55" s="4">
        <f>IF(B55&lt;Time!$B$2,"",IF(F55='Month summary'!$C$11,'Month summary'!$F$2/24,IF(F55="H/2",'Month summary'!$F$2/24/2,0)))</f>
        <v>0.33333333333333331</v>
      </c>
      <c r="H55" s="4">
        <f t="shared" si="4"/>
        <v>0</v>
      </c>
      <c r="I55" s="4" t="str">
        <f t="shared" si="5"/>
        <v/>
      </c>
      <c r="J55" s="107"/>
      <c r="K55" s="38" t="str">
        <f>IFERROR(INDEX(TableTime[Time],MATCH(B55,TableTime[Date],0)),"")</f>
        <v/>
      </c>
      <c r="L55" s="4" t="str">
        <f>IF(SUMIFS(TableTime[Duration],TableTime[Date],B55,TableTime[Activity],Projects!$C$9)+SUMIFS(TableTime[Duration],TableTime[Date],B55,TableTime[Activity],Projects!$C$10)+SUMIFS(TableTime[Duration],TableTime[Date],B55,TableTime[Activity],Projects!$C$11)=0,"",SUMIFS(TableTime[Duration],TableTime[Date],B55,TableTime[Activity],Projects!$C$9)+SUMIFS(TableTime[Duration],TableTime[Date],B55,TableTime[Activity],Projects!$C$10)+SUMIFS(TableTime[Duration],TableTime[Date],B55,TableTime[Activity],Projects!$C$11))</f>
        <v/>
      </c>
      <c r="M55" s="4" t="str" cm="1">
        <f t="array" ref="M55">IFERROR(LOOKUP(2,1/(TableTime[Date]=B55),TableTime[Time]),"")</f>
        <v/>
      </c>
      <c r="N55" s="38" t="str">
        <f>IF(SUMIFS(TableTime[[Duration]:[Duration]],TableTime[[Date]:[Date]],$B55,TableTime[[Activity]:[Activity]],N$1)=0,"",SUMIFS(TableTime[[Duration]:[Duration]],TableTime[[Date]:[Date]],$B55,TableTime[[Activity]:[Activity]],N$1))</f>
        <v/>
      </c>
      <c r="O55" s="4" t="str">
        <f>IF(SUMIFS(TableTime[[Duration]:[Duration]],TableTime[[Date]:[Date]],$B55,TableTime[[Activity]:[Activity]],O$1)=0,"",SUMIFS(TableTime[[Duration]:[Duration]],TableTime[[Date]:[Date]],$B55,TableTime[[Activity]:[Activity]],O$1))</f>
        <v/>
      </c>
      <c r="P55" s="4" t="str">
        <f>IF(SUMIFS(TableTime[[Duration]:[Duration]],TableTime[[Date]:[Date]],$B55,TableTime[[Activity]:[Activity]],P$1)=0,"",SUMIFS(TableTime[[Duration]:[Duration]],TableTime[[Date]:[Date]],$B55,TableTime[[Activity]:[Activity]],P$1))</f>
        <v/>
      </c>
      <c r="Q55" s="4" t="str">
        <f>IF(SUMIFS(TableTime[[Duration]:[Duration]],TableTime[[Date]:[Date]],$B55,TableTime[[Activity]:[Activity]],Q$1)=0,"",SUMIFS(TableTime[[Duration]:[Duration]],TableTime[[Date]:[Date]],$B55,TableTime[[Activity]:[Activity]],Q$1))</f>
        <v/>
      </c>
      <c r="R55" s="4" t="str">
        <f>IF(SUMIFS(TableTime[[Duration]:[Duration]],TableTime[[Date]:[Date]],$B55,TableTime[[Activity]:[Activity]],R$1)=0,"",SUMIFS(TableTime[[Duration]:[Duration]],TableTime[[Date]:[Date]],$B55,TableTime[[Activity]:[Activity]],R$1))</f>
        <v/>
      </c>
      <c r="S55" s="130" t="str">
        <f>IF(SUMIFS(TableTime[[Duration]:[Duration]],TableTime[[Date]:[Date]],$B55,TableTime[[Activity]:[Activity]],S$1)=0,"",SUMIFS(TableTime[[Duration]:[Duration]],TableTime[[Date]:[Date]],$B55,TableTime[[Activity]:[Activity]],S$1))</f>
        <v/>
      </c>
      <c r="T55" s="4" t="str">
        <f>IF(SUMIFS(TableTime[[Duration]:[Duration]],TableTime[[Date]:[Date]],$B55,TableTime[[Activity]:[Activity]],T$1)=0,"",SUMIFS(TableTime[[Duration]:[Duration]],TableTime[[Date]:[Date]],$B55,TableTime[[Activity]:[Activity]],T$1))</f>
        <v/>
      </c>
      <c r="U55" s="39" t="str">
        <f>IF(SUMIFS(TableTime[[Duration]:[Duration]],TableTime[[Date]:[Date]],$B55,TableTime[[Activity]:[Activity]],U$1)=0,"",SUMIFS(TableTime[[Duration]:[Duration]],TableTime[[Date]:[Date]],$B55,TableTime[[Activity]:[Activity]],U$1))</f>
        <v/>
      </c>
    </row>
    <row r="56" spans="1:21" x14ac:dyDescent="0.35">
      <c r="A56" s="59" t="str">
        <f t="shared" si="0"/>
        <v>Fri</v>
      </c>
      <c r="B56" s="91">
        <f t="shared" si="2"/>
        <v>44981</v>
      </c>
      <c r="C56" s="60">
        <f t="shared" si="3"/>
        <v>2</v>
      </c>
      <c r="D56" s="61">
        <f t="shared" si="1"/>
        <v>8</v>
      </c>
      <c r="E56" s="103"/>
      <c r="F56" s="60" t="str">
        <f>IFERROR(IF(OR(WEEKDAY(B56,2)=6,WEEKDAY(B56,2)=7),'Month summary'!$D$11,IF(E56="",'Month summary'!$C$11,E56)),"")</f>
        <v>W</v>
      </c>
      <c r="G56" s="62">
        <f>IF(B56&lt;Time!$B$2,"",IF(F56='Month summary'!$C$11,'Month summary'!$F$2/24,IF(F56="H/2",'Month summary'!$F$2/24/2,0)))</f>
        <v>0.33333333333333331</v>
      </c>
      <c r="H56" s="62">
        <f t="shared" si="4"/>
        <v>0</v>
      </c>
      <c r="I56" s="62" t="str">
        <f t="shared" si="5"/>
        <v/>
      </c>
      <c r="J56" s="108"/>
      <c r="K56" s="63" t="str">
        <f>IFERROR(INDEX(TableTime[Time],MATCH(B56,TableTime[Date],0)),"")</f>
        <v/>
      </c>
      <c r="L56" s="62" t="str">
        <f>IF(SUMIFS(TableTime[Duration],TableTime[Date],B56,TableTime[Activity],Projects!$C$9)+SUMIFS(TableTime[Duration],TableTime[Date],B56,TableTime[Activity],Projects!$C$10)+SUMIFS(TableTime[Duration],TableTime[Date],B56,TableTime[Activity],Projects!$C$11)=0,"",SUMIFS(TableTime[Duration],TableTime[Date],B56,TableTime[Activity],Projects!$C$9)+SUMIFS(TableTime[Duration],TableTime[Date],B56,TableTime[Activity],Projects!$C$10)+SUMIFS(TableTime[Duration],TableTime[Date],B56,TableTime[Activity],Projects!$C$11))</f>
        <v/>
      </c>
      <c r="M56" s="62" t="str" cm="1">
        <f t="array" ref="M56">IFERROR(LOOKUP(2,1/(TableTime[Date]=B56),TableTime[Time]),"")</f>
        <v/>
      </c>
      <c r="N56" s="63" t="str">
        <f>IF(SUMIFS(TableTime[[Duration]:[Duration]],TableTime[[Date]:[Date]],$B56,TableTime[[Activity]:[Activity]],N$1)=0,"",SUMIFS(TableTime[[Duration]:[Duration]],TableTime[[Date]:[Date]],$B56,TableTime[[Activity]:[Activity]],N$1))</f>
        <v/>
      </c>
      <c r="O56" s="62" t="str">
        <f>IF(SUMIFS(TableTime[[Duration]:[Duration]],TableTime[[Date]:[Date]],$B56,TableTime[[Activity]:[Activity]],O$1)=0,"",SUMIFS(TableTime[[Duration]:[Duration]],TableTime[[Date]:[Date]],$B56,TableTime[[Activity]:[Activity]],O$1))</f>
        <v/>
      </c>
      <c r="P56" s="62" t="str">
        <f>IF(SUMIFS(TableTime[[Duration]:[Duration]],TableTime[[Date]:[Date]],$B56,TableTime[[Activity]:[Activity]],P$1)=0,"",SUMIFS(TableTime[[Duration]:[Duration]],TableTime[[Date]:[Date]],$B56,TableTime[[Activity]:[Activity]],P$1))</f>
        <v/>
      </c>
      <c r="Q56" s="62" t="str">
        <f>IF(SUMIFS(TableTime[[Duration]:[Duration]],TableTime[[Date]:[Date]],$B56,TableTime[[Activity]:[Activity]],Q$1)=0,"",SUMIFS(TableTime[[Duration]:[Duration]],TableTime[[Date]:[Date]],$B56,TableTime[[Activity]:[Activity]],Q$1))</f>
        <v/>
      </c>
      <c r="R56" s="62" t="str">
        <f>IF(SUMIFS(TableTime[[Duration]:[Duration]],TableTime[[Date]:[Date]],$B56,TableTime[[Activity]:[Activity]],R$1)=0,"",SUMIFS(TableTime[[Duration]:[Duration]],TableTime[[Date]:[Date]],$B56,TableTime[[Activity]:[Activity]],R$1))</f>
        <v/>
      </c>
      <c r="S56" s="131" t="str">
        <f>IF(SUMIFS(TableTime[[Duration]:[Duration]],TableTime[[Date]:[Date]],$B56,TableTime[[Activity]:[Activity]],S$1)=0,"",SUMIFS(TableTime[[Duration]:[Duration]],TableTime[[Date]:[Date]],$B56,TableTime[[Activity]:[Activity]],S$1))</f>
        <v/>
      </c>
      <c r="T56" s="62" t="str">
        <f>IF(SUMIFS(TableTime[[Duration]:[Duration]],TableTime[[Date]:[Date]],$B56,TableTime[[Activity]:[Activity]],T$1)=0,"",SUMIFS(TableTime[[Duration]:[Duration]],TableTime[[Date]:[Date]],$B56,TableTime[[Activity]:[Activity]],T$1))</f>
        <v/>
      </c>
      <c r="U56" s="64" t="str">
        <f>IF(SUMIFS(TableTime[[Duration]:[Duration]],TableTime[[Date]:[Date]],$B56,TableTime[[Activity]:[Activity]],U$1)=0,"",SUMIFS(TableTime[[Duration]:[Duration]],TableTime[[Date]:[Date]],$B56,TableTime[[Activity]:[Activity]],U$1))</f>
        <v/>
      </c>
    </row>
    <row r="57" spans="1:21" x14ac:dyDescent="0.35">
      <c r="A57" s="35" t="str">
        <f t="shared" si="0"/>
        <v>Sat</v>
      </c>
      <c r="B57" s="5">
        <f t="shared" si="2"/>
        <v>44982</v>
      </c>
      <c r="C57" s="1">
        <f t="shared" si="3"/>
        <v>2</v>
      </c>
      <c r="D57" s="2">
        <f t="shared" si="1"/>
        <v>8</v>
      </c>
      <c r="E57" s="102"/>
      <c r="F57" s="1" t="str">
        <f>IFERROR(IF(OR(WEEKDAY(B57,2)=6,WEEKDAY(B57,2)=7),'Month summary'!$D$11,IF(E57="",'Month summary'!$C$11,E57)),"")</f>
        <v>WE</v>
      </c>
      <c r="G57" s="4">
        <f>IF(B57&lt;Time!$B$2,"",IF(F57='Month summary'!$C$11,'Month summary'!$F$2/24,IF(F57="H/2",'Month summary'!$F$2/24/2,0)))</f>
        <v>0</v>
      </c>
      <c r="H57" s="4">
        <f t="shared" si="4"/>
        <v>0</v>
      </c>
      <c r="I57" s="4" t="str">
        <f t="shared" si="5"/>
        <v/>
      </c>
      <c r="J57" s="107"/>
      <c r="K57" s="38" t="str">
        <f>IFERROR(INDEX(TableTime[Time],MATCH(B57,TableTime[Date],0)),"")</f>
        <v/>
      </c>
      <c r="L57" s="4" t="str">
        <f>IF(SUMIFS(TableTime[Duration],TableTime[Date],B57,TableTime[Activity],Projects!$C$9)+SUMIFS(TableTime[Duration],TableTime[Date],B57,TableTime[Activity],Projects!$C$10)+SUMIFS(TableTime[Duration],TableTime[Date],B57,TableTime[Activity],Projects!$C$11)=0,"",SUMIFS(TableTime[Duration],TableTime[Date],B57,TableTime[Activity],Projects!$C$9)+SUMIFS(TableTime[Duration],TableTime[Date],B57,TableTime[Activity],Projects!$C$10)+SUMIFS(TableTime[Duration],TableTime[Date],B57,TableTime[Activity],Projects!$C$11))</f>
        <v/>
      </c>
      <c r="M57" s="4" t="str" cm="1">
        <f t="array" ref="M57">IFERROR(LOOKUP(2,1/(TableTime[Date]=B57),TableTime[Time]),"")</f>
        <v/>
      </c>
      <c r="N57" s="38" t="str">
        <f>IF(SUMIFS(TableTime[[Duration]:[Duration]],TableTime[[Date]:[Date]],$B57,TableTime[[Activity]:[Activity]],N$1)=0,"",SUMIFS(TableTime[[Duration]:[Duration]],TableTime[[Date]:[Date]],$B57,TableTime[[Activity]:[Activity]],N$1))</f>
        <v/>
      </c>
      <c r="O57" s="4" t="str">
        <f>IF(SUMIFS(TableTime[[Duration]:[Duration]],TableTime[[Date]:[Date]],$B57,TableTime[[Activity]:[Activity]],O$1)=0,"",SUMIFS(TableTime[[Duration]:[Duration]],TableTime[[Date]:[Date]],$B57,TableTime[[Activity]:[Activity]],O$1))</f>
        <v/>
      </c>
      <c r="P57" s="4" t="str">
        <f>IF(SUMIFS(TableTime[[Duration]:[Duration]],TableTime[[Date]:[Date]],$B57,TableTime[[Activity]:[Activity]],P$1)=0,"",SUMIFS(TableTime[[Duration]:[Duration]],TableTime[[Date]:[Date]],$B57,TableTime[[Activity]:[Activity]],P$1))</f>
        <v/>
      </c>
      <c r="Q57" s="4" t="str">
        <f>IF(SUMIFS(TableTime[[Duration]:[Duration]],TableTime[[Date]:[Date]],$B57,TableTime[[Activity]:[Activity]],Q$1)=0,"",SUMIFS(TableTime[[Duration]:[Duration]],TableTime[[Date]:[Date]],$B57,TableTime[[Activity]:[Activity]],Q$1))</f>
        <v/>
      </c>
      <c r="R57" s="4" t="str">
        <f>IF(SUMIFS(TableTime[[Duration]:[Duration]],TableTime[[Date]:[Date]],$B57,TableTime[[Activity]:[Activity]],R$1)=0,"",SUMIFS(TableTime[[Duration]:[Duration]],TableTime[[Date]:[Date]],$B57,TableTime[[Activity]:[Activity]],R$1))</f>
        <v/>
      </c>
      <c r="S57" s="130" t="str">
        <f>IF(SUMIFS(TableTime[[Duration]:[Duration]],TableTime[[Date]:[Date]],$B57,TableTime[[Activity]:[Activity]],S$1)=0,"",SUMIFS(TableTime[[Duration]:[Duration]],TableTime[[Date]:[Date]],$B57,TableTime[[Activity]:[Activity]],S$1))</f>
        <v/>
      </c>
      <c r="T57" s="4" t="str">
        <f>IF(SUMIFS(TableTime[[Duration]:[Duration]],TableTime[[Date]:[Date]],$B57,TableTime[[Activity]:[Activity]],T$1)=0,"",SUMIFS(TableTime[[Duration]:[Duration]],TableTime[[Date]:[Date]],$B57,TableTime[[Activity]:[Activity]],T$1))</f>
        <v/>
      </c>
      <c r="U57" s="39" t="str">
        <f>IF(SUMIFS(TableTime[[Duration]:[Duration]],TableTime[[Date]:[Date]],$B57,TableTime[[Activity]:[Activity]],U$1)=0,"",SUMIFS(TableTime[[Duration]:[Duration]],TableTime[[Date]:[Date]],$B57,TableTime[[Activity]:[Activity]],U$1))</f>
        <v/>
      </c>
    </row>
    <row r="58" spans="1:21" x14ac:dyDescent="0.35">
      <c r="A58" s="59" t="str">
        <f t="shared" si="0"/>
        <v>Sun</v>
      </c>
      <c r="B58" s="91">
        <f t="shared" si="2"/>
        <v>44983</v>
      </c>
      <c r="C58" s="60">
        <f t="shared" si="3"/>
        <v>2</v>
      </c>
      <c r="D58" s="61">
        <f t="shared" si="1"/>
        <v>8</v>
      </c>
      <c r="E58" s="103"/>
      <c r="F58" s="60" t="str">
        <f>IFERROR(IF(OR(WEEKDAY(B58,2)=6,WEEKDAY(B58,2)=7),'Month summary'!$D$11,IF(E58="",'Month summary'!$C$11,E58)),"")</f>
        <v>WE</v>
      </c>
      <c r="G58" s="62">
        <f>IF(B58&lt;Time!$B$2,"",IF(F58='Month summary'!$C$11,'Month summary'!$F$2/24,IF(F58="H/2",'Month summary'!$F$2/24/2,0)))</f>
        <v>0</v>
      </c>
      <c r="H58" s="62">
        <f t="shared" si="4"/>
        <v>0</v>
      </c>
      <c r="I58" s="62" t="str">
        <f t="shared" si="5"/>
        <v/>
      </c>
      <c r="J58" s="108"/>
      <c r="K58" s="63" t="str">
        <f>IFERROR(INDEX(TableTime[Time],MATCH(B58,TableTime[Date],0)),"")</f>
        <v/>
      </c>
      <c r="L58" s="62" t="str">
        <f>IF(SUMIFS(TableTime[Duration],TableTime[Date],B58,TableTime[Activity],Projects!$C$9)+SUMIFS(TableTime[Duration],TableTime[Date],B58,TableTime[Activity],Projects!$C$10)+SUMIFS(TableTime[Duration],TableTime[Date],B58,TableTime[Activity],Projects!$C$11)=0,"",SUMIFS(TableTime[Duration],TableTime[Date],B58,TableTime[Activity],Projects!$C$9)+SUMIFS(TableTime[Duration],TableTime[Date],B58,TableTime[Activity],Projects!$C$10)+SUMIFS(TableTime[Duration],TableTime[Date],B58,TableTime[Activity],Projects!$C$11))</f>
        <v/>
      </c>
      <c r="M58" s="62" t="str" cm="1">
        <f t="array" ref="M58">IFERROR(LOOKUP(2,1/(TableTime[Date]=B58),TableTime[Time]),"")</f>
        <v/>
      </c>
      <c r="N58" s="63" t="str">
        <f>IF(SUMIFS(TableTime[[Duration]:[Duration]],TableTime[[Date]:[Date]],$B58,TableTime[[Activity]:[Activity]],N$1)=0,"",SUMIFS(TableTime[[Duration]:[Duration]],TableTime[[Date]:[Date]],$B58,TableTime[[Activity]:[Activity]],N$1))</f>
        <v/>
      </c>
      <c r="O58" s="62" t="str">
        <f>IF(SUMIFS(TableTime[[Duration]:[Duration]],TableTime[[Date]:[Date]],$B58,TableTime[[Activity]:[Activity]],O$1)=0,"",SUMIFS(TableTime[[Duration]:[Duration]],TableTime[[Date]:[Date]],$B58,TableTime[[Activity]:[Activity]],O$1))</f>
        <v/>
      </c>
      <c r="P58" s="62" t="str">
        <f>IF(SUMIFS(TableTime[[Duration]:[Duration]],TableTime[[Date]:[Date]],$B58,TableTime[[Activity]:[Activity]],P$1)=0,"",SUMIFS(TableTime[[Duration]:[Duration]],TableTime[[Date]:[Date]],$B58,TableTime[[Activity]:[Activity]],P$1))</f>
        <v/>
      </c>
      <c r="Q58" s="62" t="str">
        <f>IF(SUMIFS(TableTime[[Duration]:[Duration]],TableTime[[Date]:[Date]],$B58,TableTime[[Activity]:[Activity]],Q$1)=0,"",SUMIFS(TableTime[[Duration]:[Duration]],TableTime[[Date]:[Date]],$B58,TableTime[[Activity]:[Activity]],Q$1))</f>
        <v/>
      </c>
      <c r="R58" s="62" t="str">
        <f>IF(SUMIFS(TableTime[[Duration]:[Duration]],TableTime[[Date]:[Date]],$B58,TableTime[[Activity]:[Activity]],R$1)=0,"",SUMIFS(TableTime[[Duration]:[Duration]],TableTime[[Date]:[Date]],$B58,TableTime[[Activity]:[Activity]],R$1))</f>
        <v/>
      </c>
      <c r="S58" s="131" t="str">
        <f>IF(SUMIFS(TableTime[[Duration]:[Duration]],TableTime[[Date]:[Date]],$B58,TableTime[[Activity]:[Activity]],S$1)=0,"",SUMIFS(TableTime[[Duration]:[Duration]],TableTime[[Date]:[Date]],$B58,TableTime[[Activity]:[Activity]],S$1))</f>
        <v/>
      </c>
      <c r="T58" s="62" t="str">
        <f>IF(SUMIFS(TableTime[[Duration]:[Duration]],TableTime[[Date]:[Date]],$B58,TableTime[[Activity]:[Activity]],T$1)=0,"",SUMIFS(TableTime[[Duration]:[Duration]],TableTime[[Date]:[Date]],$B58,TableTime[[Activity]:[Activity]],T$1))</f>
        <v/>
      </c>
      <c r="U58" s="64" t="str">
        <f>IF(SUMIFS(TableTime[[Duration]:[Duration]],TableTime[[Date]:[Date]],$B58,TableTime[[Activity]:[Activity]],U$1)=0,"",SUMIFS(TableTime[[Duration]:[Duration]],TableTime[[Date]:[Date]],$B58,TableTime[[Activity]:[Activity]],U$1))</f>
        <v/>
      </c>
    </row>
    <row r="59" spans="1:21" x14ac:dyDescent="0.35">
      <c r="A59" s="35" t="str">
        <f t="shared" si="0"/>
        <v>Mon</v>
      </c>
      <c r="B59" s="5">
        <f t="shared" si="2"/>
        <v>44984</v>
      </c>
      <c r="C59" s="1">
        <f t="shared" si="3"/>
        <v>2</v>
      </c>
      <c r="D59" s="2">
        <f t="shared" si="1"/>
        <v>9</v>
      </c>
      <c r="E59" s="102"/>
      <c r="F59" s="1" t="str">
        <f>IFERROR(IF(OR(WEEKDAY(B59,2)=6,WEEKDAY(B59,2)=7),'Month summary'!$D$11,IF(E59="",'Month summary'!$C$11,E59)),"")</f>
        <v>W</v>
      </c>
      <c r="G59" s="4">
        <f>IF(B59&lt;Time!$B$2,"",IF(F59='Month summary'!$C$11,'Month summary'!$F$2/24,IF(F59="H/2",'Month summary'!$F$2/24/2,0)))</f>
        <v>0.33333333333333331</v>
      </c>
      <c r="H59" s="4">
        <f t="shared" si="4"/>
        <v>0</v>
      </c>
      <c r="I59" s="4" t="str">
        <f t="shared" si="5"/>
        <v/>
      </c>
      <c r="J59" s="107"/>
      <c r="K59" s="38" t="str">
        <f>IFERROR(INDEX(TableTime[Time],MATCH(B59,TableTime[Date],0)),"")</f>
        <v/>
      </c>
      <c r="L59" s="4" t="str">
        <f>IF(SUMIFS(TableTime[Duration],TableTime[Date],B59,TableTime[Activity],Projects!$C$9)+SUMIFS(TableTime[Duration],TableTime[Date],B59,TableTime[Activity],Projects!$C$10)+SUMIFS(TableTime[Duration],TableTime[Date],B59,TableTime[Activity],Projects!$C$11)=0,"",SUMIFS(TableTime[Duration],TableTime[Date],B59,TableTime[Activity],Projects!$C$9)+SUMIFS(TableTime[Duration],TableTime[Date],B59,TableTime[Activity],Projects!$C$10)+SUMIFS(TableTime[Duration],TableTime[Date],B59,TableTime[Activity],Projects!$C$11))</f>
        <v/>
      </c>
      <c r="M59" s="4" t="str" cm="1">
        <f t="array" ref="M59">IFERROR(LOOKUP(2,1/(TableTime[Date]=B59),TableTime[Time]),"")</f>
        <v/>
      </c>
      <c r="N59" s="38" t="str">
        <f>IF(SUMIFS(TableTime[[Duration]:[Duration]],TableTime[[Date]:[Date]],$B59,TableTime[[Activity]:[Activity]],N$1)=0,"",SUMIFS(TableTime[[Duration]:[Duration]],TableTime[[Date]:[Date]],$B59,TableTime[[Activity]:[Activity]],N$1))</f>
        <v/>
      </c>
      <c r="O59" s="4" t="str">
        <f>IF(SUMIFS(TableTime[[Duration]:[Duration]],TableTime[[Date]:[Date]],$B59,TableTime[[Activity]:[Activity]],O$1)=0,"",SUMIFS(TableTime[[Duration]:[Duration]],TableTime[[Date]:[Date]],$B59,TableTime[[Activity]:[Activity]],O$1))</f>
        <v/>
      </c>
      <c r="P59" s="4" t="str">
        <f>IF(SUMIFS(TableTime[[Duration]:[Duration]],TableTime[[Date]:[Date]],$B59,TableTime[[Activity]:[Activity]],P$1)=0,"",SUMIFS(TableTime[[Duration]:[Duration]],TableTime[[Date]:[Date]],$B59,TableTime[[Activity]:[Activity]],P$1))</f>
        <v/>
      </c>
      <c r="Q59" s="4" t="str">
        <f>IF(SUMIFS(TableTime[[Duration]:[Duration]],TableTime[[Date]:[Date]],$B59,TableTime[[Activity]:[Activity]],Q$1)=0,"",SUMIFS(TableTime[[Duration]:[Duration]],TableTime[[Date]:[Date]],$B59,TableTime[[Activity]:[Activity]],Q$1))</f>
        <v/>
      </c>
      <c r="R59" s="4" t="str">
        <f>IF(SUMIFS(TableTime[[Duration]:[Duration]],TableTime[[Date]:[Date]],$B59,TableTime[[Activity]:[Activity]],R$1)=0,"",SUMIFS(TableTime[[Duration]:[Duration]],TableTime[[Date]:[Date]],$B59,TableTime[[Activity]:[Activity]],R$1))</f>
        <v/>
      </c>
      <c r="S59" s="130" t="str">
        <f>IF(SUMIFS(TableTime[[Duration]:[Duration]],TableTime[[Date]:[Date]],$B59,TableTime[[Activity]:[Activity]],S$1)=0,"",SUMIFS(TableTime[[Duration]:[Duration]],TableTime[[Date]:[Date]],$B59,TableTime[[Activity]:[Activity]],S$1))</f>
        <v/>
      </c>
      <c r="T59" s="4" t="str">
        <f>IF(SUMIFS(TableTime[[Duration]:[Duration]],TableTime[[Date]:[Date]],$B59,TableTime[[Activity]:[Activity]],T$1)=0,"",SUMIFS(TableTime[[Duration]:[Duration]],TableTime[[Date]:[Date]],$B59,TableTime[[Activity]:[Activity]],T$1))</f>
        <v/>
      </c>
      <c r="U59" s="39" t="str">
        <f>IF(SUMIFS(TableTime[[Duration]:[Duration]],TableTime[[Date]:[Date]],$B59,TableTime[[Activity]:[Activity]],U$1)=0,"",SUMIFS(TableTime[[Duration]:[Duration]],TableTime[[Date]:[Date]],$B59,TableTime[[Activity]:[Activity]],U$1))</f>
        <v/>
      </c>
    </row>
    <row r="60" spans="1:21" x14ac:dyDescent="0.35">
      <c r="A60" s="59" t="str">
        <f t="shared" si="0"/>
        <v>Tue</v>
      </c>
      <c r="B60" s="91">
        <f t="shared" si="2"/>
        <v>44985</v>
      </c>
      <c r="C60" s="60">
        <f t="shared" si="3"/>
        <v>2</v>
      </c>
      <c r="D60" s="61">
        <f t="shared" si="1"/>
        <v>9</v>
      </c>
      <c r="E60" s="103"/>
      <c r="F60" s="60" t="str">
        <f>IFERROR(IF(OR(WEEKDAY(B60,2)=6,WEEKDAY(B60,2)=7),'Month summary'!$D$11,IF(E60="",'Month summary'!$C$11,E60)),"")</f>
        <v>W</v>
      </c>
      <c r="G60" s="62">
        <f>IF(B60&lt;Time!$B$2,"",IF(F60='Month summary'!$C$11,'Month summary'!$F$2/24,IF(F60="H/2",'Month summary'!$F$2/24/2,0)))</f>
        <v>0.33333333333333331</v>
      </c>
      <c r="H60" s="62">
        <f t="shared" si="4"/>
        <v>0</v>
      </c>
      <c r="I60" s="62" t="str">
        <f t="shared" si="5"/>
        <v/>
      </c>
      <c r="J60" s="108"/>
      <c r="K60" s="63" t="str">
        <f>IFERROR(INDEX(TableTime[Time],MATCH(B60,TableTime[Date],0)),"")</f>
        <v/>
      </c>
      <c r="L60" s="62" t="str">
        <f>IF(SUMIFS(TableTime[Duration],TableTime[Date],B60,TableTime[Activity],Projects!$C$9)+SUMIFS(TableTime[Duration],TableTime[Date],B60,TableTime[Activity],Projects!$C$10)+SUMIFS(TableTime[Duration],TableTime[Date],B60,TableTime[Activity],Projects!$C$11)=0,"",SUMIFS(TableTime[Duration],TableTime[Date],B60,TableTime[Activity],Projects!$C$9)+SUMIFS(TableTime[Duration],TableTime[Date],B60,TableTime[Activity],Projects!$C$10)+SUMIFS(TableTime[Duration],TableTime[Date],B60,TableTime[Activity],Projects!$C$11))</f>
        <v/>
      </c>
      <c r="M60" s="62" t="str" cm="1">
        <f t="array" ref="M60">IFERROR(LOOKUP(2,1/(TableTime[Date]=B60),TableTime[Time]),"")</f>
        <v/>
      </c>
      <c r="N60" s="63" t="str">
        <f>IF(SUMIFS(TableTime[[Duration]:[Duration]],TableTime[[Date]:[Date]],$B60,TableTime[[Activity]:[Activity]],N$1)=0,"",SUMIFS(TableTime[[Duration]:[Duration]],TableTime[[Date]:[Date]],$B60,TableTime[[Activity]:[Activity]],N$1))</f>
        <v/>
      </c>
      <c r="O60" s="62" t="str">
        <f>IF(SUMIFS(TableTime[[Duration]:[Duration]],TableTime[[Date]:[Date]],$B60,TableTime[[Activity]:[Activity]],O$1)=0,"",SUMIFS(TableTime[[Duration]:[Duration]],TableTime[[Date]:[Date]],$B60,TableTime[[Activity]:[Activity]],O$1))</f>
        <v/>
      </c>
      <c r="P60" s="62" t="str">
        <f>IF(SUMIFS(TableTime[[Duration]:[Duration]],TableTime[[Date]:[Date]],$B60,TableTime[[Activity]:[Activity]],P$1)=0,"",SUMIFS(TableTime[[Duration]:[Duration]],TableTime[[Date]:[Date]],$B60,TableTime[[Activity]:[Activity]],P$1))</f>
        <v/>
      </c>
      <c r="Q60" s="62" t="str">
        <f>IF(SUMIFS(TableTime[[Duration]:[Duration]],TableTime[[Date]:[Date]],$B60,TableTime[[Activity]:[Activity]],Q$1)=0,"",SUMIFS(TableTime[[Duration]:[Duration]],TableTime[[Date]:[Date]],$B60,TableTime[[Activity]:[Activity]],Q$1))</f>
        <v/>
      </c>
      <c r="R60" s="62" t="str">
        <f>IF(SUMIFS(TableTime[[Duration]:[Duration]],TableTime[[Date]:[Date]],$B60,TableTime[[Activity]:[Activity]],R$1)=0,"",SUMIFS(TableTime[[Duration]:[Duration]],TableTime[[Date]:[Date]],$B60,TableTime[[Activity]:[Activity]],R$1))</f>
        <v/>
      </c>
      <c r="S60" s="131" t="str">
        <f>IF(SUMIFS(TableTime[[Duration]:[Duration]],TableTime[[Date]:[Date]],$B60,TableTime[[Activity]:[Activity]],S$1)=0,"",SUMIFS(TableTime[[Duration]:[Duration]],TableTime[[Date]:[Date]],$B60,TableTime[[Activity]:[Activity]],S$1))</f>
        <v/>
      </c>
      <c r="T60" s="62" t="str">
        <f>IF(SUMIFS(TableTime[[Duration]:[Duration]],TableTime[[Date]:[Date]],$B60,TableTime[[Activity]:[Activity]],T$1)=0,"",SUMIFS(TableTime[[Duration]:[Duration]],TableTime[[Date]:[Date]],$B60,TableTime[[Activity]:[Activity]],T$1))</f>
        <v/>
      </c>
      <c r="U60" s="64" t="str">
        <f>IF(SUMIFS(TableTime[[Duration]:[Duration]],TableTime[[Date]:[Date]],$B60,TableTime[[Activity]:[Activity]],U$1)=0,"",SUMIFS(TableTime[[Duration]:[Duration]],TableTime[[Date]:[Date]],$B60,TableTime[[Activity]:[Activity]],U$1))</f>
        <v/>
      </c>
    </row>
    <row r="61" spans="1:21" x14ac:dyDescent="0.35">
      <c r="A61" s="35" t="str">
        <f t="shared" si="0"/>
        <v>Wed</v>
      </c>
      <c r="B61" s="5">
        <f t="shared" si="2"/>
        <v>44986</v>
      </c>
      <c r="C61" s="1">
        <f t="shared" si="3"/>
        <v>3</v>
      </c>
      <c r="D61" s="2">
        <f t="shared" si="1"/>
        <v>9</v>
      </c>
      <c r="E61" s="102"/>
      <c r="F61" s="1" t="str">
        <f>IFERROR(IF(OR(WEEKDAY(B61,2)=6,WEEKDAY(B61,2)=7),'Month summary'!$D$11,IF(E61="",'Month summary'!$C$11,E61)),"")</f>
        <v>W</v>
      </c>
      <c r="G61" s="4">
        <f>IF(B61&lt;Time!$B$2,"",IF(F61='Month summary'!$C$11,'Month summary'!$F$2/24,IF(F61="H/2",'Month summary'!$F$2/24/2,0)))</f>
        <v>0.33333333333333331</v>
      </c>
      <c r="H61" s="4">
        <f t="shared" si="4"/>
        <v>0</v>
      </c>
      <c r="I61" s="4" t="str">
        <f t="shared" si="5"/>
        <v/>
      </c>
      <c r="J61" s="107"/>
      <c r="K61" s="38" t="str">
        <f>IFERROR(INDEX(TableTime[Time],MATCH(B61,TableTime[Date],0)),"")</f>
        <v/>
      </c>
      <c r="L61" s="4" t="str">
        <f>IF(SUMIFS(TableTime[Duration],TableTime[Date],B61,TableTime[Activity],Projects!$C$9)+SUMIFS(TableTime[Duration],TableTime[Date],B61,TableTime[Activity],Projects!$C$10)+SUMIFS(TableTime[Duration],TableTime[Date],B61,TableTime[Activity],Projects!$C$11)=0,"",SUMIFS(TableTime[Duration],TableTime[Date],B61,TableTime[Activity],Projects!$C$9)+SUMIFS(TableTime[Duration],TableTime[Date],B61,TableTime[Activity],Projects!$C$10)+SUMIFS(TableTime[Duration],TableTime[Date],B61,TableTime[Activity],Projects!$C$11))</f>
        <v/>
      </c>
      <c r="M61" s="4" t="str" cm="1">
        <f t="array" ref="M61">IFERROR(LOOKUP(2,1/(TableTime[Date]=B61),TableTime[Time]),"")</f>
        <v/>
      </c>
      <c r="N61" s="38" t="str">
        <f>IF(SUMIFS(TableTime[[Duration]:[Duration]],TableTime[[Date]:[Date]],$B61,TableTime[[Activity]:[Activity]],N$1)=0,"",SUMIFS(TableTime[[Duration]:[Duration]],TableTime[[Date]:[Date]],$B61,TableTime[[Activity]:[Activity]],N$1))</f>
        <v/>
      </c>
      <c r="O61" s="4" t="str">
        <f>IF(SUMIFS(TableTime[[Duration]:[Duration]],TableTime[[Date]:[Date]],$B61,TableTime[[Activity]:[Activity]],O$1)=0,"",SUMIFS(TableTime[[Duration]:[Duration]],TableTime[[Date]:[Date]],$B61,TableTime[[Activity]:[Activity]],O$1))</f>
        <v/>
      </c>
      <c r="P61" s="4" t="str">
        <f>IF(SUMIFS(TableTime[[Duration]:[Duration]],TableTime[[Date]:[Date]],$B61,TableTime[[Activity]:[Activity]],P$1)=0,"",SUMIFS(TableTime[[Duration]:[Duration]],TableTime[[Date]:[Date]],$B61,TableTime[[Activity]:[Activity]],P$1))</f>
        <v/>
      </c>
      <c r="Q61" s="4" t="str">
        <f>IF(SUMIFS(TableTime[[Duration]:[Duration]],TableTime[[Date]:[Date]],$B61,TableTime[[Activity]:[Activity]],Q$1)=0,"",SUMIFS(TableTime[[Duration]:[Duration]],TableTime[[Date]:[Date]],$B61,TableTime[[Activity]:[Activity]],Q$1))</f>
        <v/>
      </c>
      <c r="R61" s="4" t="str">
        <f>IF(SUMIFS(TableTime[[Duration]:[Duration]],TableTime[[Date]:[Date]],$B61,TableTime[[Activity]:[Activity]],R$1)=0,"",SUMIFS(TableTime[[Duration]:[Duration]],TableTime[[Date]:[Date]],$B61,TableTime[[Activity]:[Activity]],R$1))</f>
        <v/>
      </c>
      <c r="S61" s="130" t="str">
        <f>IF(SUMIFS(TableTime[[Duration]:[Duration]],TableTime[[Date]:[Date]],$B61,TableTime[[Activity]:[Activity]],S$1)=0,"",SUMIFS(TableTime[[Duration]:[Duration]],TableTime[[Date]:[Date]],$B61,TableTime[[Activity]:[Activity]],S$1))</f>
        <v/>
      </c>
      <c r="T61" s="4" t="str">
        <f>IF(SUMIFS(TableTime[[Duration]:[Duration]],TableTime[[Date]:[Date]],$B61,TableTime[[Activity]:[Activity]],T$1)=0,"",SUMIFS(TableTime[[Duration]:[Duration]],TableTime[[Date]:[Date]],$B61,TableTime[[Activity]:[Activity]],T$1))</f>
        <v/>
      </c>
      <c r="U61" s="39" t="str">
        <f>IF(SUMIFS(TableTime[[Duration]:[Duration]],TableTime[[Date]:[Date]],$B61,TableTime[[Activity]:[Activity]],U$1)=0,"",SUMIFS(TableTime[[Duration]:[Duration]],TableTime[[Date]:[Date]],$B61,TableTime[[Activity]:[Activity]],U$1))</f>
        <v/>
      </c>
    </row>
    <row r="62" spans="1:21" x14ac:dyDescent="0.35">
      <c r="A62" s="59" t="str">
        <f t="shared" si="0"/>
        <v>Thr</v>
      </c>
      <c r="B62" s="91">
        <f t="shared" si="2"/>
        <v>44987</v>
      </c>
      <c r="C62" s="60">
        <f t="shared" si="3"/>
        <v>3</v>
      </c>
      <c r="D62" s="61">
        <f t="shared" si="1"/>
        <v>9</v>
      </c>
      <c r="E62" s="103"/>
      <c r="F62" s="60" t="str">
        <f>IFERROR(IF(OR(WEEKDAY(B62,2)=6,WEEKDAY(B62,2)=7),'Month summary'!$D$11,IF(E62="",'Month summary'!$C$11,E62)),"")</f>
        <v>W</v>
      </c>
      <c r="G62" s="62">
        <f>IF(B62&lt;Time!$B$2,"",IF(F62='Month summary'!$C$11,'Month summary'!$F$2/24,IF(F62="H/2",'Month summary'!$F$2/24/2,0)))</f>
        <v>0.33333333333333331</v>
      </c>
      <c r="H62" s="62">
        <f t="shared" si="4"/>
        <v>0</v>
      </c>
      <c r="I62" s="62" t="str">
        <f t="shared" si="5"/>
        <v/>
      </c>
      <c r="J62" s="108"/>
      <c r="K62" s="63" t="str">
        <f>IFERROR(INDEX(TableTime[Time],MATCH(B62,TableTime[Date],0)),"")</f>
        <v/>
      </c>
      <c r="L62" s="62" t="str">
        <f>IF(SUMIFS(TableTime[Duration],TableTime[Date],B62,TableTime[Activity],Projects!$C$9)+SUMIFS(TableTime[Duration],TableTime[Date],B62,TableTime[Activity],Projects!$C$10)+SUMIFS(TableTime[Duration],TableTime[Date],B62,TableTime[Activity],Projects!$C$11)=0,"",SUMIFS(TableTime[Duration],TableTime[Date],B62,TableTime[Activity],Projects!$C$9)+SUMIFS(TableTime[Duration],TableTime[Date],B62,TableTime[Activity],Projects!$C$10)+SUMIFS(TableTime[Duration],TableTime[Date],B62,TableTime[Activity],Projects!$C$11))</f>
        <v/>
      </c>
      <c r="M62" s="62" t="str" cm="1">
        <f t="array" ref="M62">IFERROR(LOOKUP(2,1/(TableTime[Date]=B62),TableTime[Time]),"")</f>
        <v/>
      </c>
      <c r="N62" s="63" t="str">
        <f>IF(SUMIFS(TableTime[[Duration]:[Duration]],TableTime[[Date]:[Date]],$B62,TableTime[[Activity]:[Activity]],N$1)=0,"",SUMIFS(TableTime[[Duration]:[Duration]],TableTime[[Date]:[Date]],$B62,TableTime[[Activity]:[Activity]],N$1))</f>
        <v/>
      </c>
      <c r="O62" s="62" t="str">
        <f>IF(SUMIFS(TableTime[[Duration]:[Duration]],TableTime[[Date]:[Date]],$B62,TableTime[[Activity]:[Activity]],O$1)=0,"",SUMIFS(TableTime[[Duration]:[Duration]],TableTime[[Date]:[Date]],$B62,TableTime[[Activity]:[Activity]],O$1))</f>
        <v/>
      </c>
      <c r="P62" s="62" t="str">
        <f>IF(SUMIFS(TableTime[[Duration]:[Duration]],TableTime[[Date]:[Date]],$B62,TableTime[[Activity]:[Activity]],P$1)=0,"",SUMIFS(TableTime[[Duration]:[Duration]],TableTime[[Date]:[Date]],$B62,TableTime[[Activity]:[Activity]],P$1))</f>
        <v/>
      </c>
      <c r="Q62" s="62" t="str">
        <f>IF(SUMIFS(TableTime[[Duration]:[Duration]],TableTime[[Date]:[Date]],$B62,TableTime[[Activity]:[Activity]],Q$1)=0,"",SUMIFS(TableTime[[Duration]:[Duration]],TableTime[[Date]:[Date]],$B62,TableTime[[Activity]:[Activity]],Q$1))</f>
        <v/>
      </c>
      <c r="R62" s="62" t="str">
        <f>IF(SUMIFS(TableTime[[Duration]:[Duration]],TableTime[[Date]:[Date]],$B62,TableTime[[Activity]:[Activity]],R$1)=0,"",SUMIFS(TableTime[[Duration]:[Duration]],TableTime[[Date]:[Date]],$B62,TableTime[[Activity]:[Activity]],R$1))</f>
        <v/>
      </c>
      <c r="S62" s="131" t="str">
        <f>IF(SUMIFS(TableTime[[Duration]:[Duration]],TableTime[[Date]:[Date]],$B62,TableTime[[Activity]:[Activity]],S$1)=0,"",SUMIFS(TableTime[[Duration]:[Duration]],TableTime[[Date]:[Date]],$B62,TableTime[[Activity]:[Activity]],S$1))</f>
        <v/>
      </c>
      <c r="T62" s="62" t="str">
        <f>IF(SUMIFS(TableTime[[Duration]:[Duration]],TableTime[[Date]:[Date]],$B62,TableTime[[Activity]:[Activity]],T$1)=0,"",SUMIFS(TableTime[[Duration]:[Duration]],TableTime[[Date]:[Date]],$B62,TableTime[[Activity]:[Activity]],T$1))</f>
        <v/>
      </c>
      <c r="U62" s="64" t="str">
        <f>IF(SUMIFS(TableTime[[Duration]:[Duration]],TableTime[[Date]:[Date]],$B62,TableTime[[Activity]:[Activity]],U$1)=0,"",SUMIFS(TableTime[[Duration]:[Duration]],TableTime[[Date]:[Date]],$B62,TableTime[[Activity]:[Activity]],U$1))</f>
        <v/>
      </c>
    </row>
    <row r="63" spans="1:21" x14ac:dyDescent="0.35">
      <c r="A63" s="35" t="str">
        <f t="shared" si="0"/>
        <v>Fri</v>
      </c>
      <c r="B63" s="5">
        <f t="shared" si="2"/>
        <v>44988</v>
      </c>
      <c r="C63" s="1">
        <f t="shared" si="3"/>
        <v>3</v>
      </c>
      <c r="D63" s="2">
        <f t="shared" si="1"/>
        <v>9</v>
      </c>
      <c r="E63" s="102"/>
      <c r="F63" s="1" t="str">
        <f>IFERROR(IF(OR(WEEKDAY(B63,2)=6,WEEKDAY(B63,2)=7),'Month summary'!$D$11,IF(E63="",'Month summary'!$C$11,E63)),"")</f>
        <v>W</v>
      </c>
      <c r="G63" s="4">
        <f>IF(B63&lt;Time!$B$2,"",IF(F63='Month summary'!$C$11,'Month summary'!$F$2/24,IF(F63="H/2",'Month summary'!$F$2/24/2,0)))</f>
        <v>0.33333333333333331</v>
      </c>
      <c r="H63" s="4">
        <f t="shared" si="4"/>
        <v>0</v>
      </c>
      <c r="I63" s="4" t="str">
        <f t="shared" si="5"/>
        <v/>
      </c>
      <c r="J63" s="107"/>
      <c r="K63" s="38" t="str">
        <f>IFERROR(INDEX(TableTime[Time],MATCH(B63,TableTime[Date],0)),"")</f>
        <v/>
      </c>
      <c r="L63" s="4" t="str">
        <f>IF(SUMIFS(TableTime[Duration],TableTime[Date],B63,TableTime[Activity],Projects!$C$9)+SUMIFS(TableTime[Duration],TableTime[Date],B63,TableTime[Activity],Projects!$C$10)+SUMIFS(TableTime[Duration],TableTime[Date],B63,TableTime[Activity],Projects!$C$11)=0,"",SUMIFS(TableTime[Duration],TableTime[Date],B63,TableTime[Activity],Projects!$C$9)+SUMIFS(TableTime[Duration],TableTime[Date],B63,TableTime[Activity],Projects!$C$10)+SUMIFS(TableTime[Duration],TableTime[Date],B63,TableTime[Activity],Projects!$C$11))</f>
        <v/>
      </c>
      <c r="M63" s="4" t="str" cm="1">
        <f t="array" ref="M63">IFERROR(LOOKUP(2,1/(TableTime[Date]=B63),TableTime[Time]),"")</f>
        <v/>
      </c>
      <c r="N63" s="38" t="str">
        <f>IF(SUMIFS(TableTime[[Duration]:[Duration]],TableTime[[Date]:[Date]],$B63,TableTime[[Activity]:[Activity]],N$1)=0,"",SUMIFS(TableTime[[Duration]:[Duration]],TableTime[[Date]:[Date]],$B63,TableTime[[Activity]:[Activity]],N$1))</f>
        <v/>
      </c>
      <c r="O63" s="4" t="str">
        <f>IF(SUMIFS(TableTime[[Duration]:[Duration]],TableTime[[Date]:[Date]],$B63,TableTime[[Activity]:[Activity]],O$1)=0,"",SUMIFS(TableTime[[Duration]:[Duration]],TableTime[[Date]:[Date]],$B63,TableTime[[Activity]:[Activity]],O$1))</f>
        <v/>
      </c>
      <c r="P63" s="4" t="str">
        <f>IF(SUMIFS(TableTime[[Duration]:[Duration]],TableTime[[Date]:[Date]],$B63,TableTime[[Activity]:[Activity]],P$1)=0,"",SUMIFS(TableTime[[Duration]:[Duration]],TableTime[[Date]:[Date]],$B63,TableTime[[Activity]:[Activity]],P$1))</f>
        <v/>
      </c>
      <c r="Q63" s="4" t="str">
        <f>IF(SUMIFS(TableTime[[Duration]:[Duration]],TableTime[[Date]:[Date]],$B63,TableTime[[Activity]:[Activity]],Q$1)=0,"",SUMIFS(TableTime[[Duration]:[Duration]],TableTime[[Date]:[Date]],$B63,TableTime[[Activity]:[Activity]],Q$1))</f>
        <v/>
      </c>
      <c r="R63" s="4" t="str">
        <f>IF(SUMIFS(TableTime[[Duration]:[Duration]],TableTime[[Date]:[Date]],$B63,TableTime[[Activity]:[Activity]],R$1)=0,"",SUMIFS(TableTime[[Duration]:[Duration]],TableTime[[Date]:[Date]],$B63,TableTime[[Activity]:[Activity]],R$1))</f>
        <v/>
      </c>
      <c r="S63" s="130" t="str">
        <f>IF(SUMIFS(TableTime[[Duration]:[Duration]],TableTime[[Date]:[Date]],$B63,TableTime[[Activity]:[Activity]],S$1)=0,"",SUMIFS(TableTime[[Duration]:[Duration]],TableTime[[Date]:[Date]],$B63,TableTime[[Activity]:[Activity]],S$1))</f>
        <v/>
      </c>
      <c r="T63" s="4" t="str">
        <f>IF(SUMIFS(TableTime[[Duration]:[Duration]],TableTime[[Date]:[Date]],$B63,TableTime[[Activity]:[Activity]],T$1)=0,"",SUMIFS(TableTime[[Duration]:[Duration]],TableTime[[Date]:[Date]],$B63,TableTime[[Activity]:[Activity]],T$1))</f>
        <v/>
      </c>
      <c r="U63" s="39" t="str">
        <f>IF(SUMIFS(TableTime[[Duration]:[Duration]],TableTime[[Date]:[Date]],$B63,TableTime[[Activity]:[Activity]],U$1)=0,"",SUMIFS(TableTime[[Duration]:[Duration]],TableTime[[Date]:[Date]],$B63,TableTime[[Activity]:[Activity]],U$1))</f>
        <v/>
      </c>
    </row>
    <row r="64" spans="1:21" x14ac:dyDescent="0.35">
      <c r="A64" s="59" t="str">
        <f t="shared" si="0"/>
        <v>Sat</v>
      </c>
      <c r="B64" s="91">
        <f t="shared" si="2"/>
        <v>44989</v>
      </c>
      <c r="C64" s="60">
        <f t="shared" si="3"/>
        <v>3</v>
      </c>
      <c r="D64" s="61">
        <f t="shared" si="1"/>
        <v>9</v>
      </c>
      <c r="E64" s="103"/>
      <c r="F64" s="60" t="str">
        <f>IFERROR(IF(OR(WEEKDAY(B64,2)=6,WEEKDAY(B64,2)=7),'Month summary'!$D$11,IF(E64="",'Month summary'!$C$11,E64)),"")</f>
        <v>WE</v>
      </c>
      <c r="G64" s="62">
        <f>IF(B64&lt;Time!$B$2,"",IF(F64='Month summary'!$C$11,'Month summary'!$F$2/24,IF(F64="H/2",'Month summary'!$F$2/24/2,0)))</f>
        <v>0</v>
      </c>
      <c r="H64" s="62">
        <f t="shared" si="4"/>
        <v>0</v>
      </c>
      <c r="I64" s="62" t="str">
        <f t="shared" si="5"/>
        <v/>
      </c>
      <c r="J64" s="108"/>
      <c r="K64" s="63" t="str">
        <f>IFERROR(INDEX(TableTime[Time],MATCH(B64,TableTime[Date],0)),"")</f>
        <v/>
      </c>
      <c r="L64" s="62" t="str">
        <f>IF(SUMIFS(TableTime[Duration],TableTime[Date],B64,TableTime[Activity],Projects!$C$9)+SUMIFS(TableTime[Duration],TableTime[Date],B64,TableTime[Activity],Projects!$C$10)+SUMIFS(TableTime[Duration],TableTime[Date],B64,TableTime[Activity],Projects!$C$11)=0,"",SUMIFS(TableTime[Duration],TableTime[Date],B64,TableTime[Activity],Projects!$C$9)+SUMIFS(TableTime[Duration],TableTime[Date],B64,TableTime[Activity],Projects!$C$10)+SUMIFS(TableTime[Duration],TableTime[Date],B64,TableTime[Activity],Projects!$C$11))</f>
        <v/>
      </c>
      <c r="M64" s="62" t="str" cm="1">
        <f t="array" ref="M64">IFERROR(LOOKUP(2,1/(TableTime[Date]=B64),TableTime[Time]),"")</f>
        <v/>
      </c>
      <c r="N64" s="63" t="str">
        <f>IF(SUMIFS(TableTime[[Duration]:[Duration]],TableTime[[Date]:[Date]],$B64,TableTime[[Activity]:[Activity]],N$1)=0,"",SUMIFS(TableTime[[Duration]:[Duration]],TableTime[[Date]:[Date]],$B64,TableTime[[Activity]:[Activity]],N$1))</f>
        <v/>
      </c>
      <c r="O64" s="62" t="str">
        <f>IF(SUMIFS(TableTime[[Duration]:[Duration]],TableTime[[Date]:[Date]],$B64,TableTime[[Activity]:[Activity]],O$1)=0,"",SUMIFS(TableTime[[Duration]:[Duration]],TableTime[[Date]:[Date]],$B64,TableTime[[Activity]:[Activity]],O$1))</f>
        <v/>
      </c>
      <c r="P64" s="62" t="str">
        <f>IF(SUMIFS(TableTime[[Duration]:[Duration]],TableTime[[Date]:[Date]],$B64,TableTime[[Activity]:[Activity]],P$1)=0,"",SUMIFS(TableTime[[Duration]:[Duration]],TableTime[[Date]:[Date]],$B64,TableTime[[Activity]:[Activity]],P$1))</f>
        <v/>
      </c>
      <c r="Q64" s="62" t="str">
        <f>IF(SUMIFS(TableTime[[Duration]:[Duration]],TableTime[[Date]:[Date]],$B64,TableTime[[Activity]:[Activity]],Q$1)=0,"",SUMIFS(TableTime[[Duration]:[Duration]],TableTime[[Date]:[Date]],$B64,TableTime[[Activity]:[Activity]],Q$1))</f>
        <v/>
      </c>
      <c r="R64" s="62" t="str">
        <f>IF(SUMIFS(TableTime[[Duration]:[Duration]],TableTime[[Date]:[Date]],$B64,TableTime[[Activity]:[Activity]],R$1)=0,"",SUMIFS(TableTime[[Duration]:[Duration]],TableTime[[Date]:[Date]],$B64,TableTime[[Activity]:[Activity]],R$1))</f>
        <v/>
      </c>
      <c r="S64" s="131" t="str">
        <f>IF(SUMIFS(TableTime[[Duration]:[Duration]],TableTime[[Date]:[Date]],$B64,TableTime[[Activity]:[Activity]],S$1)=0,"",SUMIFS(TableTime[[Duration]:[Duration]],TableTime[[Date]:[Date]],$B64,TableTime[[Activity]:[Activity]],S$1))</f>
        <v/>
      </c>
      <c r="T64" s="62" t="str">
        <f>IF(SUMIFS(TableTime[[Duration]:[Duration]],TableTime[[Date]:[Date]],$B64,TableTime[[Activity]:[Activity]],T$1)=0,"",SUMIFS(TableTime[[Duration]:[Duration]],TableTime[[Date]:[Date]],$B64,TableTime[[Activity]:[Activity]],T$1))</f>
        <v/>
      </c>
      <c r="U64" s="64" t="str">
        <f>IF(SUMIFS(TableTime[[Duration]:[Duration]],TableTime[[Date]:[Date]],$B64,TableTime[[Activity]:[Activity]],U$1)=0,"",SUMIFS(TableTime[[Duration]:[Duration]],TableTime[[Date]:[Date]],$B64,TableTime[[Activity]:[Activity]],U$1))</f>
        <v/>
      </c>
    </row>
    <row r="65" spans="1:21" x14ac:dyDescent="0.35">
      <c r="A65" s="35" t="str">
        <f t="shared" si="0"/>
        <v>Sun</v>
      </c>
      <c r="B65" s="5">
        <f t="shared" si="2"/>
        <v>44990</v>
      </c>
      <c r="C65" s="1">
        <f t="shared" si="3"/>
        <v>3</v>
      </c>
      <c r="D65" s="2">
        <f t="shared" si="1"/>
        <v>9</v>
      </c>
      <c r="E65" s="102"/>
      <c r="F65" s="1" t="str">
        <f>IFERROR(IF(OR(WEEKDAY(B65,2)=6,WEEKDAY(B65,2)=7),'Month summary'!$D$11,IF(E65="",'Month summary'!$C$11,E65)),"")</f>
        <v>WE</v>
      </c>
      <c r="G65" s="4">
        <f>IF(B65&lt;Time!$B$2,"",IF(F65='Month summary'!$C$11,'Month summary'!$F$2/24,IF(F65="H/2",'Month summary'!$F$2/24/2,0)))</f>
        <v>0</v>
      </c>
      <c r="H65" s="4">
        <f t="shared" si="4"/>
        <v>0</v>
      </c>
      <c r="I65" s="4" t="str">
        <f t="shared" si="5"/>
        <v/>
      </c>
      <c r="J65" s="107"/>
      <c r="K65" s="38" t="str">
        <f>IFERROR(INDEX(TableTime[Time],MATCH(B65,TableTime[Date],0)),"")</f>
        <v/>
      </c>
      <c r="L65" s="4" t="str">
        <f>IF(SUMIFS(TableTime[Duration],TableTime[Date],B65,TableTime[Activity],Projects!$C$9)+SUMIFS(TableTime[Duration],TableTime[Date],B65,TableTime[Activity],Projects!$C$10)+SUMIFS(TableTime[Duration],TableTime[Date],B65,TableTime[Activity],Projects!$C$11)=0,"",SUMIFS(TableTime[Duration],TableTime[Date],B65,TableTime[Activity],Projects!$C$9)+SUMIFS(TableTime[Duration],TableTime[Date],B65,TableTime[Activity],Projects!$C$10)+SUMIFS(TableTime[Duration],TableTime[Date],B65,TableTime[Activity],Projects!$C$11))</f>
        <v/>
      </c>
      <c r="M65" s="4" t="str" cm="1">
        <f t="array" ref="M65">IFERROR(LOOKUP(2,1/(TableTime[Date]=B65),TableTime[Time]),"")</f>
        <v/>
      </c>
      <c r="N65" s="38" t="str">
        <f>IF(SUMIFS(TableTime[[Duration]:[Duration]],TableTime[[Date]:[Date]],$B65,TableTime[[Activity]:[Activity]],N$1)=0,"",SUMIFS(TableTime[[Duration]:[Duration]],TableTime[[Date]:[Date]],$B65,TableTime[[Activity]:[Activity]],N$1))</f>
        <v/>
      </c>
      <c r="O65" s="4" t="str">
        <f>IF(SUMIFS(TableTime[[Duration]:[Duration]],TableTime[[Date]:[Date]],$B65,TableTime[[Activity]:[Activity]],O$1)=0,"",SUMIFS(TableTime[[Duration]:[Duration]],TableTime[[Date]:[Date]],$B65,TableTime[[Activity]:[Activity]],O$1))</f>
        <v/>
      </c>
      <c r="P65" s="4" t="str">
        <f>IF(SUMIFS(TableTime[[Duration]:[Duration]],TableTime[[Date]:[Date]],$B65,TableTime[[Activity]:[Activity]],P$1)=0,"",SUMIFS(TableTime[[Duration]:[Duration]],TableTime[[Date]:[Date]],$B65,TableTime[[Activity]:[Activity]],P$1))</f>
        <v/>
      </c>
      <c r="Q65" s="4" t="str">
        <f>IF(SUMIFS(TableTime[[Duration]:[Duration]],TableTime[[Date]:[Date]],$B65,TableTime[[Activity]:[Activity]],Q$1)=0,"",SUMIFS(TableTime[[Duration]:[Duration]],TableTime[[Date]:[Date]],$B65,TableTime[[Activity]:[Activity]],Q$1))</f>
        <v/>
      </c>
      <c r="R65" s="4" t="str">
        <f>IF(SUMIFS(TableTime[[Duration]:[Duration]],TableTime[[Date]:[Date]],$B65,TableTime[[Activity]:[Activity]],R$1)=0,"",SUMIFS(TableTime[[Duration]:[Duration]],TableTime[[Date]:[Date]],$B65,TableTime[[Activity]:[Activity]],R$1))</f>
        <v/>
      </c>
      <c r="S65" s="130" t="str">
        <f>IF(SUMIFS(TableTime[[Duration]:[Duration]],TableTime[[Date]:[Date]],$B65,TableTime[[Activity]:[Activity]],S$1)=0,"",SUMIFS(TableTime[[Duration]:[Duration]],TableTime[[Date]:[Date]],$B65,TableTime[[Activity]:[Activity]],S$1))</f>
        <v/>
      </c>
      <c r="T65" s="4" t="str">
        <f>IF(SUMIFS(TableTime[[Duration]:[Duration]],TableTime[[Date]:[Date]],$B65,TableTime[[Activity]:[Activity]],T$1)=0,"",SUMIFS(TableTime[[Duration]:[Duration]],TableTime[[Date]:[Date]],$B65,TableTime[[Activity]:[Activity]],T$1))</f>
        <v/>
      </c>
      <c r="U65" s="39" t="str">
        <f>IF(SUMIFS(TableTime[[Duration]:[Duration]],TableTime[[Date]:[Date]],$B65,TableTime[[Activity]:[Activity]],U$1)=0,"",SUMIFS(TableTime[[Duration]:[Duration]],TableTime[[Date]:[Date]],$B65,TableTime[[Activity]:[Activity]],U$1))</f>
        <v/>
      </c>
    </row>
    <row r="66" spans="1:21" x14ac:dyDescent="0.35">
      <c r="A66" s="59" t="str">
        <f t="shared" ref="A66:A129" si="6">IFERROR(CHOOSE(WEEKDAY(B66,2),"Mon","Tue","Wed","Thr","Fri","Sat","Sun"),"")</f>
        <v>Mon</v>
      </c>
      <c r="B66" s="91">
        <f t="shared" si="2"/>
        <v>44991</v>
      </c>
      <c r="C66" s="60">
        <f t="shared" si="3"/>
        <v>3</v>
      </c>
      <c r="D66" s="61">
        <f t="shared" ref="D66:D129" si="7">IFERROR(WEEKNUM(B66,21),"")</f>
        <v>10</v>
      </c>
      <c r="E66" s="103"/>
      <c r="F66" s="60" t="str">
        <f>IFERROR(IF(OR(WEEKDAY(B66,2)=6,WEEKDAY(B66,2)=7),'Month summary'!$D$11,IF(E66="",'Month summary'!$C$11,E66)),"")</f>
        <v>W</v>
      </c>
      <c r="G66" s="62">
        <f>IF(B66&lt;Time!$B$2,"",IF(F66='Month summary'!$C$11,'Month summary'!$F$2/24,IF(F66="H/2",'Month summary'!$F$2/24/2,0)))</f>
        <v>0.33333333333333331</v>
      </c>
      <c r="H66" s="62">
        <f t="shared" si="4"/>
        <v>0</v>
      </c>
      <c r="I66" s="62" t="str">
        <f t="shared" si="5"/>
        <v/>
      </c>
      <c r="J66" s="108"/>
      <c r="K66" s="63" t="str">
        <f>IFERROR(INDEX(TableTime[Time],MATCH(B66,TableTime[Date],0)),"")</f>
        <v/>
      </c>
      <c r="L66" s="62" t="str">
        <f>IF(SUMIFS(TableTime[Duration],TableTime[Date],B66,TableTime[Activity],Projects!$C$9)+SUMIFS(TableTime[Duration],TableTime[Date],B66,TableTime[Activity],Projects!$C$10)+SUMIFS(TableTime[Duration],TableTime[Date],B66,TableTime[Activity],Projects!$C$11)=0,"",SUMIFS(TableTime[Duration],TableTime[Date],B66,TableTime[Activity],Projects!$C$9)+SUMIFS(TableTime[Duration],TableTime[Date],B66,TableTime[Activity],Projects!$C$10)+SUMIFS(TableTime[Duration],TableTime[Date],B66,TableTime[Activity],Projects!$C$11))</f>
        <v/>
      </c>
      <c r="M66" s="62" t="str" cm="1">
        <f t="array" ref="M66">IFERROR(LOOKUP(2,1/(TableTime[Date]=B66),TableTime[Time]),"")</f>
        <v/>
      </c>
      <c r="N66" s="63" t="str">
        <f>IF(SUMIFS(TableTime[[Duration]:[Duration]],TableTime[[Date]:[Date]],$B66,TableTime[[Activity]:[Activity]],N$1)=0,"",SUMIFS(TableTime[[Duration]:[Duration]],TableTime[[Date]:[Date]],$B66,TableTime[[Activity]:[Activity]],N$1))</f>
        <v/>
      </c>
      <c r="O66" s="62" t="str">
        <f>IF(SUMIFS(TableTime[[Duration]:[Duration]],TableTime[[Date]:[Date]],$B66,TableTime[[Activity]:[Activity]],O$1)=0,"",SUMIFS(TableTime[[Duration]:[Duration]],TableTime[[Date]:[Date]],$B66,TableTime[[Activity]:[Activity]],O$1))</f>
        <v/>
      </c>
      <c r="P66" s="62" t="str">
        <f>IF(SUMIFS(TableTime[[Duration]:[Duration]],TableTime[[Date]:[Date]],$B66,TableTime[[Activity]:[Activity]],P$1)=0,"",SUMIFS(TableTime[[Duration]:[Duration]],TableTime[[Date]:[Date]],$B66,TableTime[[Activity]:[Activity]],P$1))</f>
        <v/>
      </c>
      <c r="Q66" s="62" t="str">
        <f>IF(SUMIFS(TableTime[[Duration]:[Duration]],TableTime[[Date]:[Date]],$B66,TableTime[[Activity]:[Activity]],Q$1)=0,"",SUMIFS(TableTime[[Duration]:[Duration]],TableTime[[Date]:[Date]],$B66,TableTime[[Activity]:[Activity]],Q$1))</f>
        <v/>
      </c>
      <c r="R66" s="62" t="str">
        <f>IF(SUMIFS(TableTime[[Duration]:[Duration]],TableTime[[Date]:[Date]],$B66,TableTime[[Activity]:[Activity]],R$1)=0,"",SUMIFS(TableTime[[Duration]:[Duration]],TableTime[[Date]:[Date]],$B66,TableTime[[Activity]:[Activity]],R$1))</f>
        <v/>
      </c>
      <c r="S66" s="131" t="str">
        <f>IF(SUMIFS(TableTime[[Duration]:[Duration]],TableTime[[Date]:[Date]],$B66,TableTime[[Activity]:[Activity]],S$1)=0,"",SUMIFS(TableTime[[Duration]:[Duration]],TableTime[[Date]:[Date]],$B66,TableTime[[Activity]:[Activity]],S$1))</f>
        <v/>
      </c>
      <c r="T66" s="62" t="str">
        <f>IF(SUMIFS(TableTime[[Duration]:[Duration]],TableTime[[Date]:[Date]],$B66,TableTime[[Activity]:[Activity]],T$1)=0,"",SUMIFS(TableTime[[Duration]:[Duration]],TableTime[[Date]:[Date]],$B66,TableTime[[Activity]:[Activity]],T$1))</f>
        <v/>
      </c>
      <c r="U66" s="64" t="str">
        <f>IF(SUMIFS(TableTime[[Duration]:[Duration]],TableTime[[Date]:[Date]],$B66,TableTime[[Activity]:[Activity]],U$1)=0,"",SUMIFS(TableTime[[Duration]:[Duration]],TableTime[[Date]:[Date]],$B66,TableTime[[Activity]:[Activity]],U$1))</f>
        <v/>
      </c>
    </row>
    <row r="67" spans="1:21" x14ac:dyDescent="0.35">
      <c r="A67" s="35" t="str">
        <f t="shared" si="6"/>
        <v>Tue</v>
      </c>
      <c r="B67" s="5">
        <f t="shared" ref="B67:B130" si="8">IF(YEAR(B66+1)=Year,B66+1,"")</f>
        <v>44992</v>
      </c>
      <c r="C67" s="1">
        <f t="shared" ref="C67:C130" si="9">MONTH(B67)</f>
        <v>3</v>
      </c>
      <c r="D67" s="2">
        <f t="shared" si="7"/>
        <v>10</v>
      </c>
      <c r="E67" s="102"/>
      <c r="F67" s="1" t="str">
        <f>IFERROR(IF(OR(WEEKDAY(B67,2)=6,WEEKDAY(B67,2)=7),'Month summary'!$D$11,IF(E67="",'Month summary'!$C$11,E67)),"")</f>
        <v>W</v>
      </c>
      <c r="G67" s="4">
        <f>IF(B67&lt;Time!$B$2,"",IF(F67='Month summary'!$C$11,'Month summary'!$F$2/24,IF(F67="H/2",'Month summary'!$F$2/24/2,0)))</f>
        <v>0.33333333333333331</v>
      </c>
      <c r="H67" s="4">
        <f t="shared" ref="H67:H130" si="10">SUM(N67:S67)</f>
        <v>0</v>
      </c>
      <c r="I67" s="4" t="str">
        <f t="shared" ref="I67:I130" si="11">IF(ROUND(H67,2)=0,"",H67)</f>
        <v/>
      </c>
      <c r="J67" s="107"/>
      <c r="K67" s="38" t="str">
        <f>IFERROR(INDEX(TableTime[Time],MATCH(B67,TableTime[Date],0)),"")</f>
        <v/>
      </c>
      <c r="L67" s="4" t="str">
        <f>IF(SUMIFS(TableTime[Duration],TableTime[Date],B67,TableTime[Activity],Projects!$C$9)+SUMIFS(TableTime[Duration],TableTime[Date],B67,TableTime[Activity],Projects!$C$10)+SUMIFS(TableTime[Duration],TableTime[Date],B67,TableTime[Activity],Projects!$C$11)=0,"",SUMIFS(TableTime[Duration],TableTime[Date],B67,TableTime[Activity],Projects!$C$9)+SUMIFS(TableTime[Duration],TableTime[Date],B67,TableTime[Activity],Projects!$C$10)+SUMIFS(TableTime[Duration],TableTime[Date],B67,TableTime[Activity],Projects!$C$11))</f>
        <v/>
      </c>
      <c r="M67" s="4" t="str" cm="1">
        <f t="array" ref="M67">IFERROR(LOOKUP(2,1/(TableTime[Date]=B67),TableTime[Time]),"")</f>
        <v/>
      </c>
      <c r="N67" s="38" t="str">
        <f>IF(SUMIFS(TableTime[[Duration]:[Duration]],TableTime[[Date]:[Date]],$B67,TableTime[[Activity]:[Activity]],N$1)=0,"",SUMIFS(TableTime[[Duration]:[Duration]],TableTime[[Date]:[Date]],$B67,TableTime[[Activity]:[Activity]],N$1))</f>
        <v/>
      </c>
      <c r="O67" s="4" t="str">
        <f>IF(SUMIFS(TableTime[[Duration]:[Duration]],TableTime[[Date]:[Date]],$B67,TableTime[[Activity]:[Activity]],O$1)=0,"",SUMIFS(TableTime[[Duration]:[Duration]],TableTime[[Date]:[Date]],$B67,TableTime[[Activity]:[Activity]],O$1))</f>
        <v/>
      </c>
      <c r="P67" s="4" t="str">
        <f>IF(SUMIFS(TableTime[[Duration]:[Duration]],TableTime[[Date]:[Date]],$B67,TableTime[[Activity]:[Activity]],P$1)=0,"",SUMIFS(TableTime[[Duration]:[Duration]],TableTime[[Date]:[Date]],$B67,TableTime[[Activity]:[Activity]],P$1))</f>
        <v/>
      </c>
      <c r="Q67" s="4" t="str">
        <f>IF(SUMIFS(TableTime[[Duration]:[Duration]],TableTime[[Date]:[Date]],$B67,TableTime[[Activity]:[Activity]],Q$1)=0,"",SUMIFS(TableTime[[Duration]:[Duration]],TableTime[[Date]:[Date]],$B67,TableTime[[Activity]:[Activity]],Q$1))</f>
        <v/>
      </c>
      <c r="R67" s="4" t="str">
        <f>IF(SUMIFS(TableTime[[Duration]:[Duration]],TableTime[[Date]:[Date]],$B67,TableTime[[Activity]:[Activity]],R$1)=0,"",SUMIFS(TableTime[[Duration]:[Duration]],TableTime[[Date]:[Date]],$B67,TableTime[[Activity]:[Activity]],R$1))</f>
        <v/>
      </c>
      <c r="S67" s="130" t="str">
        <f>IF(SUMIFS(TableTime[[Duration]:[Duration]],TableTime[[Date]:[Date]],$B67,TableTime[[Activity]:[Activity]],S$1)=0,"",SUMIFS(TableTime[[Duration]:[Duration]],TableTime[[Date]:[Date]],$B67,TableTime[[Activity]:[Activity]],S$1))</f>
        <v/>
      </c>
      <c r="T67" s="4" t="str">
        <f>IF(SUMIFS(TableTime[[Duration]:[Duration]],TableTime[[Date]:[Date]],$B67,TableTime[[Activity]:[Activity]],T$1)=0,"",SUMIFS(TableTime[[Duration]:[Duration]],TableTime[[Date]:[Date]],$B67,TableTime[[Activity]:[Activity]],T$1))</f>
        <v/>
      </c>
      <c r="U67" s="39" t="str">
        <f>IF(SUMIFS(TableTime[[Duration]:[Duration]],TableTime[[Date]:[Date]],$B67,TableTime[[Activity]:[Activity]],U$1)=0,"",SUMIFS(TableTime[[Duration]:[Duration]],TableTime[[Date]:[Date]],$B67,TableTime[[Activity]:[Activity]],U$1))</f>
        <v/>
      </c>
    </row>
    <row r="68" spans="1:21" x14ac:dyDescent="0.35">
      <c r="A68" s="59" t="str">
        <f t="shared" si="6"/>
        <v>Wed</v>
      </c>
      <c r="B68" s="91">
        <f t="shared" si="8"/>
        <v>44993</v>
      </c>
      <c r="C68" s="60">
        <f t="shared" si="9"/>
        <v>3</v>
      </c>
      <c r="D68" s="61">
        <f t="shared" si="7"/>
        <v>10</v>
      </c>
      <c r="E68" s="103"/>
      <c r="F68" s="60" t="str">
        <f>IFERROR(IF(OR(WEEKDAY(B68,2)=6,WEEKDAY(B68,2)=7),'Month summary'!$D$11,IF(E68="",'Month summary'!$C$11,E68)),"")</f>
        <v>W</v>
      </c>
      <c r="G68" s="62">
        <f>IF(B68&lt;Time!$B$2,"",IF(F68='Month summary'!$C$11,'Month summary'!$F$2/24,IF(F68="H/2",'Month summary'!$F$2/24/2,0)))</f>
        <v>0.33333333333333331</v>
      </c>
      <c r="H68" s="62">
        <f t="shared" si="10"/>
        <v>0</v>
      </c>
      <c r="I68" s="62" t="str">
        <f t="shared" si="11"/>
        <v/>
      </c>
      <c r="J68" s="108"/>
      <c r="K68" s="63" t="str">
        <f>IFERROR(INDEX(TableTime[Time],MATCH(B68,TableTime[Date],0)),"")</f>
        <v/>
      </c>
      <c r="L68" s="62" t="str">
        <f>IF(SUMIFS(TableTime[Duration],TableTime[Date],B68,TableTime[Activity],Projects!$C$9)+SUMIFS(TableTime[Duration],TableTime[Date],B68,TableTime[Activity],Projects!$C$10)+SUMIFS(TableTime[Duration],TableTime[Date],B68,TableTime[Activity],Projects!$C$11)=0,"",SUMIFS(TableTime[Duration],TableTime[Date],B68,TableTime[Activity],Projects!$C$9)+SUMIFS(TableTime[Duration],TableTime[Date],B68,TableTime[Activity],Projects!$C$10)+SUMIFS(TableTime[Duration],TableTime[Date],B68,TableTime[Activity],Projects!$C$11))</f>
        <v/>
      </c>
      <c r="M68" s="62" t="str" cm="1">
        <f t="array" ref="M68">IFERROR(LOOKUP(2,1/(TableTime[Date]=B68),TableTime[Time]),"")</f>
        <v/>
      </c>
      <c r="N68" s="63" t="str">
        <f>IF(SUMIFS(TableTime[[Duration]:[Duration]],TableTime[[Date]:[Date]],$B68,TableTime[[Activity]:[Activity]],N$1)=0,"",SUMIFS(TableTime[[Duration]:[Duration]],TableTime[[Date]:[Date]],$B68,TableTime[[Activity]:[Activity]],N$1))</f>
        <v/>
      </c>
      <c r="O68" s="62" t="str">
        <f>IF(SUMIFS(TableTime[[Duration]:[Duration]],TableTime[[Date]:[Date]],$B68,TableTime[[Activity]:[Activity]],O$1)=0,"",SUMIFS(TableTime[[Duration]:[Duration]],TableTime[[Date]:[Date]],$B68,TableTime[[Activity]:[Activity]],O$1))</f>
        <v/>
      </c>
      <c r="P68" s="62" t="str">
        <f>IF(SUMIFS(TableTime[[Duration]:[Duration]],TableTime[[Date]:[Date]],$B68,TableTime[[Activity]:[Activity]],P$1)=0,"",SUMIFS(TableTime[[Duration]:[Duration]],TableTime[[Date]:[Date]],$B68,TableTime[[Activity]:[Activity]],P$1))</f>
        <v/>
      </c>
      <c r="Q68" s="62" t="str">
        <f>IF(SUMIFS(TableTime[[Duration]:[Duration]],TableTime[[Date]:[Date]],$B68,TableTime[[Activity]:[Activity]],Q$1)=0,"",SUMIFS(TableTime[[Duration]:[Duration]],TableTime[[Date]:[Date]],$B68,TableTime[[Activity]:[Activity]],Q$1))</f>
        <v/>
      </c>
      <c r="R68" s="62" t="str">
        <f>IF(SUMIFS(TableTime[[Duration]:[Duration]],TableTime[[Date]:[Date]],$B68,TableTime[[Activity]:[Activity]],R$1)=0,"",SUMIFS(TableTime[[Duration]:[Duration]],TableTime[[Date]:[Date]],$B68,TableTime[[Activity]:[Activity]],R$1))</f>
        <v/>
      </c>
      <c r="S68" s="131" t="str">
        <f>IF(SUMIFS(TableTime[[Duration]:[Duration]],TableTime[[Date]:[Date]],$B68,TableTime[[Activity]:[Activity]],S$1)=0,"",SUMIFS(TableTime[[Duration]:[Duration]],TableTime[[Date]:[Date]],$B68,TableTime[[Activity]:[Activity]],S$1))</f>
        <v/>
      </c>
      <c r="T68" s="62" t="str">
        <f>IF(SUMIFS(TableTime[[Duration]:[Duration]],TableTime[[Date]:[Date]],$B68,TableTime[[Activity]:[Activity]],T$1)=0,"",SUMIFS(TableTime[[Duration]:[Duration]],TableTime[[Date]:[Date]],$B68,TableTime[[Activity]:[Activity]],T$1))</f>
        <v/>
      </c>
      <c r="U68" s="64" t="str">
        <f>IF(SUMIFS(TableTime[[Duration]:[Duration]],TableTime[[Date]:[Date]],$B68,TableTime[[Activity]:[Activity]],U$1)=0,"",SUMIFS(TableTime[[Duration]:[Duration]],TableTime[[Date]:[Date]],$B68,TableTime[[Activity]:[Activity]],U$1))</f>
        <v/>
      </c>
    </row>
    <row r="69" spans="1:21" x14ac:dyDescent="0.35">
      <c r="A69" s="35" t="str">
        <f t="shared" si="6"/>
        <v>Thr</v>
      </c>
      <c r="B69" s="5">
        <f t="shared" si="8"/>
        <v>44994</v>
      </c>
      <c r="C69" s="1">
        <f t="shared" si="9"/>
        <v>3</v>
      </c>
      <c r="D69" s="2">
        <f t="shared" si="7"/>
        <v>10</v>
      </c>
      <c r="E69" s="102"/>
      <c r="F69" s="1" t="str">
        <f>IFERROR(IF(OR(WEEKDAY(B69,2)=6,WEEKDAY(B69,2)=7),'Month summary'!$D$11,IF(E69="",'Month summary'!$C$11,E69)),"")</f>
        <v>W</v>
      </c>
      <c r="G69" s="4">
        <f>IF(B69&lt;Time!$B$2,"",IF(F69='Month summary'!$C$11,'Month summary'!$F$2/24,IF(F69="H/2",'Month summary'!$F$2/24/2,0)))</f>
        <v>0.33333333333333331</v>
      </c>
      <c r="H69" s="4">
        <f t="shared" si="10"/>
        <v>0</v>
      </c>
      <c r="I69" s="4" t="str">
        <f t="shared" si="11"/>
        <v/>
      </c>
      <c r="J69" s="107"/>
      <c r="K69" s="38" t="str">
        <f>IFERROR(INDEX(TableTime[Time],MATCH(B69,TableTime[Date],0)),"")</f>
        <v/>
      </c>
      <c r="L69" s="4" t="str">
        <f>IF(SUMIFS(TableTime[Duration],TableTime[Date],B69,TableTime[Activity],Projects!$C$9)+SUMIFS(TableTime[Duration],TableTime[Date],B69,TableTime[Activity],Projects!$C$10)+SUMIFS(TableTime[Duration],TableTime[Date],B69,TableTime[Activity],Projects!$C$11)=0,"",SUMIFS(TableTime[Duration],TableTime[Date],B69,TableTime[Activity],Projects!$C$9)+SUMIFS(TableTime[Duration],TableTime[Date],B69,TableTime[Activity],Projects!$C$10)+SUMIFS(TableTime[Duration],TableTime[Date],B69,TableTime[Activity],Projects!$C$11))</f>
        <v/>
      </c>
      <c r="M69" s="4" t="str" cm="1">
        <f t="array" ref="M69">IFERROR(LOOKUP(2,1/(TableTime[Date]=B69),TableTime[Time]),"")</f>
        <v/>
      </c>
      <c r="N69" s="38" t="str">
        <f>IF(SUMIFS(TableTime[[Duration]:[Duration]],TableTime[[Date]:[Date]],$B69,TableTime[[Activity]:[Activity]],N$1)=0,"",SUMIFS(TableTime[[Duration]:[Duration]],TableTime[[Date]:[Date]],$B69,TableTime[[Activity]:[Activity]],N$1))</f>
        <v/>
      </c>
      <c r="O69" s="4" t="str">
        <f>IF(SUMIFS(TableTime[[Duration]:[Duration]],TableTime[[Date]:[Date]],$B69,TableTime[[Activity]:[Activity]],O$1)=0,"",SUMIFS(TableTime[[Duration]:[Duration]],TableTime[[Date]:[Date]],$B69,TableTime[[Activity]:[Activity]],O$1))</f>
        <v/>
      </c>
      <c r="P69" s="4" t="str">
        <f>IF(SUMIFS(TableTime[[Duration]:[Duration]],TableTime[[Date]:[Date]],$B69,TableTime[[Activity]:[Activity]],P$1)=0,"",SUMIFS(TableTime[[Duration]:[Duration]],TableTime[[Date]:[Date]],$B69,TableTime[[Activity]:[Activity]],P$1))</f>
        <v/>
      </c>
      <c r="Q69" s="4" t="str">
        <f>IF(SUMIFS(TableTime[[Duration]:[Duration]],TableTime[[Date]:[Date]],$B69,TableTime[[Activity]:[Activity]],Q$1)=0,"",SUMIFS(TableTime[[Duration]:[Duration]],TableTime[[Date]:[Date]],$B69,TableTime[[Activity]:[Activity]],Q$1))</f>
        <v/>
      </c>
      <c r="R69" s="4" t="str">
        <f>IF(SUMIFS(TableTime[[Duration]:[Duration]],TableTime[[Date]:[Date]],$B69,TableTime[[Activity]:[Activity]],R$1)=0,"",SUMIFS(TableTime[[Duration]:[Duration]],TableTime[[Date]:[Date]],$B69,TableTime[[Activity]:[Activity]],R$1))</f>
        <v/>
      </c>
      <c r="S69" s="130" t="str">
        <f>IF(SUMIFS(TableTime[[Duration]:[Duration]],TableTime[[Date]:[Date]],$B69,TableTime[[Activity]:[Activity]],S$1)=0,"",SUMIFS(TableTime[[Duration]:[Duration]],TableTime[[Date]:[Date]],$B69,TableTime[[Activity]:[Activity]],S$1))</f>
        <v/>
      </c>
      <c r="T69" s="4" t="str">
        <f>IF(SUMIFS(TableTime[[Duration]:[Duration]],TableTime[[Date]:[Date]],$B69,TableTime[[Activity]:[Activity]],T$1)=0,"",SUMIFS(TableTime[[Duration]:[Duration]],TableTime[[Date]:[Date]],$B69,TableTime[[Activity]:[Activity]],T$1))</f>
        <v/>
      </c>
      <c r="U69" s="39" t="str">
        <f>IF(SUMIFS(TableTime[[Duration]:[Duration]],TableTime[[Date]:[Date]],$B69,TableTime[[Activity]:[Activity]],U$1)=0,"",SUMIFS(TableTime[[Duration]:[Duration]],TableTime[[Date]:[Date]],$B69,TableTime[[Activity]:[Activity]],U$1))</f>
        <v/>
      </c>
    </row>
    <row r="70" spans="1:21" x14ac:dyDescent="0.35">
      <c r="A70" s="59" t="str">
        <f t="shared" si="6"/>
        <v>Fri</v>
      </c>
      <c r="B70" s="91">
        <f t="shared" si="8"/>
        <v>44995</v>
      </c>
      <c r="C70" s="60">
        <f t="shared" si="9"/>
        <v>3</v>
      </c>
      <c r="D70" s="61">
        <f t="shared" si="7"/>
        <v>10</v>
      </c>
      <c r="E70" s="103"/>
      <c r="F70" s="60" t="str">
        <f>IFERROR(IF(OR(WEEKDAY(B70,2)=6,WEEKDAY(B70,2)=7),'Month summary'!$D$11,IF(E70="",'Month summary'!$C$11,E70)),"")</f>
        <v>W</v>
      </c>
      <c r="G70" s="62">
        <f>IF(B70&lt;Time!$B$2,"",IF(F70='Month summary'!$C$11,'Month summary'!$F$2/24,IF(F70="H/2",'Month summary'!$F$2/24/2,0)))</f>
        <v>0.33333333333333331</v>
      </c>
      <c r="H70" s="62">
        <f t="shared" si="10"/>
        <v>0</v>
      </c>
      <c r="I70" s="62" t="str">
        <f t="shared" si="11"/>
        <v/>
      </c>
      <c r="J70" s="108"/>
      <c r="K70" s="63" t="str">
        <f>IFERROR(INDEX(TableTime[Time],MATCH(B70,TableTime[Date],0)),"")</f>
        <v/>
      </c>
      <c r="L70" s="62" t="str">
        <f>IF(SUMIFS(TableTime[Duration],TableTime[Date],B70,TableTime[Activity],Projects!$C$9)+SUMIFS(TableTime[Duration],TableTime[Date],B70,TableTime[Activity],Projects!$C$10)+SUMIFS(TableTime[Duration],TableTime[Date],B70,TableTime[Activity],Projects!$C$11)=0,"",SUMIFS(TableTime[Duration],TableTime[Date],B70,TableTime[Activity],Projects!$C$9)+SUMIFS(TableTime[Duration],TableTime[Date],B70,TableTime[Activity],Projects!$C$10)+SUMIFS(TableTime[Duration],TableTime[Date],B70,TableTime[Activity],Projects!$C$11))</f>
        <v/>
      </c>
      <c r="M70" s="62" t="str" cm="1">
        <f t="array" ref="M70">IFERROR(LOOKUP(2,1/(TableTime[Date]=B70),TableTime[Time]),"")</f>
        <v/>
      </c>
      <c r="N70" s="63" t="str">
        <f>IF(SUMIFS(TableTime[[Duration]:[Duration]],TableTime[[Date]:[Date]],$B70,TableTime[[Activity]:[Activity]],N$1)=0,"",SUMIFS(TableTime[[Duration]:[Duration]],TableTime[[Date]:[Date]],$B70,TableTime[[Activity]:[Activity]],N$1))</f>
        <v/>
      </c>
      <c r="O70" s="62" t="str">
        <f>IF(SUMIFS(TableTime[[Duration]:[Duration]],TableTime[[Date]:[Date]],$B70,TableTime[[Activity]:[Activity]],O$1)=0,"",SUMIFS(TableTime[[Duration]:[Duration]],TableTime[[Date]:[Date]],$B70,TableTime[[Activity]:[Activity]],O$1))</f>
        <v/>
      </c>
      <c r="P70" s="62" t="str">
        <f>IF(SUMIFS(TableTime[[Duration]:[Duration]],TableTime[[Date]:[Date]],$B70,TableTime[[Activity]:[Activity]],P$1)=0,"",SUMIFS(TableTime[[Duration]:[Duration]],TableTime[[Date]:[Date]],$B70,TableTime[[Activity]:[Activity]],P$1))</f>
        <v/>
      </c>
      <c r="Q70" s="62" t="str">
        <f>IF(SUMIFS(TableTime[[Duration]:[Duration]],TableTime[[Date]:[Date]],$B70,TableTime[[Activity]:[Activity]],Q$1)=0,"",SUMIFS(TableTime[[Duration]:[Duration]],TableTime[[Date]:[Date]],$B70,TableTime[[Activity]:[Activity]],Q$1))</f>
        <v/>
      </c>
      <c r="R70" s="62" t="str">
        <f>IF(SUMIFS(TableTime[[Duration]:[Duration]],TableTime[[Date]:[Date]],$B70,TableTime[[Activity]:[Activity]],R$1)=0,"",SUMIFS(TableTime[[Duration]:[Duration]],TableTime[[Date]:[Date]],$B70,TableTime[[Activity]:[Activity]],R$1))</f>
        <v/>
      </c>
      <c r="S70" s="131" t="str">
        <f>IF(SUMIFS(TableTime[[Duration]:[Duration]],TableTime[[Date]:[Date]],$B70,TableTime[[Activity]:[Activity]],S$1)=0,"",SUMIFS(TableTime[[Duration]:[Duration]],TableTime[[Date]:[Date]],$B70,TableTime[[Activity]:[Activity]],S$1))</f>
        <v/>
      </c>
      <c r="T70" s="62" t="str">
        <f>IF(SUMIFS(TableTime[[Duration]:[Duration]],TableTime[[Date]:[Date]],$B70,TableTime[[Activity]:[Activity]],T$1)=0,"",SUMIFS(TableTime[[Duration]:[Duration]],TableTime[[Date]:[Date]],$B70,TableTime[[Activity]:[Activity]],T$1))</f>
        <v/>
      </c>
      <c r="U70" s="64" t="str">
        <f>IF(SUMIFS(TableTime[[Duration]:[Duration]],TableTime[[Date]:[Date]],$B70,TableTime[[Activity]:[Activity]],U$1)=0,"",SUMIFS(TableTime[[Duration]:[Duration]],TableTime[[Date]:[Date]],$B70,TableTime[[Activity]:[Activity]],U$1))</f>
        <v/>
      </c>
    </row>
    <row r="71" spans="1:21" x14ac:dyDescent="0.35">
      <c r="A71" s="35" t="str">
        <f t="shared" si="6"/>
        <v>Sat</v>
      </c>
      <c r="B71" s="5">
        <f t="shared" si="8"/>
        <v>44996</v>
      </c>
      <c r="C71" s="1">
        <f t="shared" si="9"/>
        <v>3</v>
      </c>
      <c r="D71" s="2">
        <f t="shared" si="7"/>
        <v>10</v>
      </c>
      <c r="E71" s="102"/>
      <c r="F71" s="1" t="str">
        <f>IFERROR(IF(OR(WEEKDAY(B71,2)=6,WEEKDAY(B71,2)=7),'Month summary'!$D$11,IF(E71="",'Month summary'!$C$11,E71)),"")</f>
        <v>WE</v>
      </c>
      <c r="G71" s="4">
        <f>IF(B71&lt;Time!$B$2,"",IF(F71='Month summary'!$C$11,'Month summary'!$F$2/24,IF(F71="H/2",'Month summary'!$F$2/24/2,0)))</f>
        <v>0</v>
      </c>
      <c r="H71" s="4">
        <f t="shared" si="10"/>
        <v>0</v>
      </c>
      <c r="I71" s="4" t="str">
        <f t="shared" si="11"/>
        <v/>
      </c>
      <c r="J71" s="107"/>
      <c r="K71" s="38" t="str">
        <f>IFERROR(INDEX(TableTime[Time],MATCH(B71,TableTime[Date],0)),"")</f>
        <v/>
      </c>
      <c r="L71" s="4" t="str">
        <f>IF(SUMIFS(TableTime[Duration],TableTime[Date],B71,TableTime[Activity],Projects!$C$9)+SUMIFS(TableTime[Duration],TableTime[Date],B71,TableTime[Activity],Projects!$C$10)+SUMIFS(TableTime[Duration],TableTime[Date],B71,TableTime[Activity],Projects!$C$11)=0,"",SUMIFS(TableTime[Duration],TableTime[Date],B71,TableTime[Activity],Projects!$C$9)+SUMIFS(TableTime[Duration],TableTime[Date],B71,TableTime[Activity],Projects!$C$10)+SUMIFS(TableTime[Duration],TableTime[Date],B71,TableTime[Activity],Projects!$C$11))</f>
        <v/>
      </c>
      <c r="M71" s="4" t="str" cm="1">
        <f t="array" ref="M71">IFERROR(LOOKUP(2,1/(TableTime[Date]=B71),TableTime[Time]),"")</f>
        <v/>
      </c>
      <c r="N71" s="38" t="str">
        <f>IF(SUMIFS(TableTime[[Duration]:[Duration]],TableTime[[Date]:[Date]],$B71,TableTime[[Activity]:[Activity]],N$1)=0,"",SUMIFS(TableTime[[Duration]:[Duration]],TableTime[[Date]:[Date]],$B71,TableTime[[Activity]:[Activity]],N$1))</f>
        <v/>
      </c>
      <c r="O71" s="4" t="str">
        <f>IF(SUMIFS(TableTime[[Duration]:[Duration]],TableTime[[Date]:[Date]],$B71,TableTime[[Activity]:[Activity]],O$1)=0,"",SUMIFS(TableTime[[Duration]:[Duration]],TableTime[[Date]:[Date]],$B71,TableTime[[Activity]:[Activity]],O$1))</f>
        <v/>
      </c>
      <c r="P71" s="4" t="str">
        <f>IF(SUMIFS(TableTime[[Duration]:[Duration]],TableTime[[Date]:[Date]],$B71,TableTime[[Activity]:[Activity]],P$1)=0,"",SUMIFS(TableTime[[Duration]:[Duration]],TableTime[[Date]:[Date]],$B71,TableTime[[Activity]:[Activity]],P$1))</f>
        <v/>
      </c>
      <c r="Q71" s="4" t="str">
        <f>IF(SUMIFS(TableTime[[Duration]:[Duration]],TableTime[[Date]:[Date]],$B71,TableTime[[Activity]:[Activity]],Q$1)=0,"",SUMIFS(TableTime[[Duration]:[Duration]],TableTime[[Date]:[Date]],$B71,TableTime[[Activity]:[Activity]],Q$1))</f>
        <v/>
      </c>
      <c r="R71" s="4" t="str">
        <f>IF(SUMIFS(TableTime[[Duration]:[Duration]],TableTime[[Date]:[Date]],$B71,TableTime[[Activity]:[Activity]],R$1)=0,"",SUMIFS(TableTime[[Duration]:[Duration]],TableTime[[Date]:[Date]],$B71,TableTime[[Activity]:[Activity]],R$1))</f>
        <v/>
      </c>
      <c r="S71" s="130" t="str">
        <f>IF(SUMIFS(TableTime[[Duration]:[Duration]],TableTime[[Date]:[Date]],$B71,TableTime[[Activity]:[Activity]],S$1)=0,"",SUMIFS(TableTime[[Duration]:[Duration]],TableTime[[Date]:[Date]],$B71,TableTime[[Activity]:[Activity]],S$1))</f>
        <v/>
      </c>
      <c r="T71" s="4" t="str">
        <f>IF(SUMIFS(TableTime[[Duration]:[Duration]],TableTime[[Date]:[Date]],$B71,TableTime[[Activity]:[Activity]],T$1)=0,"",SUMIFS(TableTime[[Duration]:[Duration]],TableTime[[Date]:[Date]],$B71,TableTime[[Activity]:[Activity]],T$1))</f>
        <v/>
      </c>
      <c r="U71" s="39" t="str">
        <f>IF(SUMIFS(TableTime[[Duration]:[Duration]],TableTime[[Date]:[Date]],$B71,TableTime[[Activity]:[Activity]],U$1)=0,"",SUMIFS(TableTime[[Duration]:[Duration]],TableTime[[Date]:[Date]],$B71,TableTime[[Activity]:[Activity]],U$1))</f>
        <v/>
      </c>
    </row>
    <row r="72" spans="1:21" x14ac:dyDescent="0.35">
      <c r="A72" s="59" t="str">
        <f t="shared" si="6"/>
        <v>Sun</v>
      </c>
      <c r="B72" s="91">
        <f t="shared" si="8"/>
        <v>44997</v>
      </c>
      <c r="C72" s="60">
        <f t="shared" si="9"/>
        <v>3</v>
      </c>
      <c r="D72" s="61">
        <f t="shared" si="7"/>
        <v>10</v>
      </c>
      <c r="E72" s="103"/>
      <c r="F72" s="60" t="str">
        <f>IFERROR(IF(OR(WEEKDAY(B72,2)=6,WEEKDAY(B72,2)=7),'Month summary'!$D$11,IF(E72="",'Month summary'!$C$11,E72)),"")</f>
        <v>WE</v>
      </c>
      <c r="G72" s="62">
        <f>IF(B72&lt;Time!$B$2,"",IF(F72='Month summary'!$C$11,'Month summary'!$F$2/24,IF(F72="H/2",'Month summary'!$F$2/24/2,0)))</f>
        <v>0</v>
      </c>
      <c r="H72" s="62">
        <f t="shared" si="10"/>
        <v>0</v>
      </c>
      <c r="I72" s="62" t="str">
        <f t="shared" si="11"/>
        <v/>
      </c>
      <c r="J72" s="108"/>
      <c r="K72" s="63" t="str">
        <f>IFERROR(INDEX(TableTime[Time],MATCH(B72,TableTime[Date],0)),"")</f>
        <v/>
      </c>
      <c r="L72" s="62" t="str">
        <f>IF(SUMIFS(TableTime[Duration],TableTime[Date],B72,TableTime[Activity],Projects!$C$9)+SUMIFS(TableTime[Duration],TableTime[Date],B72,TableTime[Activity],Projects!$C$10)+SUMIFS(TableTime[Duration],TableTime[Date],B72,TableTime[Activity],Projects!$C$11)=0,"",SUMIFS(TableTime[Duration],TableTime[Date],B72,TableTime[Activity],Projects!$C$9)+SUMIFS(TableTime[Duration],TableTime[Date],B72,TableTime[Activity],Projects!$C$10)+SUMIFS(TableTime[Duration],TableTime[Date],B72,TableTime[Activity],Projects!$C$11))</f>
        <v/>
      </c>
      <c r="M72" s="62" t="str" cm="1">
        <f t="array" ref="M72">IFERROR(LOOKUP(2,1/(TableTime[Date]=B72),TableTime[Time]),"")</f>
        <v/>
      </c>
      <c r="N72" s="63" t="str">
        <f>IF(SUMIFS(TableTime[[Duration]:[Duration]],TableTime[[Date]:[Date]],$B72,TableTime[[Activity]:[Activity]],N$1)=0,"",SUMIFS(TableTime[[Duration]:[Duration]],TableTime[[Date]:[Date]],$B72,TableTime[[Activity]:[Activity]],N$1))</f>
        <v/>
      </c>
      <c r="O72" s="62" t="str">
        <f>IF(SUMIFS(TableTime[[Duration]:[Duration]],TableTime[[Date]:[Date]],$B72,TableTime[[Activity]:[Activity]],O$1)=0,"",SUMIFS(TableTime[[Duration]:[Duration]],TableTime[[Date]:[Date]],$B72,TableTime[[Activity]:[Activity]],O$1))</f>
        <v/>
      </c>
      <c r="P72" s="62" t="str">
        <f>IF(SUMIFS(TableTime[[Duration]:[Duration]],TableTime[[Date]:[Date]],$B72,TableTime[[Activity]:[Activity]],P$1)=0,"",SUMIFS(TableTime[[Duration]:[Duration]],TableTime[[Date]:[Date]],$B72,TableTime[[Activity]:[Activity]],P$1))</f>
        <v/>
      </c>
      <c r="Q72" s="62" t="str">
        <f>IF(SUMIFS(TableTime[[Duration]:[Duration]],TableTime[[Date]:[Date]],$B72,TableTime[[Activity]:[Activity]],Q$1)=0,"",SUMIFS(TableTime[[Duration]:[Duration]],TableTime[[Date]:[Date]],$B72,TableTime[[Activity]:[Activity]],Q$1))</f>
        <v/>
      </c>
      <c r="R72" s="62" t="str">
        <f>IF(SUMIFS(TableTime[[Duration]:[Duration]],TableTime[[Date]:[Date]],$B72,TableTime[[Activity]:[Activity]],R$1)=0,"",SUMIFS(TableTime[[Duration]:[Duration]],TableTime[[Date]:[Date]],$B72,TableTime[[Activity]:[Activity]],R$1))</f>
        <v/>
      </c>
      <c r="S72" s="131" t="str">
        <f>IF(SUMIFS(TableTime[[Duration]:[Duration]],TableTime[[Date]:[Date]],$B72,TableTime[[Activity]:[Activity]],S$1)=0,"",SUMIFS(TableTime[[Duration]:[Duration]],TableTime[[Date]:[Date]],$B72,TableTime[[Activity]:[Activity]],S$1))</f>
        <v/>
      </c>
      <c r="T72" s="62" t="str">
        <f>IF(SUMIFS(TableTime[[Duration]:[Duration]],TableTime[[Date]:[Date]],$B72,TableTime[[Activity]:[Activity]],T$1)=0,"",SUMIFS(TableTime[[Duration]:[Duration]],TableTime[[Date]:[Date]],$B72,TableTime[[Activity]:[Activity]],T$1))</f>
        <v/>
      </c>
      <c r="U72" s="64" t="str">
        <f>IF(SUMIFS(TableTime[[Duration]:[Duration]],TableTime[[Date]:[Date]],$B72,TableTime[[Activity]:[Activity]],U$1)=0,"",SUMIFS(TableTime[[Duration]:[Duration]],TableTime[[Date]:[Date]],$B72,TableTime[[Activity]:[Activity]],U$1))</f>
        <v/>
      </c>
    </row>
    <row r="73" spans="1:21" x14ac:dyDescent="0.35">
      <c r="A73" s="35" t="str">
        <f t="shared" si="6"/>
        <v>Mon</v>
      </c>
      <c r="B73" s="5">
        <f t="shared" si="8"/>
        <v>44998</v>
      </c>
      <c r="C73" s="1">
        <f t="shared" si="9"/>
        <v>3</v>
      </c>
      <c r="D73" s="2">
        <f t="shared" si="7"/>
        <v>11</v>
      </c>
      <c r="E73" s="102"/>
      <c r="F73" s="1" t="str">
        <f>IFERROR(IF(OR(WEEKDAY(B73,2)=6,WEEKDAY(B73,2)=7),'Month summary'!$D$11,IF(E73="",'Month summary'!$C$11,E73)),"")</f>
        <v>W</v>
      </c>
      <c r="G73" s="4">
        <f>IF(B73&lt;Time!$B$2,"",IF(F73='Month summary'!$C$11,'Month summary'!$F$2/24,IF(F73="H/2",'Month summary'!$F$2/24/2,0)))</f>
        <v>0.33333333333333331</v>
      </c>
      <c r="H73" s="4">
        <f t="shared" si="10"/>
        <v>0</v>
      </c>
      <c r="I73" s="4" t="str">
        <f t="shared" si="11"/>
        <v/>
      </c>
      <c r="J73" s="107"/>
      <c r="K73" s="38" t="str">
        <f>IFERROR(INDEX(TableTime[Time],MATCH(B73,TableTime[Date],0)),"")</f>
        <v/>
      </c>
      <c r="L73" s="4" t="str">
        <f>IF(SUMIFS(TableTime[Duration],TableTime[Date],B73,TableTime[Activity],Projects!$C$9)+SUMIFS(TableTime[Duration],TableTime[Date],B73,TableTime[Activity],Projects!$C$10)+SUMIFS(TableTime[Duration],TableTime[Date],B73,TableTime[Activity],Projects!$C$11)=0,"",SUMIFS(TableTime[Duration],TableTime[Date],B73,TableTime[Activity],Projects!$C$9)+SUMIFS(TableTime[Duration],TableTime[Date],B73,TableTime[Activity],Projects!$C$10)+SUMIFS(TableTime[Duration],TableTime[Date],B73,TableTime[Activity],Projects!$C$11))</f>
        <v/>
      </c>
      <c r="M73" s="4" t="str" cm="1">
        <f t="array" ref="M73">IFERROR(LOOKUP(2,1/(TableTime[Date]=B73),TableTime[Time]),"")</f>
        <v/>
      </c>
      <c r="N73" s="38" t="str">
        <f>IF(SUMIFS(TableTime[[Duration]:[Duration]],TableTime[[Date]:[Date]],$B73,TableTime[[Activity]:[Activity]],N$1)=0,"",SUMIFS(TableTime[[Duration]:[Duration]],TableTime[[Date]:[Date]],$B73,TableTime[[Activity]:[Activity]],N$1))</f>
        <v/>
      </c>
      <c r="O73" s="4" t="str">
        <f>IF(SUMIFS(TableTime[[Duration]:[Duration]],TableTime[[Date]:[Date]],$B73,TableTime[[Activity]:[Activity]],O$1)=0,"",SUMIFS(TableTime[[Duration]:[Duration]],TableTime[[Date]:[Date]],$B73,TableTime[[Activity]:[Activity]],O$1))</f>
        <v/>
      </c>
      <c r="P73" s="4" t="str">
        <f>IF(SUMIFS(TableTime[[Duration]:[Duration]],TableTime[[Date]:[Date]],$B73,TableTime[[Activity]:[Activity]],P$1)=0,"",SUMIFS(TableTime[[Duration]:[Duration]],TableTime[[Date]:[Date]],$B73,TableTime[[Activity]:[Activity]],P$1))</f>
        <v/>
      </c>
      <c r="Q73" s="4" t="str">
        <f>IF(SUMIFS(TableTime[[Duration]:[Duration]],TableTime[[Date]:[Date]],$B73,TableTime[[Activity]:[Activity]],Q$1)=0,"",SUMIFS(TableTime[[Duration]:[Duration]],TableTime[[Date]:[Date]],$B73,TableTime[[Activity]:[Activity]],Q$1))</f>
        <v/>
      </c>
      <c r="R73" s="4" t="str">
        <f>IF(SUMIFS(TableTime[[Duration]:[Duration]],TableTime[[Date]:[Date]],$B73,TableTime[[Activity]:[Activity]],R$1)=0,"",SUMIFS(TableTime[[Duration]:[Duration]],TableTime[[Date]:[Date]],$B73,TableTime[[Activity]:[Activity]],R$1))</f>
        <v/>
      </c>
      <c r="S73" s="130" t="str">
        <f>IF(SUMIFS(TableTime[[Duration]:[Duration]],TableTime[[Date]:[Date]],$B73,TableTime[[Activity]:[Activity]],S$1)=0,"",SUMIFS(TableTime[[Duration]:[Duration]],TableTime[[Date]:[Date]],$B73,TableTime[[Activity]:[Activity]],S$1))</f>
        <v/>
      </c>
      <c r="T73" s="4" t="str">
        <f>IF(SUMIFS(TableTime[[Duration]:[Duration]],TableTime[[Date]:[Date]],$B73,TableTime[[Activity]:[Activity]],T$1)=0,"",SUMIFS(TableTime[[Duration]:[Duration]],TableTime[[Date]:[Date]],$B73,TableTime[[Activity]:[Activity]],T$1))</f>
        <v/>
      </c>
      <c r="U73" s="39" t="str">
        <f>IF(SUMIFS(TableTime[[Duration]:[Duration]],TableTime[[Date]:[Date]],$B73,TableTime[[Activity]:[Activity]],U$1)=0,"",SUMIFS(TableTime[[Duration]:[Duration]],TableTime[[Date]:[Date]],$B73,TableTime[[Activity]:[Activity]],U$1))</f>
        <v/>
      </c>
    </row>
    <row r="74" spans="1:21" x14ac:dyDescent="0.35">
      <c r="A74" s="59" t="str">
        <f t="shared" si="6"/>
        <v>Tue</v>
      </c>
      <c r="B74" s="91">
        <f t="shared" si="8"/>
        <v>44999</v>
      </c>
      <c r="C74" s="60">
        <f t="shared" si="9"/>
        <v>3</v>
      </c>
      <c r="D74" s="61">
        <f t="shared" si="7"/>
        <v>11</v>
      </c>
      <c r="E74" s="103"/>
      <c r="F74" s="60" t="str">
        <f>IFERROR(IF(OR(WEEKDAY(B74,2)=6,WEEKDAY(B74,2)=7),'Month summary'!$D$11,IF(E74="",'Month summary'!$C$11,E74)),"")</f>
        <v>W</v>
      </c>
      <c r="G74" s="62">
        <f>IF(B74&lt;Time!$B$2,"",IF(F74='Month summary'!$C$11,'Month summary'!$F$2/24,IF(F74="H/2",'Month summary'!$F$2/24/2,0)))</f>
        <v>0.33333333333333331</v>
      </c>
      <c r="H74" s="62">
        <f t="shared" si="10"/>
        <v>0</v>
      </c>
      <c r="I74" s="62" t="str">
        <f t="shared" si="11"/>
        <v/>
      </c>
      <c r="J74" s="108"/>
      <c r="K74" s="63" t="str">
        <f>IFERROR(INDEX(TableTime[Time],MATCH(B74,TableTime[Date],0)),"")</f>
        <v/>
      </c>
      <c r="L74" s="62" t="str">
        <f>IF(SUMIFS(TableTime[Duration],TableTime[Date],B74,TableTime[Activity],Projects!$C$9)+SUMIFS(TableTime[Duration],TableTime[Date],B74,TableTime[Activity],Projects!$C$10)+SUMIFS(TableTime[Duration],TableTime[Date],B74,TableTime[Activity],Projects!$C$11)=0,"",SUMIFS(TableTime[Duration],TableTime[Date],B74,TableTime[Activity],Projects!$C$9)+SUMIFS(TableTime[Duration],TableTime[Date],B74,TableTime[Activity],Projects!$C$10)+SUMIFS(TableTime[Duration],TableTime[Date],B74,TableTime[Activity],Projects!$C$11))</f>
        <v/>
      </c>
      <c r="M74" s="62" t="str" cm="1">
        <f t="array" ref="M74">IFERROR(LOOKUP(2,1/(TableTime[Date]=B74),TableTime[Time]),"")</f>
        <v/>
      </c>
      <c r="N74" s="63" t="str">
        <f>IF(SUMIFS(TableTime[[Duration]:[Duration]],TableTime[[Date]:[Date]],$B74,TableTime[[Activity]:[Activity]],N$1)=0,"",SUMIFS(TableTime[[Duration]:[Duration]],TableTime[[Date]:[Date]],$B74,TableTime[[Activity]:[Activity]],N$1))</f>
        <v/>
      </c>
      <c r="O74" s="62" t="str">
        <f>IF(SUMIFS(TableTime[[Duration]:[Duration]],TableTime[[Date]:[Date]],$B74,TableTime[[Activity]:[Activity]],O$1)=0,"",SUMIFS(TableTime[[Duration]:[Duration]],TableTime[[Date]:[Date]],$B74,TableTime[[Activity]:[Activity]],O$1))</f>
        <v/>
      </c>
      <c r="P74" s="62" t="str">
        <f>IF(SUMIFS(TableTime[[Duration]:[Duration]],TableTime[[Date]:[Date]],$B74,TableTime[[Activity]:[Activity]],P$1)=0,"",SUMIFS(TableTime[[Duration]:[Duration]],TableTime[[Date]:[Date]],$B74,TableTime[[Activity]:[Activity]],P$1))</f>
        <v/>
      </c>
      <c r="Q74" s="62" t="str">
        <f>IF(SUMIFS(TableTime[[Duration]:[Duration]],TableTime[[Date]:[Date]],$B74,TableTime[[Activity]:[Activity]],Q$1)=0,"",SUMIFS(TableTime[[Duration]:[Duration]],TableTime[[Date]:[Date]],$B74,TableTime[[Activity]:[Activity]],Q$1))</f>
        <v/>
      </c>
      <c r="R74" s="62" t="str">
        <f>IF(SUMIFS(TableTime[[Duration]:[Duration]],TableTime[[Date]:[Date]],$B74,TableTime[[Activity]:[Activity]],R$1)=0,"",SUMIFS(TableTime[[Duration]:[Duration]],TableTime[[Date]:[Date]],$B74,TableTime[[Activity]:[Activity]],R$1))</f>
        <v/>
      </c>
      <c r="S74" s="131" t="str">
        <f>IF(SUMIFS(TableTime[[Duration]:[Duration]],TableTime[[Date]:[Date]],$B74,TableTime[[Activity]:[Activity]],S$1)=0,"",SUMIFS(TableTime[[Duration]:[Duration]],TableTime[[Date]:[Date]],$B74,TableTime[[Activity]:[Activity]],S$1))</f>
        <v/>
      </c>
      <c r="T74" s="62" t="str">
        <f>IF(SUMIFS(TableTime[[Duration]:[Duration]],TableTime[[Date]:[Date]],$B74,TableTime[[Activity]:[Activity]],T$1)=0,"",SUMIFS(TableTime[[Duration]:[Duration]],TableTime[[Date]:[Date]],$B74,TableTime[[Activity]:[Activity]],T$1))</f>
        <v/>
      </c>
      <c r="U74" s="64" t="str">
        <f>IF(SUMIFS(TableTime[[Duration]:[Duration]],TableTime[[Date]:[Date]],$B74,TableTime[[Activity]:[Activity]],U$1)=0,"",SUMIFS(TableTime[[Duration]:[Duration]],TableTime[[Date]:[Date]],$B74,TableTime[[Activity]:[Activity]],U$1))</f>
        <v/>
      </c>
    </row>
    <row r="75" spans="1:21" x14ac:dyDescent="0.35">
      <c r="A75" s="35" t="str">
        <f t="shared" si="6"/>
        <v>Wed</v>
      </c>
      <c r="B75" s="5">
        <f t="shared" si="8"/>
        <v>45000</v>
      </c>
      <c r="C75" s="1">
        <f t="shared" si="9"/>
        <v>3</v>
      </c>
      <c r="D75" s="2">
        <f t="shared" si="7"/>
        <v>11</v>
      </c>
      <c r="E75" s="102"/>
      <c r="F75" s="1" t="str">
        <f>IFERROR(IF(OR(WEEKDAY(B75,2)=6,WEEKDAY(B75,2)=7),'Month summary'!$D$11,IF(E75="",'Month summary'!$C$11,E75)),"")</f>
        <v>W</v>
      </c>
      <c r="G75" s="4">
        <f>IF(B75&lt;Time!$B$2,"",IF(F75='Month summary'!$C$11,'Month summary'!$F$2/24,IF(F75="H/2",'Month summary'!$F$2/24/2,0)))</f>
        <v>0.33333333333333331</v>
      </c>
      <c r="H75" s="4">
        <f t="shared" si="10"/>
        <v>0</v>
      </c>
      <c r="I75" s="4" t="str">
        <f t="shared" si="11"/>
        <v/>
      </c>
      <c r="J75" s="107"/>
      <c r="K75" s="38" t="str">
        <f>IFERROR(INDEX(TableTime[Time],MATCH(B75,TableTime[Date],0)),"")</f>
        <v/>
      </c>
      <c r="L75" s="4" t="str">
        <f>IF(SUMIFS(TableTime[Duration],TableTime[Date],B75,TableTime[Activity],Projects!$C$9)+SUMIFS(TableTime[Duration],TableTime[Date],B75,TableTime[Activity],Projects!$C$10)+SUMIFS(TableTime[Duration],TableTime[Date],B75,TableTime[Activity],Projects!$C$11)=0,"",SUMIFS(TableTime[Duration],TableTime[Date],B75,TableTime[Activity],Projects!$C$9)+SUMIFS(TableTime[Duration],TableTime[Date],B75,TableTime[Activity],Projects!$C$10)+SUMIFS(TableTime[Duration],TableTime[Date],B75,TableTime[Activity],Projects!$C$11))</f>
        <v/>
      </c>
      <c r="M75" s="4" t="str" cm="1">
        <f t="array" ref="M75">IFERROR(LOOKUP(2,1/(TableTime[Date]=B75),TableTime[Time]),"")</f>
        <v/>
      </c>
      <c r="N75" s="38" t="str">
        <f>IF(SUMIFS(TableTime[[Duration]:[Duration]],TableTime[[Date]:[Date]],$B75,TableTime[[Activity]:[Activity]],N$1)=0,"",SUMIFS(TableTime[[Duration]:[Duration]],TableTime[[Date]:[Date]],$B75,TableTime[[Activity]:[Activity]],N$1))</f>
        <v/>
      </c>
      <c r="O75" s="4" t="str">
        <f>IF(SUMIFS(TableTime[[Duration]:[Duration]],TableTime[[Date]:[Date]],$B75,TableTime[[Activity]:[Activity]],O$1)=0,"",SUMIFS(TableTime[[Duration]:[Duration]],TableTime[[Date]:[Date]],$B75,TableTime[[Activity]:[Activity]],O$1))</f>
        <v/>
      </c>
      <c r="P75" s="4" t="str">
        <f>IF(SUMIFS(TableTime[[Duration]:[Duration]],TableTime[[Date]:[Date]],$B75,TableTime[[Activity]:[Activity]],P$1)=0,"",SUMIFS(TableTime[[Duration]:[Duration]],TableTime[[Date]:[Date]],$B75,TableTime[[Activity]:[Activity]],P$1))</f>
        <v/>
      </c>
      <c r="Q75" s="4" t="str">
        <f>IF(SUMIFS(TableTime[[Duration]:[Duration]],TableTime[[Date]:[Date]],$B75,TableTime[[Activity]:[Activity]],Q$1)=0,"",SUMIFS(TableTime[[Duration]:[Duration]],TableTime[[Date]:[Date]],$B75,TableTime[[Activity]:[Activity]],Q$1))</f>
        <v/>
      </c>
      <c r="R75" s="4" t="str">
        <f>IF(SUMIFS(TableTime[[Duration]:[Duration]],TableTime[[Date]:[Date]],$B75,TableTime[[Activity]:[Activity]],R$1)=0,"",SUMIFS(TableTime[[Duration]:[Duration]],TableTime[[Date]:[Date]],$B75,TableTime[[Activity]:[Activity]],R$1))</f>
        <v/>
      </c>
      <c r="S75" s="130" t="str">
        <f>IF(SUMIFS(TableTime[[Duration]:[Duration]],TableTime[[Date]:[Date]],$B75,TableTime[[Activity]:[Activity]],S$1)=0,"",SUMIFS(TableTime[[Duration]:[Duration]],TableTime[[Date]:[Date]],$B75,TableTime[[Activity]:[Activity]],S$1))</f>
        <v/>
      </c>
      <c r="T75" s="4" t="str">
        <f>IF(SUMIFS(TableTime[[Duration]:[Duration]],TableTime[[Date]:[Date]],$B75,TableTime[[Activity]:[Activity]],T$1)=0,"",SUMIFS(TableTime[[Duration]:[Duration]],TableTime[[Date]:[Date]],$B75,TableTime[[Activity]:[Activity]],T$1))</f>
        <v/>
      </c>
      <c r="U75" s="39" t="str">
        <f>IF(SUMIFS(TableTime[[Duration]:[Duration]],TableTime[[Date]:[Date]],$B75,TableTime[[Activity]:[Activity]],U$1)=0,"",SUMIFS(TableTime[[Duration]:[Duration]],TableTime[[Date]:[Date]],$B75,TableTime[[Activity]:[Activity]],U$1))</f>
        <v/>
      </c>
    </row>
    <row r="76" spans="1:21" x14ac:dyDescent="0.35">
      <c r="A76" s="59" t="str">
        <f t="shared" si="6"/>
        <v>Thr</v>
      </c>
      <c r="B76" s="91">
        <f t="shared" si="8"/>
        <v>45001</v>
      </c>
      <c r="C76" s="60">
        <f t="shared" si="9"/>
        <v>3</v>
      </c>
      <c r="D76" s="61">
        <f t="shared" si="7"/>
        <v>11</v>
      </c>
      <c r="E76" s="103"/>
      <c r="F76" s="60" t="str">
        <f>IFERROR(IF(OR(WEEKDAY(B76,2)=6,WEEKDAY(B76,2)=7),'Month summary'!$D$11,IF(E76="",'Month summary'!$C$11,E76)),"")</f>
        <v>W</v>
      </c>
      <c r="G76" s="62">
        <f>IF(B76&lt;Time!$B$2,"",IF(F76='Month summary'!$C$11,'Month summary'!$F$2/24,IF(F76="H/2",'Month summary'!$F$2/24/2,0)))</f>
        <v>0.33333333333333331</v>
      </c>
      <c r="H76" s="62">
        <f t="shared" si="10"/>
        <v>0</v>
      </c>
      <c r="I76" s="62" t="str">
        <f t="shared" si="11"/>
        <v/>
      </c>
      <c r="J76" s="108"/>
      <c r="K76" s="63" t="str">
        <f>IFERROR(INDEX(TableTime[Time],MATCH(B76,TableTime[Date],0)),"")</f>
        <v/>
      </c>
      <c r="L76" s="62" t="str">
        <f>IF(SUMIFS(TableTime[Duration],TableTime[Date],B76,TableTime[Activity],Projects!$C$9)+SUMIFS(TableTime[Duration],TableTime[Date],B76,TableTime[Activity],Projects!$C$10)+SUMIFS(TableTime[Duration],TableTime[Date],B76,TableTime[Activity],Projects!$C$11)=0,"",SUMIFS(TableTime[Duration],TableTime[Date],B76,TableTime[Activity],Projects!$C$9)+SUMIFS(TableTime[Duration],TableTime[Date],B76,TableTime[Activity],Projects!$C$10)+SUMIFS(TableTime[Duration],TableTime[Date],B76,TableTime[Activity],Projects!$C$11))</f>
        <v/>
      </c>
      <c r="M76" s="62" t="str" cm="1">
        <f t="array" ref="M76">IFERROR(LOOKUP(2,1/(TableTime[Date]=B76),TableTime[Time]),"")</f>
        <v/>
      </c>
      <c r="N76" s="63" t="str">
        <f>IF(SUMIFS(TableTime[[Duration]:[Duration]],TableTime[[Date]:[Date]],$B76,TableTime[[Activity]:[Activity]],N$1)=0,"",SUMIFS(TableTime[[Duration]:[Duration]],TableTime[[Date]:[Date]],$B76,TableTime[[Activity]:[Activity]],N$1))</f>
        <v/>
      </c>
      <c r="O76" s="62" t="str">
        <f>IF(SUMIFS(TableTime[[Duration]:[Duration]],TableTime[[Date]:[Date]],$B76,TableTime[[Activity]:[Activity]],O$1)=0,"",SUMIFS(TableTime[[Duration]:[Duration]],TableTime[[Date]:[Date]],$B76,TableTime[[Activity]:[Activity]],O$1))</f>
        <v/>
      </c>
      <c r="P76" s="62" t="str">
        <f>IF(SUMIFS(TableTime[[Duration]:[Duration]],TableTime[[Date]:[Date]],$B76,TableTime[[Activity]:[Activity]],P$1)=0,"",SUMIFS(TableTime[[Duration]:[Duration]],TableTime[[Date]:[Date]],$B76,TableTime[[Activity]:[Activity]],P$1))</f>
        <v/>
      </c>
      <c r="Q76" s="62" t="str">
        <f>IF(SUMIFS(TableTime[[Duration]:[Duration]],TableTime[[Date]:[Date]],$B76,TableTime[[Activity]:[Activity]],Q$1)=0,"",SUMIFS(TableTime[[Duration]:[Duration]],TableTime[[Date]:[Date]],$B76,TableTime[[Activity]:[Activity]],Q$1))</f>
        <v/>
      </c>
      <c r="R76" s="62" t="str">
        <f>IF(SUMIFS(TableTime[[Duration]:[Duration]],TableTime[[Date]:[Date]],$B76,TableTime[[Activity]:[Activity]],R$1)=0,"",SUMIFS(TableTime[[Duration]:[Duration]],TableTime[[Date]:[Date]],$B76,TableTime[[Activity]:[Activity]],R$1))</f>
        <v/>
      </c>
      <c r="S76" s="131" t="str">
        <f>IF(SUMIFS(TableTime[[Duration]:[Duration]],TableTime[[Date]:[Date]],$B76,TableTime[[Activity]:[Activity]],S$1)=0,"",SUMIFS(TableTime[[Duration]:[Duration]],TableTime[[Date]:[Date]],$B76,TableTime[[Activity]:[Activity]],S$1))</f>
        <v/>
      </c>
      <c r="T76" s="62" t="str">
        <f>IF(SUMIFS(TableTime[[Duration]:[Duration]],TableTime[[Date]:[Date]],$B76,TableTime[[Activity]:[Activity]],T$1)=0,"",SUMIFS(TableTime[[Duration]:[Duration]],TableTime[[Date]:[Date]],$B76,TableTime[[Activity]:[Activity]],T$1))</f>
        <v/>
      </c>
      <c r="U76" s="64" t="str">
        <f>IF(SUMIFS(TableTime[[Duration]:[Duration]],TableTime[[Date]:[Date]],$B76,TableTime[[Activity]:[Activity]],U$1)=0,"",SUMIFS(TableTime[[Duration]:[Duration]],TableTime[[Date]:[Date]],$B76,TableTime[[Activity]:[Activity]],U$1))</f>
        <v/>
      </c>
    </row>
    <row r="77" spans="1:21" x14ac:dyDescent="0.35">
      <c r="A77" s="35" t="str">
        <f t="shared" si="6"/>
        <v>Fri</v>
      </c>
      <c r="B77" s="5">
        <f t="shared" si="8"/>
        <v>45002</v>
      </c>
      <c r="C77" s="1">
        <f t="shared" si="9"/>
        <v>3</v>
      </c>
      <c r="D77" s="2">
        <f t="shared" si="7"/>
        <v>11</v>
      </c>
      <c r="E77" s="102"/>
      <c r="F77" s="1" t="str">
        <f>IFERROR(IF(OR(WEEKDAY(B77,2)=6,WEEKDAY(B77,2)=7),'Month summary'!$D$11,IF(E77="",'Month summary'!$C$11,E77)),"")</f>
        <v>W</v>
      </c>
      <c r="G77" s="4">
        <f>IF(B77&lt;Time!$B$2,"",IF(F77='Month summary'!$C$11,'Month summary'!$F$2/24,IF(F77="H/2",'Month summary'!$F$2/24/2,0)))</f>
        <v>0.33333333333333331</v>
      </c>
      <c r="H77" s="4">
        <f t="shared" si="10"/>
        <v>0</v>
      </c>
      <c r="I77" s="4" t="str">
        <f t="shared" si="11"/>
        <v/>
      </c>
      <c r="J77" s="107"/>
      <c r="K77" s="38" t="str">
        <f>IFERROR(INDEX(TableTime[Time],MATCH(B77,TableTime[Date],0)),"")</f>
        <v/>
      </c>
      <c r="L77" s="4" t="str">
        <f>IF(SUMIFS(TableTime[Duration],TableTime[Date],B77,TableTime[Activity],Projects!$C$9)+SUMIFS(TableTime[Duration],TableTime[Date],B77,TableTime[Activity],Projects!$C$10)+SUMIFS(TableTime[Duration],TableTime[Date],B77,TableTime[Activity],Projects!$C$11)=0,"",SUMIFS(TableTime[Duration],TableTime[Date],B77,TableTime[Activity],Projects!$C$9)+SUMIFS(TableTime[Duration],TableTime[Date],B77,TableTime[Activity],Projects!$C$10)+SUMIFS(TableTime[Duration],TableTime[Date],B77,TableTime[Activity],Projects!$C$11))</f>
        <v/>
      </c>
      <c r="M77" s="4" t="str" cm="1">
        <f t="array" ref="M77">IFERROR(LOOKUP(2,1/(TableTime[Date]=B77),TableTime[Time]),"")</f>
        <v/>
      </c>
      <c r="N77" s="38" t="str">
        <f>IF(SUMIFS(TableTime[[Duration]:[Duration]],TableTime[[Date]:[Date]],$B77,TableTime[[Activity]:[Activity]],N$1)=0,"",SUMIFS(TableTime[[Duration]:[Duration]],TableTime[[Date]:[Date]],$B77,TableTime[[Activity]:[Activity]],N$1))</f>
        <v/>
      </c>
      <c r="O77" s="4" t="str">
        <f>IF(SUMIFS(TableTime[[Duration]:[Duration]],TableTime[[Date]:[Date]],$B77,TableTime[[Activity]:[Activity]],O$1)=0,"",SUMIFS(TableTime[[Duration]:[Duration]],TableTime[[Date]:[Date]],$B77,TableTime[[Activity]:[Activity]],O$1))</f>
        <v/>
      </c>
      <c r="P77" s="4" t="str">
        <f>IF(SUMIFS(TableTime[[Duration]:[Duration]],TableTime[[Date]:[Date]],$B77,TableTime[[Activity]:[Activity]],P$1)=0,"",SUMIFS(TableTime[[Duration]:[Duration]],TableTime[[Date]:[Date]],$B77,TableTime[[Activity]:[Activity]],P$1))</f>
        <v/>
      </c>
      <c r="Q77" s="4" t="str">
        <f>IF(SUMIFS(TableTime[[Duration]:[Duration]],TableTime[[Date]:[Date]],$B77,TableTime[[Activity]:[Activity]],Q$1)=0,"",SUMIFS(TableTime[[Duration]:[Duration]],TableTime[[Date]:[Date]],$B77,TableTime[[Activity]:[Activity]],Q$1))</f>
        <v/>
      </c>
      <c r="R77" s="4" t="str">
        <f>IF(SUMIFS(TableTime[[Duration]:[Duration]],TableTime[[Date]:[Date]],$B77,TableTime[[Activity]:[Activity]],R$1)=0,"",SUMIFS(TableTime[[Duration]:[Duration]],TableTime[[Date]:[Date]],$B77,TableTime[[Activity]:[Activity]],R$1))</f>
        <v/>
      </c>
      <c r="S77" s="130" t="str">
        <f>IF(SUMIFS(TableTime[[Duration]:[Duration]],TableTime[[Date]:[Date]],$B77,TableTime[[Activity]:[Activity]],S$1)=0,"",SUMIFS(TableTime[[Duration]:[Duration]],TableTime[[Date]:[Date]],$B77,TableTime[[Activity]:[Activity]],S$1))</f>
        <v/>
      </c>
      <c r="T77" s="4" t="str">
        <f>IF(SUMIFS(TableTime[[Duration]:[Duration]],TableTime[[Date]:[Date]],$B77,TableTime[[Activity]:[Activity]],T$1)=0,"",SUMIFS(TableTime[[Duration]:[Duration]],TableTime[[Date]:[Date]],$B77,TableTime[[Activity]:[Activity]],T$1))</f>
        <v/>
      </c>
      <c r="U77" s="39" t="str">
        <f>IF(SUMIFS(TableTime[[Duration]:[Duration]],TableTime[[Date]:[Date]],$B77,TableTime[[Activity]:[Activity]],U$1)=0,"",SUMIFS(TableTime[[Duration]:[Duration]],TableTime[[Date]:[Date]],$B77,TableTime[[Activity]:[Activity]],U$1))</f>
        <v/>
      </c>
    </row>
    <row r="78" spans="1:21" x14ac:dyDescent="0.35">
      <c r="A78" s="59" t="str">
        <f t="shared" si="6"/>
        <v>Sat</v>
      </c>
      <c r="B78" s="91">
        <f t="shared" si="8"/>
        <v>45003</v>
      </c>
      <c r="C78" s="60">
        <f t="shared" si="9"/>
        <v>3</v>
      </c>
      <c r="D78" s="61">
        <f t="shared" si="7"/>
        <v>11</v>
      </c>
      <c r="E78" s="103"/>
      <c r="F78" s="60" t="str">
        <f>IFERROR(IF(OR(WEEKDAY(B78,2)=6,WEEKDAY(B78,2)=7),'Month summary'!$D$11,IF(E78="",'Month summary'!$C$11,E78)),"")</f>
        <v>WE</v>
      </c>
      <c r="G78" s="62">
        <f>IF(B78&lt;Time!$B$2,"",IF(F78='Month summary'!$C$11,'Month summary'!$F$2/24,IF(F78="H/2",'Month summary'!$F$2/24/2,0)))</f>
        <v>0</v>
      </c>
      <c r="H78" s="62">
        <f t="shared" si="10"/>
        <v>0</v>
      </c>
      <c r="I78" s="62" t="str">
        <f t="shared" si="11"/>
        <v/>
      </c>
      <c r="J78" s="108"/>
      <c r="K78" s="63" t="str">
        <f>IFERROR(INDEX(TableTime[Time],MATCH(B78,TableTime[Date],0)),"")</f>
        <v/>
      </c>
      <c r="L78" s="62" t="str">
        <f>IF(SUMIFS(TableTime[Duration],TableTime[Date],B78,TableTime[Activity],Projects!$C$9)+SUMIFS(TableTime[Duration],TableTime[Date],B78,TableTime[Activity],Projects!$C$10)+SUMIFS(TableTime[Duration],TableTime[Date],B78,TableTime[Activity],Projects!$C$11)=0,"",SUMIFS(TableTime[Duration],TableTime[Date],B78,TableTime[Activity],Projects!$C$9)+SUMIFS(TableTime[Duration],TableTime[Date],B78,TableTime[Activity],Projects!$C$10)+SUMIFS(TableTime[Duration],TableTime[Date],B78,TableTime[Activity],Projects!$C$11))</f>
        <v/>
      </c>
      <c r="M78" s="62" t="str" cm="1">
        <f t="array" ref="M78">IFERROR(LOOKUP(2,1/(TableTime[Date]=B78),TableTime[Time]),"")</f>
        <v/>
      </c>
      <c r="N78" s="63" t="str">
        <f>IF(SUMIFS(TableTime[[Duration]:[Duration]],TableTime[[Date]:[Date]],$B78,TableTime[[Activity]:[Activity]],N$1)=0,"",SUMIFS(TableTime[[Duration]:[Duration]],TableTime[[Date]:[Date]],$B78,TableTime[[Activity]:[Activity]],N$1))</f>
        <v/>
      </c>
      <c r="O78" s="62" t="str">
        <f>IF(SUMIFS(TableTime[[Duration]:[Duration]],TableTime[[Date]:[Date]],$B78,TableTime[[Activity]:[Activity]],O$1)=0,"",SUMIFS(TableTime[[Duration]:[Duration]],TableTime[[Date]:[Date]],$B78,TableTime[[Activity]:[Activity]],O$1))</f>
        <v/>
      </c>
      <c r="P78" s="62" t="str">
        <f>IF(SUMIFS(TableTime[[Duration]:[Duration]],TableTime[[Date]:[Date]],$B78,TableTime[[Activity]:[Activity]],P$1)=0,"",SUMIFS(TableTime[[Duration]:[Duration]],TableTime[[Date]:[Date]],$B78,TableTime[[Activity]:[Activity]],P$1))</f>
        <v/>
      </c>
      <c r="Q78" s="62" t="str">
        <f>IF(SUMIFS(TableTime[[Duration]:[Duration]],TableTime[[Date]:[Date]],$B78,TableTime[[Activity]:[Activity]],Q$1)=0,"",SUMIFS(TableTime[[Duration]:[Duration]],TableTime[[Date]:[Date]],$B78,TableTime[[Activity]:[Activity]],Q$1))</f>
        <v/>
      </c>
      <c r="R78" s="62" t="str">
        <f>IF(SUMIFS(TableTime[[Duration]:[Duration]],TableTime[[Date]:[Date]],$B78,TableTime[[Activity]:[Activity]],R$1)=0,"",SUMIFS(TableTime[[Duration]:[Duration]],TableTime[[Date]:[Date]],$B78,TableTime[[Activity]:[Activity]],R$1))</f>
        <v/>
      </c>
      <c r="S78" s="131" t="str">
        <f>IF(SUMIFS(TableTime[[Duration]:[Duration]],TableTime[[Date]:[Date]],$B78,TableTime[[Activity]:[Activity]],S$1)=0,"",SUMIFS(TableTime[[Duration]:[Duration]],TableTime[[Date]:[Date]],$B78,TableTime[[Activity]:[Activity]],S$1))</f>
        <v/>
      </c>
      <c r="T78" s="62" t="str">
        <f>IF(SUMIFS(TableTime[[Duration]:[Duration]],TableTime[[Date]:[Date]],$B78,TableTime[[Activity]:[Activity]],T$1)=0,"",SUMIFS(TableTime[[Duration]:[Duration]],TableTime[[Date]:[Date]],$B78,TableTime[[Activity]:[Activity]],T$1))</f>
        <v/>
      </c>
      <c r="U78" s="64" t="str">
        <f>IF(SUMIFS(TableTime[[Duration]:[Duration]],TableTime[[Date]:[Date]],$B78,TableTime[[Activity]:[Activity]],U$1)=0,"",SUMIFS(TableTime[[Duration]:[Duration]],TableTime[[Date]:[Date]],$B78,TableTime[[Activity]:[Activity]],U$1))</f>
        <v/>
      </c>
    </row>
    <row r="79" spans="1:21" x14ac:dyDescent="0.35">
      <c r="A79" s="35" t="str">
        <f t="shared" si="6"/>
        <v>Sun</v>
      </c>
      <c r="B79" s="5">
        <f t="shared" si="8"/>
        <v>45004</v>
      </c>
      <c r="C79" s="1">
        <f t="shared" si="9"/>
        <v>3</v>
      </c>
      <c r="D79" s="2">
        <f t="shared" si="7"/>
        <v>11</v>
      </c>
      <c r="E79" s="102"/>
      <c r="F79" s="1" t="str">
        <f>IFERROR(IF(OR(WEEKDAY(B79,2)=6,WEEKDAY(B79,2)=7),'Month summary'!$D$11,IF(E79="",'Month summary'!$C$11,E79)),"")</f>
        <v>WE</v>
      </c>
      <c r="G79" s="4">
        <f>IF(B79&lt;Time!$B$2,"",IF(F79='Month summary'!$C$11,'Month summary'!$F$2/24,IF(F79="H/2",'Month summary'!$F$2/24/2,0)))</f>
        <v>0</v>
      </c>
      <c r="H79" s="4">
        <f t="shared" si="10"/>
        <v>0</v>
      </c>
      <c r="I79" s="4" t="str">
        <f t="shared" si="11"/>
        <v/>
      </c>
      <c r="J79" s="107"/>
      <c r="K79" s="38" t="str">
        <f>IFERROR(INDEX(TableTime[Time],MATCH(B79,TableTime[Date],0)),"")</f>
        <v/>
      </c>
      <c r="L79" s="4" t="str">
        <f>IF(SUMIFS(TableTime[Duration],TableTime[Date],B79,TableTime[Activity],Projects!$C$9)+SUMIFS(TableTime[Duration],TableTime[Date],B79,TableTime[Activity],Projects!$C$10)+SUMIFS(TableTime[Duration],TableTime[Date],B79,TableTime[Activity],Projects!$C$11)=0,"",SUMIFS(TableTime[Duration],TableTime[Date],B79,TableTime[Activity],Projects!$C$9)+SUMIFS(TableTime[Duration],TableTime[Date],B79,TableTime[Activity],Projects!$C$10)+SUMIFS(TableTime[Duration],TableTime[Date],B79,TableTime[Activity],Projects!$C$11))</f>
        <v/>
      </c>
      <c r="M79" s="4" t="str" cm="1">
        <f t="array" ref="M79">IFERROR(LOOKUP(2,1/(TableTime[Date]=B79),TableTime[Time]),"")</f>
        <v/>
      </c>
      <c r="N79" s="38" t="str">
        <f>IF(SUMIFS(TableTime[[Duration]:[Duration]],TableTime[[Date]:[Date]],$B79,TableTime[[Activity]:[Activity]],N$1)=0,"",SUMIFS(TableTime[[Duration]:[Duration]],TableTime[[Date]:[Date]],$B79,TableTime[[Activity]:[Activity]],N$1))</f>
        <v/>
      </c>
      <c r="O79" s="4" t="str">
        <f>IF(SUMIFS(TableTime[[Duration]:[Duration]],TableTime[[Date]:[Date]],$B79,TableTime[[Activity]:[Activity]],O$1)=0,"",SUMIFS(TableTime[[Duration]:[Duration]],TableTime[[Date]:[Date]],$B79,TableTime[[Activity]:[Activity]],O$1))</f>
        <v/>
      </c>
      <c r="P79" s="4" t="str">
        <f>IF(SUMIFS(TableTime[[Duration]:[Duration]],TableTime[[Date]:[Date]],$B79,TableTime[[Activity]:[Activity]],P$1)=0,"",SUMIFS(TableTime[[Duration]:[Duration]],TableTime[[Date]:[Date]],$B79,TableTime[[Activity]:[Activity]],P$1))</f>
        <v/>
      </c>
      <c r="Q79" s="4" t="str">
        <f>IF(SUMIFS(TableTime[[Duration]:[Duration]],TableTime[[Date]:[Date]],$B79,TableTime[[Activity]:[Activity]],Q$1)=0,"",SUMIFS(TableTime[[Duration]:[Duration]],TableTime[[Date]:[Date]],$B79,TableTime[[Activity]:[Activity]],Q$1))</f>
        <v/>
      </c>
      <c r="R79" s="4" t="str">
        <f>IF(SUMIFS(TableTime[[Duration]:[Duration]],TableTime[[Date]:[Date]],$B79,TableTime[[Activity]:[Activity]],R$1)=0,"",SUMIFS(TableTime[[Duration]:[Duration]],TableTime[[Date]:[Date]],$B79,TableTime[[Activity]:[Activity]],R$1))</f>
        <v/>
      </c>
      <c r="S79" s="130" t="str">
        <f>IF(SUMIFS(TableTime[[Duration]:[Duration]],TableTime[[Date]:[Date]],$B79,TableTime[[Activity]:[Activity]],S$1)=0,"",SUMIFS(TableTime[[Duration]:[Duration]],TableTime[[Date]:[Date]],$B79,TableTime[[Activity]:[Activity]],S$1))</f>
        <v/>
      </c>
      <c r="T79" s="4" t="str">
        <f>IF(SUMIFS(TableTime[[Duration]:[Duration]],TableTime[[Date]:[Date]],$B79,TableTime[[Activity]:[Activity]],T$1)=0,"",SUMIFS(TableTime[[Duration]:[Duration]],TableTime[[Date]:[Date]],$B79,TableTime[[Activity]:[Activity]],T$1))</f>
        <v/>
      </c>
      <c r="U79" s="39" t="str">
        <f>IF(SUMIFS(TableTime[[Duration]:[Duration]],TableTime[[Date]:[Date]],$B79,TableTime[[Activity]:[Activity]],U$1)=0,"",SUMIFS(TableTime[[Duration]:[Duration]],TableTime[[Date]:[Date]],$B79,TableTime[[Activity]:[Activity]],U$1))</f>
        <v/>
      </c>
    </row>
    <row r="80" spans="1:21" x14ac:dyDescent="0.35">
      <c r="A80" s="59" t="str">
        <f t="shared" si="6"/>
        <v>Mon</v>
      </c>
      <c r="B80" s="91">
        <f t="shared" si="8"/>
        <v>45005</v>
      </c>
      <c r="C80" s="60">
        <f t="shared" si="9"/>
        <v>3</v>
      </c>
      <c r="D80" s="61">
        <f t="shared" si="7"/>
        <v>12</v>
      </c>
      <c r="E80" s="103"/>
      <c r="F80" s="60" t="str">
        <f>IFERROR(IF(OR(WEEKDAY(B80,2)=6,WEEKDAY(B80,2)=7),'Month summary'!$D$11,IF(E80="",'Month summary'!$C$11,E80)),"")</f>
        <v>W</v>
      </c>
      <c r="G80" s="62">
        <f>IF(B80&lt;Time!$B$2,"",IF(F80='Month summary'!$C$11,'Month summary'!$F$2/24,IF(F80="H/2",'Month summary'!$F$2/24/2,0)))</f>
        <v>0.33333333333333331</v>
      </c>
      <c r="H80" s="62">
        <f t="shared" si="10"/>
        <v>0</v>
      </c>
      <c r="I80" s="62" t="str">
        <f t="shared" si="11"/>
        <v/>
      </c>
      <c r="J80" s="108"/>
      <c r="K80" s="63" t="str">
        <f>IFERROR(INDEX(TableTime[Time],MATCH(B80,TableTime[Date],0)),"")</f>
        <v/>
      </c>
      <c r="L80" s="62" t="str">
        <f>IF(SUMIFS(TableTime[Duration],TableTime[Date],B80,TableTime[Activity],Projects!$C$9)+SUMIFS(TableTime[Duration],TableTime[Date],B80,TableTime[Activity],Projects!$C$10)+SUMIFS(TableTime[Duration],TableTime[Date],B80,TableTime[Activity],Projects!$C$11)=0,"",SUMIFS(TableTime[Duration],TableTime[Date],B80,TableTime[Activity],Projects!$C$9)+SUMIFS(TableTime[Duration],TableTime[Date],B80,TableTime[Activity],Projects!$C$10)+SUMIFS(TableTime[Duration],TableTime[Date],B80,TableTime[Activity],Projects!$C$11))</f>
        <v/>
      </c>
      <c r="M80" s="62" t="str" cm="1">
        <f t="array" ref="M80">IFERROR(LOOKUP(2,1/(TableTime[Date]=B80),TableTime[Time]),"")</f>
        <v/>
      </c>
      <c r="N80" s="63" t="str">
        <f>IF(SUMIFS(TableTime[[Duration]:[Duration]],TableTime[[Date]:[Date]],$B80,TableTime[[Activity]:[Activity]],N$1)=0,"",SUMIFS(TableTime[[Duration]:[Duration]],TableTime[[Date]:[Date]],$B80,TableTime[[Activity]:[Activity]],N$1))</f>
        <v/>
      </c>
      <c r="O80" s="62" t="str">
        <f>IF(SUMIFS(TableTime[[Duration]:[Duration]],TableTime[[Date]:[Date]],$B80,TableTime[[Activity]:[Activity]],O$1)=0,"",SUMIFS(TableTime[[Duration]:[Duration]],TableTime[[Date]:[Date]],$B80,TableTime[[Activity]:[Activity]],O$1))</f>
        <v/>
      </c>
      <c r="P80" s="62" t="str">
        <f>IF(SUMIFS(TableTime[[Duration]:[Duration]],TableTime[[Date]:[Date]],$B80,TableTime[[Activity]:[Activity]],P$1)=0,"",SUMIFS(TableTime[[Duration]:[Duration]],TableTime[[Date]:[Date]],$B80,TableTime[[Activity]:[Activity]],P$1))</f>
        <v/>
      </c>
      <c r="Q80" s="62" t="str">
        <f>IF(SUMIFS(TableTime[[Duration]:[Duration]],TableTime[[Date]:[Date]],$B80,TableTime[[Activity]:[Activity]],Q$1)=0,"",SUMIFS(TableTime[[Duration]:[Duration]],TableTime[[Date]:[Date]],$B80,TableTime[[Activity]:[Activity]],Q$1))</f>
        <v/>
      </c>
      <c r="R80" s="62" t="str">
        <f>IF(SUMIFS(TableTime[[Duration]:[Duration]],TableTime[[Date]:[Date]],$B80,TableTime[[Activity]:[Activity]],R$1)=0,"",SUMIFS(TableTime[[Duration]:[Duration]],TableTime[[Date]:[Date]],$B80,TableTime[[Activity]:[Activity]],R$1))</f>
        <v/>
      </c>
      <c r="S80" s="131" t="str">
        <f>IF(SUMIFS(TableTime[[Duration]:[Duration]],TableTime[[Date]:[Date]],$B80,TableTime[[Activity]:[Activity]],S$1)=0,"",SUMIFS(TableTime[[Duration]:[Duration]],TableTime[[Date]:[Date]],$B80,TableTime[[Activity]:[Activity]],S$1))</f>
        <v/>
      </c>
      <c r="T80" s="62" t="str">
        <f>IF(SUMIFS(TableTime[[Duration]:[Duration]],TableTime[[Date]:[Date]],$B80,TableTime[[Activity]:[Activity]],T$1)=0,"",SUMIFS(TableTime[[Duration]:[Duration]],TableTime[[Date]:[Date]],$B80,TableTime[[Activity]:[Activity]],T$1))</f>
        <v/>
      </c>
      <c r="U80" s="64" t="str">
        <f>IF(SUMIFS(TableTime[[Duration]:[Duration]],TableTime[[Date]:[Date]],$B80,TableTime[[Activity]:[Activity]],U$1)=0,"",SUMIFS(TableTime[[Duration]:[Duration]],TableTime[[Date]:[Date]],$B80,TableTime[[Activity]:[Activity]],U$1))</f>
        <v/>
      </c>
    </row>
    <row r="81" spans="1:21" x14ac:dyDescent="0.35">
      <c r="A81" s="35" t="str">
        <f t="shared" si="6"/>
        <v>Tue</v>
      </c>
      <c r="B81" s="5">
        <f t="shared" si="8"/>
        <v>45006</v>
      </c>
      <c r="C81" s="1">
        <f t="shared" si="9"/>
        <v>3</v>
      </c>
      <c r="D81" s="2">
        <f t="shared" si="7"/>
        <v>12</v>
      </c>
      <c r="E81" s="102"/>
      <c r="F81" s="1" t="str">
        <f>IFERROR(IF(OR(WEEKDAY(B81,2)=6,WEEKDAY(B81,2)=7),'Month summary'!$D$11,IF(E81="",'Month summary'!$C$11,E81)),"")</f>
        <v>W</v>
      </c>
      <c r="G81" s="4">
        <f>IF(B81&lt;Time!$B$2,"",IF(F81='Month summary'!$C$11,'Month summary'!$F$2/24,IF(F81="H/2",'Month summary'!$F$2/24/2,0)))</f>
        <v>0.33333333333333331</v>
      </c>
      <c r="H81" s="4">
        <f t="shared" si="10"/>
        <v>0</v>
      </c>
      <c r="I81" s="4" t="str">
        <f t="shared" si="11"/>
        <v/>
      </c>
      <c r="J81" s="107"/>
      <c r="K81" s="38" t="str">
        <f>IFERROR(INDEX(TableTime[Time],MATCH(B81,TableTime[Date],0)),"")</f>
        <v/>
      </c>
      <c r="L81" s="4" t="str">
        <f>IF(SUMIFS(TableTime[Duration],TableTime[Date],B81,TableTime[Activity],Projects!$C$9)+SUMIFS(TableTime[Duration],TableTime[Date],B81,TableTime[Activity],Projects!$C$10)+SUMIFS(TableTime[Duration],TableTime[Date],B81,TableTime[Activity],Projects!$C$11)=0,"",SUMIFS(TableTime[Duration],TableTime[Date],B81,TableTime[Activity],Projects!$C$9)+SUMIFS(TableTime[Duration],TableTime[Date],B81,TableTime[Activity],Projects!$C$10)+SUMIFS(TableTime[Duration],TableTime[Date],B81,TableTime[Activity],Projects!$C$11))</f>
        <v/>
      </c>
      <c r="M81" s="4" t="str" cm="1">
        <f t="array" ref="M81">IFERROR(LOOKUP(2,1/(TableTime[Date]=B81),TableTime[Time]),"")</f>
        <v/>
      </c>
      <c r="N81" s="38" t="str">
        <f>IF(SUMIFS(TableTime[[Duration]:[Duration]],TableTime[[Date]:[Date]],$B81,TableTime[[Activity]:[Activity]],N$1)=0,"",SUMIFS(TableTime[[Duration]:[Duration]],TableTime[[Date]:[Date]],$B81,TableTime[[Activity]:[Activity]],N$1))</f>
        <v/>
      </c>
      <c r="O81" s="4" t="str">
        <f>IF(SUMIFS(TableTime[[Duration]:[Duration]],TableTime[[Date]:[Date]],$B81,TableTime[[Activity]:[Activity]],O$1)=0,"",SUMIFS(TableTime[[Duration]:[Duration]],TableTime[[Date]:[Date]],$B81,TableTime[[Activity]:[Activity]],O$1))</f>
        <v/>
      </c>
      <c r="P81" s="4" t="str">
        <f>IF(SUMIFS(TableTime[[Duration]:[Duration]],TableTime[[Date]:[Date]],$B81,TableTime[[Activity]:[Activity]],P$1)=0,"",SUMIFS(TableTime[[Duration]:[Duration]],TableTime[[Date]:[Date]],$B81,TableTime[[Activity]:[Activity]],P$1))</f>
        <v/>
      </c>
      <c r="Q81" s="4" t="str">
        <f>IF(SUMIFS(TableTime[[Duration]:[Duration]],TableTime[[Date]:[Date]],$B81,TableTime[[Activity]:[Activity]],Q$1)=0,"",SUMIFS(TableTime[[Duration]:[Duration]],TableTime[[Date]:[Date]],$B81,TableTime[[Activity]:[Activity]],Q$1))</f>
        <v/>
      </c>
      <c r="R81" s="4" t="str">
        <f>IF(SUMIFS(TableTime[[Duration]:[Duration]],TableTime[[Date]:[Date]],$B81,TableTime[[Activity]:[Activity]],R$1)=0,"",SUMIFS(TableTime[[Duration]:[Duration]],TableTime[[Date]:[Date]],$B81,TableTime[[Activity]:[Activity]],R$1))</f>
        <v/>
      </c>
      <c r="S81" s="130" t="str">
        <f>IF(SUMIFS(TableTime[[Duration]:[Duration]],TableTime[[Date]:[Date]],$B81,TableTime[[Activity]:[Activity]],S$1)=0,"",SUMIFS(TableTime[[Duration]:[Duration]],TableTime[[Date]:[Date]],$B81,TableTime[[Activity]:[Activity]],S$1))</f>
        <v/>
      </c>
      <c r="T81" s="4" t="str">
        <f>IF(SUMIFS(TableTime[[Duration]:[Duration]],TableTime[[Date]:[Date]],$B81,TableTime[[Activity]:[Activity]],T$1)=0,"",SUMIFS(TableTime[[Duration]:[Duration]],TableTime[[Date]:[Date]],$B81,TableTime[[Activity]:[Activity]],T$1))</f>
        <v/>
      </c>
      <c r="U81" s="39" t="str">
        <f>IF(SUMIFS(TableTime[[Duration]:[Duration]],TableTime[[Date]:[Date]],$B81,TableTime[[Activity]:[Activity]],U$1)=0,"",SUMIFS(TableTime[[Duration]:[Duration]],TableTime[[Date]:[Date]],$B81,TableTime[[Activity]:[Activity]],U$1))</f>
        <v/>
      </c>
    </row>
    <row r="82" spans="1:21" x14ac:dyDescent="0.35">
      <c r="A82" s="59" t="str">
        <f t="shared" si="6"/>
        <v>Wed</v>
      </c>
      <c r="B82" s="91">
        <f t="shared" si="8"/>
        <v>45007</v>
      </c>
      <c r="C82" s="60">
        <f t="shared" si="9"/>
        <v>3</v>
      </c>
      <c r="D82" s="61">
        <f t="shared" si="7"/>
        <v>12</v>
      </c>
      <c r="E82" s="103"/>
      <c r="F82" s="60" t="str">
        <f>IFERROR(IF(OR(WEEKDAY(B82,2)=6,WEEKDAY(B82,2)=7),'Month summary'!$D$11,IF(E82="",'Month summary'!$C$11,E82)),"")</f>
        <v>W</v>
      </c>
      <c r="G82" s="62">
        <f>IF(B82&lt;Time!$B$2,"",IF(F82='Month summary'!$C$11,'Month summary'!$F$2/24,IF(F82="H/2",'Month summary'!$F$2/24/2,0)))</f>
        <v>0.33333333333333331</v>
      </c>
      <c r="H82" s="62">
        <f t="shared" si="10"/>
        <v>0</v>
      </c>
      <c r="I82" s="62" t="str">
        <f t="shared" si="11"/>
        <v/>
      </c>
      <c r="J82" s="108"/>
      <c r="K82" s="63" t="str">
        <f>IFERROR(INDEX(TableTime[Time],MATCH(B82,TableTime[Date],0)),"")</f>
        <v/>
      </c>
      <c r="L82" s="62" t="str">
        <f>IF(SUMIFS(TableTime[Duration],TableTime[Date],B82,TableTime[Activity],Projects!$C$9)+SUMIFS(TableTime[Duration],TableTime[Date],B82,TableTime[Activity],Projects!$C$10)+SUMIFS(TableTime[Duration],TableTime[Date],B82,TableTime[Activity],Projects!$C$11)=0,"",SUMIFS(TableTime[Duration],TableTime[Date],B82,TableTime[Activity],Projects!$C$9)+SUMIFS(TableTime[Duration],TableTime[Date],B82,TableTime[Activity],Projects!$C$10)+SUMIFS(TableTime[Duration],TableTime[Date],B82,TableTime[Activity],Projects!$C$11))</f>
        <v/>
      </c>
      <c r="M82" s="62" t="str" cm="1">
        <f t="array" ref="M82">IFERROR(LOOKUP(2,1/(TableTime[Date]=B82),TableTime[Time]),"")</f>
        <v/>
      </c>
      <c r="N82" s="63" t="str">
        <f>IF(SUMIFS(TableTime[[Duration]:[Duration]],TableTime[[Date]:[Date]],$B82,TableTime[[Activity]:[Activity]],N$1)=0,"",SUMIFS(TableTime[[Duration]:[Duration]],TableTime[[Date]:[Date]],$B82,TableTime[[Activity]:[Activity]],N$1))</f>
        <v/>
      </c>
      <c r="O82" s="62" t="str">
        <f>IF(SUMIFS(TableTime[[Duration]:[Duration]],TableTime[[Date]:[Date]],$B82,TableTime[[Activity]:[Activity]],O$1)=0,"",SUMIFS(TableTime[[Duration]:[Duration]],TableTime[[Date]:[Date]],$B82,TableTime[[Activity]:[Activity]],O$1))</f>
        <v/>
      </c>
      <c r="P82" s="62" t="str">
        <f>IF(SUMIFS(TableTime[[Duration]:[Duration]],TableTime[[Date]:[Date]],$B82,TableTime[[Activity]:[Activity]],P$1)=0,"",SUMIFS(TableTime[[Duration]:[Duration]],TableTime[[Date]:[Date]],$B82,TableTime[[Activity]:[Activity]],P$1))</f>
        <v/>
      </c>
      <c r="Q82" s="62" t="str">
        <f>IF(SUMIFS(TableTime[[Duration]:[Duration]],TableTime[[Date]:[Date]],$B82,TableTime[[Activity]:[Activity]],Q$1)=0,"",SUMIFS(TableTime[[Duration]:[Duration]],TableTime[[Date]:[Date]],$B82,TableTime[[Activity]:[Activity]],Q$1))</f>
        <v/>
      </c>
      <c r="R82" s="62" t="str">
        <f>IF(SUMIFS(TableTime[[Duration]:[Duration]],TableTime[[Date]:[Date]],$B82,TableTime[[Activity]:[Activity]],R$1)=0,"",SUMIFS(TableTime[[Duration]:[Duration]],TableTime[[Date]:[Date]],$B82,TableTime[[Activity]:[Activity]],R$1))</f>
        <v/>
      </c>
      <c r="S82" s="131" t="str">
        <f>IF(SUMIFS(TableTime[[Duration]:[Duration]],TableTime[[Date]:[Date]],$B82,TableTime[[Activity]:[Activity]],S$1)=0,"",SUMIFS(TableTime[[Duration]:[Duration]],TableTime[[Date]:[Date]],$B82,TableTime[[Activity]:[Activity]],S$1))</f>
        <v/>
      </c>
      <c r="T82" s="62" t="str">
        <f>IF(SUMIFS(TableTime[[Duration]:[Duration]],TableTime[[Date]:[Date]],$B82,TableTime[[Activity]:[Activity]],T$1)=0,"",SUMIFS(TableTime[[Duration]:[Duration]],TableTime[[Date]:[Date]],$B82,TableTime[[Activity]:[Activity]],T$1))</f>
        <v/>
      </c>
      <c r="U82" s="64" t="str">
        <f>IF(SUMIFS(TableTime[[Duration]:[Duration]],TableTime[[Date]:[Date]],$B82,TableTime[[Activity]:[Activity]],U$1)=0,"",SUMIFS(TableTime[[Duration]:[Duration]],TableTime[[Date]:[Date]],$B82,TableTime[[Activity]:[Activity]],U$1))</f>
        <v/>
      </c>
    </row>
    <row r="83" spans="1:21" x14ac:dyDescent="0.35">
      <c r="A83" s="35" t="str">
        <f t="shared" si="6"/>
        <v>Thr</v>
      </c>
      <c r="B83" s="5">
        <f t="shared" si="8"/>
        <v>45008</v>
      </c>
      <c r="C83" s="1">
        <f t="shared" si="9"/>
        <v>3</v>
      </c>
      <c r="D83" s="2">
        <f t="shared" si="7"/>
        <v>12</v>
      </c>
      <c r="E83" s="102"/>
      <c r="F83" s="1" t="str">
        <f>IFERROR(IF(OR(WEEKDAY(B83,2)=6,WEEKDAY(B83,2)=7),'Month summary'!$D$11,IF(E83="",'Month summary'!$C$11,E83)),"")</f>
        <v>W</v>
      </c>
      <c r="G83" s="4">
        <f>IF(B83&lt;Time!$B$2,"",IF(F83='Month summary'!$C$11,'Month summary'!$F$2/24,IF(F83="H/2",'Month summary'!$F$2/24/2,0)))</f>
        <v>0.33333333333333331</v>
      </c>
      <c r="H83" s="4">
        <f t="shared" si="10"/>
        <v>0</v>
      </c>
      <c r="I83" s="4" t="str">
        <f t="shared" si="11"/>
        <v/>
      </c>
      <c r="J83" s="107"/>
      <c r="K83" s="38" t="str">
        <f>IFERROR(INDEX(TableTime[Time],MATCH(B83,TableTime[Date],0)),"")</f>
        <v/>
      </c>
      <c r="L83" s="4" t="str">
        <f>IF(SUMIFS(TableTime[Duration],TableTime[Date],B83,TableTime[Activity],Projects!$C$9)+SUMIFS(TableTime[Duration],TableTime[Date],B83,TableTime[Activity],Projects!$C$10)+SUMIFS(TableTime[Duration],TableTime[Date],B83,TableTime[Activity],Projects!$C$11)=0,"",SUMIFS(TableTime[Duration],TableTime[Date],B83,TableTime[Activity],Projects!$C$9)+SUMIFS(TableTime[Duration],TableTime[Date],B83,TableTime[Activity],Projects!$C$10)+SUMIFS(TableTime[Duration],TableTime[Date],B83,TableTime[Activity],Projects!$C$11))</f>
        <v/>
      </c>
      <c r="M83" s="4" t="str" cm="1">
        <f t="array" ref="M83">IFERROR(LOOKUP(2,1/(TableTime[Date]=B83),TableTime[Time]),"")</f>
        <v/>
      </c>
      <c r="N83" s="38" t="str">
        <f>IF(SUMIFS(TableTime[[Duration]:[Duration]],TableTime[[Date]:[Date]],$B83,TableTime[[Activity]:[Activity]],N$1)=0,"",SUMIFS(TableTime[[Duration]:[Duration]],TableTime[[Date]:[Date]],$B83,TableTime[[Activity]:[Activity]],N$1))</f>
        <v/>
      </c>
      <c r="O83" s="4" t="str">
        <f>IF(SUMIFS(TableTime[[Duration]:[Duration]],TableTime[[Date]:[Date]],$B83,TableTime[[Activity]:[Activity]],O$1)=0,"",SUMIFS(TableTime[[Duration]:[Duration]],TableTime[[Date]:[Date]],$B83,TableTime[[Activity]:[Activity]],O$1))</f>
        <v/>
      </c>
      <c r="P83" s="4" t="str">
        <f>IF(SUMIFS(TableTime[[Duration]:[Duration]],TableTime[[Date]:[Date]],$B83,TableTime[[Activity]:[Activity]],P$1)=0,"",SUMIFS(TableTime[[Duration]:[Duration]],TableTime[[Date]:[Date]],$B83,TableTime[[Activity]:[Activity]],P$1))</f>
        <v/>
      </c>
      <c r="Q83" s="4" t="str">
        <f>IF(SUMIFS(TableTime[[Duration]:[Duration]],TableTime[[Date]:[Date]],$B83,TableTime[[Activity]:[Activity]],Q$1)=0,"",SUMIFS(TableTime[[Duration]:[Duration]],TableTime[[Date]:[Date]],$B83,TableTime[[Activity]:[Activity]],Q$1))</f>
        <v/>
      </c>
      <c r="R83" s="4" t="str">
        <f>IF(SUMIFS(TableTime[[Duration]:[Duration]],TableTime[[Date]:[Date]],$B83,TableTime[[Activity]:[Activity]],R$1)=0,"",SUMIFS(TableTime[[Duration]:[Duration]],TableTime[[Date]:[Date]],$B83,TableTime[[Activity]:[Activity]],R$1))</f>
        <v/>
      </c>
      <c r="S83" s="130" t="str">
        <f>IF(SUMIFS(TableTime[[Duration]:[Duration]],TableTime[[Date]:[Date]],$B83,TableTime[[Activity]:[Activity]],S$1)=0,"",SUMIFS(TableTime[[Duration]:[Duration]],TableTime[[Date]:[Date]],$B83,TableTime[[Activity]:[Activity]],S$1))</f>
        <v/>
      </c>
      <c r="T83" s="4" t="str">
        <f>IF(SUMIFS(TableTime[[Duration]:[Duration]],TableTime[[Date]:[Date]],$B83,TableTime[[Activity]:[Activity]],T$1)=0,"",SUMIFS(TableTime[[Duration]:[Duration]],TableTime[[Date]:[Date]],$B83,TableTime[[Activity]:[Activity]],T$1))</f>
        <v/>
      </c>
      <c r="U83" s="39" t="str">
        <f>IF(SUMIFS(TableTime[[Duration]:[Duration]],TableTime[[Date]:[Date]],$B83,TableTime[[Activity]:[Activity]],U$1)=0,"",SUMIFS(TableTime[[Duration]:[Duration]],TableTime[[Date]:[Date]],$B83,TableTime[[Activity]:[Activity]],U$1))</f>
        <v/>
      </c>
    </row>
    <row r="84" spans="1:21" x14ac:dyDescent="0.35">
      <c r="A84" s="59" t="str">
        <f t="shared" si="6"/>
        <v>Fri</v>
      </c>
      <c r="B84" s="91">
        <f t="shared" si="8"/>
        <v>45009</v>
      </c>
      <c r="C84" s="60">
        <f t="shared" si="9"/>
        <v>3</v>
      </c>
      <c r="D84" s="61">
        <f t="shared" si="7"/>
        <v>12</v>
      </c>
      <c r="E84" s="103"/>
      <c r="F84" s="60" t="str">
        <f>IFERROR(IF(OR(WEEKDAY(B84,2)=6,WEEKDAY(B84,2)=7),'Month summary'!$D$11,IF(E84="",'Month summary'!$C$11,E84)),"")</f>
        <v>W</v>
      </c>
      <c r="G84" s="62">
        <f>IF(B84&lt;Time!$B$2,"",IF(F84='Month summary'!$C$11,'Month summary'!$F$2/24,IF(F84="H/2",'Month summary'!$F$2/24/2,0)))</f>
        <v>0.33333333333333331</v>
      </c>
      <c r="H84" s="62">
        <f t="shared" si="10"/>
        <v>0</v>
      </c>
      <c r="I84" s="62" t="str">
        <f t="shared" si="11"/>
        <v/>
      </c>
      <c r="J84" s="108"/>
      <c r="K84" s="63" t="str">
        <f>IFERROR(INDEX(TableTime[Time],MATCH(B84,TableTime[Date],0)),"")</f>
        <v/>
      </c>
      <c r="L84" s="62" t="str">
        <f>IF(SUMIFS(TableTime[Duration],TableTime[Date],B84,TableTime[Activity],Projects!$C$9)+SUMIFS(TableTime[Duration],TableTime[Date],B84,TableTime[Activity],Projects!$C$10)+SUMIFS(TableTime[Duration],TableTime[Date],B84,TableTime[Activity],Projects!$C$11)=0,"",SUMIFS(TableTime[Duration],TableTime[Date],B84,TableTime[Activity],Projects!$C$9)+SUMIFS(TableTime[Duration],TableTime[Date],B84,TableTime[Activity],Projects!$C$10)+SUMIFS(TableTime[Duration],TableTime[Date],B84,TableTime[Activity],Projects!$C$11))</f>
        <v/>
      </c>
      <c r="M84" s="62" t="str" cm="1">
        <f t="array" ref="M84">IFERROR(LOOKUP(2,1/(TableTime[Date]=B84),TableTime[Time]),"")</f>
        <v/>
      </c>
      <c r="N84" s="63" t="str">
        <f>IF(SUMIFS(TableTime[[Duration]:[Duration]],TableTime[[Date]:[Date]],$B84,TableTime[[Activity]:[Activity]],N$1)=0,"",SUMIFS(TableTime[[Duration]:[Duration]],TableTime[[Date]:[Date]],$B84,TableTime[[Activity]:[Activity]],N$1))</f>
        <v/>
      </c>
      <c r="O84" s="62" t="str">
        <f>IF(SUMIFS(TableTime[[Duration]:[Duration]],TableTime[[Date]:[Date]],$B84,TableTime[[Activity]:[Activity]],O$1)=0,"",SUMIFS(TableTime[[Duration]:[Duration]],TableTime[[Date]:[Date]],$B84,TableTime[[Activity]:[Activity]],O$1))</f>
        <v/>
      </c>
      <c r="P84" s="62" t="str">
        <f>IF(SUMIFS(TableTime[[Duration]:[Duration]],TableTime[[Date]:[Date]],$B84,TableTime[[Activity]:[Activity]],P$1)=0,"",SUMIFS(TableTime[[Duration]:[Duration]],TableTime[[Date]:[Date]],$B84,TableTime[[Activity]:[Activity]],P$1))</f>
        <v/>
      </c>
      <c r="Q84" s="62" t="str">
        <f>IF(SUMIFS(TableTime[[Duration]:[Duration]],TableTime[[Date]:[Date]],$B84,TableTime[[Activity]:[Activity]],Q$1)=0,"",SUMIFS(TableTime[[Duration]:[Duration]],TableTime[[Date]:[Date]],$B84,TableTime[[Activity]:[Activity]],Q$1))</f>
        <v/>
      </c>
      <c r="R84" s="62" t="str">
        <f>IF(SUMIFS(TableTime[[Duration]:[Duration]],TableTime[[Date]:[Date]],$B84,TableTime[[Activity]:[Activity]],R$1)=0,"",SUMIFS(TableTime[[Duration]:[Duration]],TableTime[[Date]:[Date]],$B84,TableTime[[Activity]:[Activity]],R$1))</f>
        <v/>
      </c>
      <c r="S84" s="131" t="str">
        <f>IF(SUMIFS(TableTime[[Duration]:[Duration]],TableTime[[Date]:[Date]],$B84,TableTime[[Activity]:[Activity]],S$1)=0,"",SUMIFS(TableTime[[Duration]:[Duration]],TableTime[[Date]:[Date]],$B84,TableTime[[Activity]:[Activity]],S$1))</f>
        <v/>
      </c>
      <c r="T84" s="62" t="str">
        <f>IF(SUMIFS(TableTime[[Duration]:[Duration]],TableTime[[Date]:[Date]],$B84,TableTime[[Activity]:[Activity]],T$1)=0,"",SUMIFS(TableTime[[Duration]:[Duration]],TableTime[[Date]:[Date]],$B84,TableTime[[Activity]:[Activity]],T$1))</f>
        <v/>
      </c>
      <c r="U84" s="64" t="str">
        <f>IF(SUMIFS(TableTime[[Duration]:[Duration]],TableTime[[Date]:[Date]],$B84,TableTime[[Activity]:[Activity]],U$1)=0,"",SUMIFS(TableTime[[Duration]:[Duration]],TableTime[[Date]:[Date]],$B84,TableTime[[Activity]:[Activity]],U$1))</f>
        <v/>
      </c>
    </row>
    <row r="85" spans="1:21" x14ac:dyDescent="0.35">
      <c r="A85" s="35" t="str">
        <f t="shared" si="6"/>
        <v>Sat</v>
      </c>
      <c r="B85" s="5">
        <f t="shared" si="8"/>
        <v>45010</v>
      </c>
      <c r="C85" s="1">
        <f t="shared" si="9"/>
        <v>3</v>
      </c>
      <c r="D85" s="2">
        <f t="shared" si="7"/>
        <v>12</v>
      </c>
      <c r="E85" s="102"/>
      <c r="F85" s="1" t="str">
        <f>IFERROR(IF(OR(WEEKDAY(B85,2)=6,WEEKDAY(B85,2)=7),'Month summary'!$D$11,IF(E85="",'Month summary'!$C$11,E85)),"")</f>
        <v>WE</v>
      </c>
      <c r="G85" s="4">
        <f>IF(B85&lt;Time!$B$2,"",IF(F85='Month summary'!$C$11,'Month summary'!$F$2/24,IF(F85="H/2",'Month summary'!$F$2/24/2,0)))</f>
        <v>0</v>
      </c>
      <c r="H85" s="4">
        <f t="shared" si="10"/>
        <v>0</v>
      </c>
      <c r="I85" s="4" t="str">
        <f t="shared" si="11"/>
        <v/>
      </c>
      <c r="J85" s="107"/>
      <c r="K85" s="38" t="str">
        <f>IFERROR(INDEX(TableTime[Time],MATCH(B85,TableTime[Date],0)),"")</f>
        <v/>
      </c>
      <c r="L85" s="4" t="str">
        <f>IF(SUMIFS(TableTime[Duration],TableTime[Date],B85,TableTime[Activity],Projects!$C$9)+SUMIFS(TableTime[Duration],TableTime[Date],B85,TableTime[Activity],Projects!$C$10)+SUMIFS(TableTime[Duration],TableTime[Date],B85,TableTime[Activity],Projects!$C$11)=0,"",SUMIFS(TableTime[Duration],TableTime[Date],B85,TableTime[Activity],Projects!$C$9)+SUMIFS(TableTime[Duration],TableTime[Date],B85,TableTime[Activity],Projects!$C$10)+SUMIFS(TableTime[Duration],TableTime[Date],B85,TableTime[Activity],Projects!$C$11))</f>
        <v/>
      </c>
      <c r="M85" s="4" t="str" cm="1">
        <f t="array" ref="M85">IFERROR(LOOKUP(2,1/(TableTime[Date]=B85),TableTime[Time]),"")</f>
        <v/>
      </c>
      <c r="N85" s="38" t="str">
        <f>IF(SUMIFS(TableTime[[Duration]:[Duration]],TableTime[[Date]:[Date]],$B85,TableTime[[Activity]:[Activity]],N$1)=0,"",SUMIFS(TableTime[[Duration]:[Duration]],TableTime[[Date]:[Date]],$B85,TableTime[[Activity]:[Activity]],N$1))</f>
        <v/>
      </c>
      <c r="O85" s="4" t="str">
        <f>IF(SUMIFS(TableTime[[Duration]:[Duration]],TableTime[[Date]:[Date]],$B85,TableTime[[Activity]:[Activity]],O$1)=0,"",SUMIFS(TableTime[[Duration]:[Duration]],TableTime[[Date]:[Date]],$B85,TableTime[[Activity]:[Activity]],O$1))</f>
        <v/>
      </c>
      <c r="P85" s="4" t="str">
        <f>IF(SUMIFS(TableTime[[Duration]:[Duration]],TableTime[[Date]:[Date]],$B85,TableTime[[Activity]:[Activity]],P$1)=0,"",SUMIFS(TableTime[[Duration]:[Duration]],TableTime[[Date]:[Date]],$B85,TableTime[[Activity]:[Activity]],P$1))</f>
        <v/>
      </c>
      <c r="Q85" s="4" t="str">
        <f>IF(SUMIFS(TableTime[[Duration]:[Duration]],TableTime[[Date]:[Date]],$B85,TableTime[[Activity]:[Activity]],Q$1)=0,"",SUMIFS(TableTime[[Duration]:[Duration]],TableTime[[Date]:[Date]],$B85,TableTime[[Activity]:[Activity]],Q$1))</f>
        <v/>
      </c>
      <c r="R85" s="4" t="str">
        <f>IF(SUMIFS(TableTime[[Duration]:[Duration]],TableTime[[Date]:[Date]],$B85,TableTime[[Activity]:[Activity]],R$1)=0,"",SUMIFS(TableTime[[Duration]:[Duration]],TableTime[[Date]:[Date]],$B85,TableTime[[Activity]:[Activity]],R$1))</f>
        <v/>
      </c>
      <c r="S85" s="130" t="str">
        <f>IF(SUMIFS(TableTime[[Duration]:[Duration]],TableTime[[Date]:[Date]],$B85,TableTime[[Activity]:[Activity]],S$1)=0,"",SUMIFS(TableTime[[Duration]:[Duration]],TableTime[[Date]:[Date]],$B85,TableTime[[Activity]:[Activity]],S$1))</f>
        <v/>
      </c>
      <c r="T85" s="4" t="str">
        <f>IF(SUMIFS(TableTime[[Duration]:[Duration]],TableTime[[Date]:[Date]],$B85,TableTime[[Activity]:[Activity]],T$1)=0,"",SUMIFS(TableTime[[Duration]:[Duration]],TableTime[[Date]:[Date]],$B85,TableTime[[Activity]:[Activity]],T$1))</f>
        <v/>
      </c>
      <c r="U85" s="39" t="str">
        <f>IF(SUMIFS(TableTime[[Duration]:[Duration]],TableTime[[Date]:[Date]],$B85,TableTime[[Activity]:[Activity]],U$1)=0,"",SUMIFS(TableTime[[Duration]:[Duration]],TableTime[[Date]:[Date]],$B85,TableTime[[Activity]:[Activity]],U$1))</f>
        <v/>
      </c>
    </row>
    <row r="86" spans="1:21" x14ac:dyDescent="0.35">
      <c r="A86" s="59" t="str">
        <f t="shared" si="6"/>
        <v>Sun</v>
      </c>
      <c r="B86" s="91">
        <f t="shared" si="8"/>
        <v>45011</v>
      </c>
      <c r="C86" s="60">
        <f t="shared" si="9"/>
        <v>3</v>
      </c>
      <c r="D86" s="61">
        <f t="shared" si="7"/>
        <v>12</v>
      </c>
      <c r="E86" s="103"/>
      <c r="F86" s="60" t="str">
        <f>IFERROR(IF(OR(WEEKDAY(B86,2)=6,WEEKDAY(B86,2)=7),'Month summary'!$D$11,IF(E86="",'Month summary'!$C$11,E86)),"")</f>
        <v>WE</v>
      </c>
      <c r="G86" s="62">
        <f>IF(B86&lt;Time!$B$2,"",IF(F86='Month summary'!$C$11,'Month summary'!$F$2/24,IF(F86="H/2",'Month summary'!$F$2/24/2,0)))</f>
        <v>0</v>
      </c>
      <c r="H86" s="62">
        <f t="shared" si="10"/>
        <v>0</v>
      </c>
      <c r="I86" s="62" t="str">
        <f t="shared" si="11"/>
        <v/>
      </c>
      <c r="J86" s="108"/>
      <c r="K86" s="63" t="str">
        <f>IFERROR(INDEX(TableTime[Time],MATCH(B86,TableTime[Date],0)),"")</f>
        <v/>
      </c>
      <c r="L86" s="62" t="str">
        <f>IF(SUMIFS(TableTime[Duration],TableTime[Date],B86,TableTime[Activity],Projects!$C$9)+SUMIFS(TableTime[Duration],TableTime[Date],B86,TableTime[Activity],Projects!$C$10)+SUMIFS(TableTime[Duration],TableTime[Date],B86,TableTime[Activity],Projects!$C$11)=0,"",SUMIFS(TableTime[Duration],TableTime[Date],B86,TableTime[Activity],Projects!$C$9)+SUMIFS(TableTime[Duration],TableTime[Date],B86,TableTime[Activity],Projects!$C$10)+SUMIFS(TableTime[Duration],TableTime[Date],B86,TableTime[Activity],Projects!$C$11))</f>
        <v/>
      </c>
      <c r="M86" s="62" t="str" cm="1">
        <f t="array" ref="M86">IFERROR(LOOKUP(2,1/(TableTime[Date]=B86),TableTime[Time]),"")</f>
        <v/>
      </c>
      <c r="N86" s="63" t="str">
        <f>IF(SUMIFS(TableTime[[Duration]:[Duration]],TableTime[[Date]:[Date]],$B86,TableTime[[Activity]:[Activity]],N$1)=0,"",SUMIFS(TableTime[[Duration]:[Duration]],TableTime[[Date]:[Date]],$B86,TableTime[[Activity]:[Activity]],N$1))</f>
        <v/>
      </c>
      <c r="O86" s="62" t="str">
        <f>IF(SUMIFS(TableTime[[Duration]:[Duration]],TableTime[[Date]:[Date]],$B86,TableTime[[Activity]:[Activity]],O$1)=0,"",SUMIFS(TableTime[[Duration]:[Duration]],TableTime[[Date]:[Date]],$B86,TableTime[[Activity]:[Activity]],O$1))</f>
        <v/>
      </c>
      <c r="P86" s="62" t="str">
        <f>IF(SUMIFS(TableTime[[Duration]:[Duration]],TableTime[[Date]:[Date]],$B86,TableTime[[Activity]:[Activity]],P$1)=0,"",SUMIFS(TableTime[[Duration]:[Duration]],TableTime[[Date]:[Date]],$B86,TableTime[[Activity]:[Activity]],P$1))</f>
        <v/>
      </c>
      <c r="Q86" s="62" t="str">
        <f>IF(SUMIFS(TableTime[[Duration]:[Duration]],TableTime[[Date]:[Date]],$B86,TableTime[[Activity]:[Activity]],Q$1)=0,"",SUMIFS(TableTime[[Duration]:[Duration]],TableTime[[Date]:[Date]],$B86,TableTime[[Activity]:[Activity]],Q$1))</f>
        <v/>
      </c>
      <c r="R86" s="62" t="str">
        <f>IF(SUMIFS(TableTime[[Duration]:[Duration]],TableTime[[Date]:[Date]],$B86,TableTime[[Activity]:[Activity]],R$1)=0,"",SUMIFS(TableTime[[Duration]:[Duration]],TableTime[[Date]:[Date]],$B86,TableTime[[Activity]:[Activity]],R$1))</f>
        <v/>
      </c>
      <c r="S86" s="131" t="str">
        <f>IF(SUMIFS(TableTime[[Duration]:[Duration]],TableTime[[Date]:[Date]],$B86,TableTime[[Activity]:[Activity]],S$1)=0,"",SUMIFS(TableTime[[Duration]:[Duration]],TableTime[[Date]:[Date]],$B86,TableTime[[Activity]:[Activity]],S$1))</f>
        <v/>
      </c>
      <c r="T86" s="62" t="str">
        <f>IF(SUMIFS(TableTime[[Duration]:[Duration]],TableTime[[Date]:[Date]],$B86,TableTime[[Activity]:[Activity]],T$1)=0,"",SUMIFS(TableTime[[Duration]:[Duration]],TableTime[[Date]:[Date]],$B86,TableTime[[Activity]:[Activity]],T$1))</f>
        <v/>
      </c>
      <c r="U86" s="64" t="str">
        <f>IF(SUMIFS(TableTime[[Duration]:[Duration]],TableTime[[Date]:[Date]],$B86,TableTime[[Activity]:[Activity]],U$1)=0,"",SUMIFS(TableTime[[Duration]:[Duration]],TableTime[[Date]:[Date]],$B86,TableTime[[Activity]:[Activity]],U$1))</f>
        <v/>
      </c>
    </row>
    <row r="87" spans="1:21" x14ac:dyDescent="0.35">
      <c r="A87" s="35" t="str">
        <f t="shared" si="6"/>
        <v>Mon</v>
      </c>
      <c r="B87" s="5">
        <f t="shared" si="8"/>
        <v>45012</v>
      </c>
      <c r="C87" s="1">
        <f t="shared" si="9"/>
        <v>3</v>
      </c>
      <c r="D87" s="2">
        <f t="shared" si="7"/>
        <v>13</v>
      </c>
      <c r="E87" s="102"/>
      <c r="F87" s="1" t="str">
        <f>IFERROR(IF(OR(WEEKDAY(B87,2)=6,WEEKDAY(B87,2)=7),'Month summary'!$D$11,IF(E87="",'Month summary'!$C$11,E87)),"")</f>
        <v>W</v>
      </c>
      <c r="G87" s="4">
        <f>IF(B87&lt;Time!$B$2,"",IF(F87='Month summary'!$C$11,'Month summary'!$F$2/24,IF(F87="H/2",'Month summary'!$F$2/24/2,0)))</f>
        <v>0.33333333333333331</v>
      </c>
      <c r="H87" s="4">
        <f t="shared" si="10"/>
        <v>0</v>
      </c>
      <c r="I87" s="4" t="str">
        <f t="shared" si="11"/>
        <v/>
      </c>
      <c r="J87" s="107"/>
      <c r="K87" s="38" t="str">
        <f>IFERROR(INDEX(TableTime[Time],MATCH(B87,TableTime[Date],0)),"")</f>
        <v/>
      </c>
      <c r="L87" s="4" t="str">
        <f>IF(SUMIFS(TableTime[Duration],TableTime[Date],B87,TableTime[Activity],Projects!$C$9)+SUMIFS(TableTime[Duration],TableTime[Date],B87,TableTime[Activity],Projects!$C$10)+SUMIFS(TableTime[Duration],TableTime[Date],B87,TableTime[Activity],Projects!$C$11)=0,"",SUMIFS(TableTime[Duration],TableTime[Date],B87,TableTime[Activity],Projects!$C$9)+SUMIFS(TableTime[Duration],TableTime[Date],B87,TableTime[Activity],Projects!$C$10)+SUMIFS(TableTime[Duration],TableTime[Date],B87,TableTime[Activity],Projects!$C$11))</f>
        <v/>
      </c>
      <c r="M87" s="4" t="str" cm="1">
        <f t="array" ref="M87">IFERROR(LOOKUP(2,1/(TableTime[Date]=B87),TableTime[Time]),"")</f>
        <v/>
      </c>
      <c r="N87" s="38" t="str">
        <f>IF(SUMIFS(TableTime[[Duration]:[Duration]],TableTime[[Date]:[Date]],$B87,TableTime[[Activity]:[Activity]],N$1)=0,"",SUMIFS(TableTime[[Duration]:[Duration]],TableTime[[Date]:[Date]],$B87,TableTime[[Activity]:[Activity]],N$1))</f>
        <v/>
      </c>
      <c r="O87" s="4" t="str">
        <f>IF(SUMIFS(TableTime[[Duration]:[Duration]],TableTime[[Date]:[Date]],$B87,TableTime[[Activity]:[Activity]],O$1)=0,"",SUMIFS(TableTime[[Duration]:[Duration]],TableTime[[Date]:[Date]],$B87,TableTime[[Activity]:[Activity]],O$1))</f>
        <v/>
      </c>
      <c r="P87" s="4" t="str">
        <f>IF(SUMIFS(TableTime[[Duration]:[Duration]],TableTime[[Date]:[Date]],$B87,TableTime[[Activity]:[Activity]],P$1)=0,"",SUMIFS(TableTime[[Duration]:[Duration]],TableTime[[Date]:[Date]],$B87,TableTime[[Activity]:[Activity]],P$1))</f>
        <v/>
      </c>
      <c r="Q87" s="4" t="str">
        <f>IF(SUMIFS(TableTime[[Duration]:[Duration]],TableTime[[Date]:[Date]],$B87,TableTime[[Activity]:[Activity]],Q$1)=0,"",SUMIFS(TableTime[[Duration]:[Duration]],TableTime[[Date]:[Date]],$B87,TableTime[[Activity]:[Activity]],Q$1))</f>
        <v/>
      </c>
      <c r="R87" s="4" t="str">
        <f>IF(SUMIFS(TableTime[[Duration]:[Duration]],TableTime[[Date]:[Date]],$B87,TableTime[[Activity]:[Activity]],R$1)=0,"",SUMIFS(TableTime[[Duration]:[Duration]],TableTime[[Date]:[Date]],$B87,TableTime[[Activity]:[Activity]],R$1))</f>
        <v/>
      </c>
      <c r="S87" s="130" t="str">
        <f>IF(SUMIFS(TableTime[[Duration]:[Duration]],TableTime[[Date]:[Date]],$B87,TableTime[[Activity]:[Activity]],S$1)=0,"",SUMIFS(TableTime[[Duration]:[Duration]],TableTime[[Date]:[Date]],$B87,TableTime[[Activity]:[Activity]],S$1))</f>
        <v/>
      </c>
      <c r="T87" s="4" t="str">
        <f>IF(SUMIFS(TableTime[[Duration]:[Duration]],TableTime[[Date]:[Date]],$B87,TableTime[[Activity]:[Activity]],T$1)=0,"",SUMIFS(TableTime[[Duration]:[Duration]],TableTime[[Date]:[Date]],$B87,TableTime[[Activity]:[Activity]],T$1))</f>
        <v/>
      </c>
      <c r="U87" s="39" t="str">
        <f>IF(SUMIFS(TableTime[[Duration]:[Duration]],TableTime[[Date]:[Date]],$B87,TableTime[[Activity]:[Activity]],U$1)=0,"",SUMIFS(TableTime[[Duration]:[Duration]],TableTime[[Date]:[Date]],$B87,TableTime[[Activity]:[Activity]],U$1))</f>
        <v/>
      </c>
    </row>
    <row r="88" spans="1:21" x14ac:dyDescent="0.35">
      <c r="A88" s="59" t="str">
        <f t="shared" si="6"/>
        <v>Tue</v>
      </c>
      <c r="B88" s="91">
        <f t="shared" si="8"/>
        <v>45013</v>
      </c>
      <c r="C88" s="60">
        <f t="shared" si="9"/>
        <v>3</v>
      </c>
      <c r="D88" s="61">
        <f t="shared" si="7"/>
        <v>13</v>
      </c>
      <c r="E88" s="103"/>
      <c r="F88" s="60" t="str">
        <f>IFERROR(IF(OR(WEEKDAY(B88,2)=6,WEEKDAY(B88,2)=7),'Month summary'!$D$11,IF(E88="",'Month summary'!$C$11,E88)),"")</f>
        <v>W</v>
      </c>
      <c r="G88" s="62">
        <f>IF(B88&lt;Time!$B$2,"",IF(F88='Month summary'!$C$11,'Month summary'!$F$2/24,IF(F88="H/2",'Month summary'!$F$2/24/2,0)))</f>
        <v>0.33333333333333331</v>
      </c>
      <c r="H88" s="62">
        <f t="shared" si="10"/>
        <v>0</v>
      </c>
      <c r="I88" s="62" t="str">
        <f t="shared" si="11"/>
        <v/>
      </c>
      <c r="J88" s="108"/>
      <c r="K88" s="63" t="str">
        <f>IFERROR(INDEX(TableTime[Time],MATCH(B88,TableTime[Date],0)),"")</f>
        <v/>
      </c>
      <c r="L88" s="62" t="str">
        <f>IF(SUMIFS(TableTime[Duration],TableTime[Date],B88,TableTime[Activity],Projects!$C$9)+SUMIFS(TableTime[Duration],TableTime[Date],B88,TableTime[Activity],Projects!$C$10)+SUMIFS(TableTime[Duration],TableTime[Date],B88,TableTime[Activity],Projects!$C$11)=0,"",SUMIFS(TableTime[Duration],TableTime[Date],B88,TableTime[Activity],Projects!$C$9)+SUMIFS(TableTime[Duration],TableTime[Date],B88,TableTime[Activity],Projects!$C$10)+SUMIFS(TableTime[Duration],TableTime[Date],B88,TableTime[Activity],Projects!$C$11))</f>
        <v/>
      </c>
      <c r="M88" s="62" t="str" cm="1">
        <f t="array" ref="M88">IFERROR(LOOKUP(2,1/(TableTime[Date]=B88),TableTime[Time]),"")</f>
        <v/>
      </c>
      <c r="N88" s="63" t="str">
        <f>IF(SUMIFS(TableTime[[Duration]:[Duration]],TableTime[[Date]:[Date]],$B88,TableTime[[Activity]:[Activity]],N$1)=0,"",SUMIFS(TableTime[[Duration]:[Duration]],TableTime[[Date]:[Date]],$B88,TableTime[[Activity]:[Activity]],N$1))</f>
        <v/>
      </c>
      <c r="O88" s="62" t="str">
        <f>IF(SUMIFS(TableTime[[Duration]:[Duration]],TableTime[[Date]:[Date]],$B88,TableTime[[Activity]:[Activity]],O$1)=0,"",SUMIFS(TableTime[[Duration]:[Duration]],TableTime[[Date]:[Date]],$B88,TableTime[[Activity]:[Activity]],O$1))</f>
        <v/>
      </c>
      <c r="P88" s="62" t="str">
        <f>IF(SUMIFS(TableTime[[Duration]:[Duration]],TableTime[[Date]:[Date]],$B88,TableTime[[Activity]:[Activity]],P$1)=0,"",SUMIFS(TableTime[[Duration]:[Duration]],TableTime[[Date]:[Date]],$B88,TableTime[[Activity]:[Activity]],P$1))</f>
        <v/>
      </c>
      <c r="Q88" s="62" t="str">
        <f>IF(SUMIFS(TableTime[[Duration]:[Duration]],TableTime[[Date]:[Date]],$B88,TableTime[[Activity]:[Activity]],Q$1)=0,"",SUMIFS(TableTime[[Duration]:[Duration]],TableTime[[Date]:[Date]],$B88,TableTime[[Activity]:[Activity]],Q$1))</f>
        <v/>
      </c>
      <c r="R88" s="62" t="str">
        <f>IF(SUMIFS(TableTime[[Duration]:[Duration]],TableTime[[Date]:[Date]],$B88,TableTime[[Activity]:[Activity]],R$1)=0,"",SUMIFS(TableTime[[Duration]:[Duration]],TableTime[[Date]:[Date]],$B88,TableTime[[Activity]:[Activity]],R$1))</f>
        <v/>
      </c>
      <c r="S88" s="131" t="str">
        <f>IF(SUMIFS(TableTime[[Duration]:[Duration]],TableTime[[Date]:[Date]],$B88,TableTime[[Activity]:[Activity]],S$1)=0,"",SUMIFS(TableTime[[Duration]:[Duration]],TableTime[[Date]:[Date]],$B88,TableTime[[Activity]:[Activity]],S$1))</f>
        <v/>
      </c>
      <c r="T88" s="62" t="str">
        <f>IF(SUMIFS(TableTime[[Duration]:[Duration]],TableTime[[Date]:[Date]],$B88,TableTime[[Activity]:[Activity]],T$1)=0,"",SUMIFS(TableTime[[Duration]:[Duration]],TableTime[[Date]:[Date]],$B88,TableTime[[Activity]:[Activity]],T$1))</f>
        <v/>
      </c>
      <c r="U88" s="64" t="str">
        <f>IF(SUMIFS(TableTime[[Duration]:[Duration]],TableTime[[Date]:[Date]],$B88,TableTime[[Activity]:[Activity]],U$1)=0,"",SUMIFS(TableTime[[Duration]:[Duration]],TableTime[[Date]:[Date]],$B88,TableTime[[Activity]:[Activity]],U$1))</f>
        <v/>
      </c>
    </row>
    <row r="89" spans="1:21" x14ac:dyDescent="0.35">
      <c r="A89" s="35" t="str">
        <f t="shared" si="6"/>
        <v>Wed</v>
      </c>
      <c r="B89" s="5">
        <f t="shared" si="8"/>
        <v>45014</v>
      </c>
      <c r="C89" s="1">
        <f t="shared" si="9"/>
        <v>3</v>
      </c>
      <c r="D89" s="2">
        <f t="shared" si="7"/>
        <v>13</v>
      </c>
      <c r="E89" s="102"/>
      <c r="F89" s="1" t="str">
        <f>IFERROR(IF(OR(WEEKDAY(B89,2)=6,WEEKDAY(B89,2)=7),'Month summary'!$D$11,IF(E89="",'Month summary'!$C$11,E89)),"")</f>
        <v>W</v>
      </c>
      <c r="G89" s="4">
        <f>IF(B89&lt;Time!$B$2,"",IF(F89='Month summary'!$C$11,'Month summary'!$F$2/24,IF(F89="H/2",'Month summary'!$F$2/24/2,0)))</f>
        <v>0.33333333333333331</v>
      </c>
      <c r="H89" s="4">
        <f t="shared" si="10"/>
        <v>0</v>
      </c>
      <c r="I89" s="4" t="str">
        <f t="shared" si="11"/>
        <v/>
      </c>
      <c r="J89" s="107"/>
      <c r="K89" s="38" t="str">
        <f>IFERROR(INDEX(TableTime[Time],MATCH(B89,TableTime[Date],0)),"")</f>
        <v/>
      </c>
      <c r="L89" s="4" t="str">
        <f>IF(SUMIFS(TableTime[Duration],TableTime[Date],B89,TableTime[Activity],Projects!$C$9)+SUMIFS(TableTime[Duration],TableTime[Date],B89,TableTime[Activity],Projects!$C$10)+SUMIFS(TableTime[Duration],TableTime[Date],B89,TableTime[Activity],Projects!$C$11)=0,"",SUMIFS(TableTime[Duration],TableTime[Date],B89,TableTime[Activity],Projects!$C$9)+SUMIFS(TableTime[Duration],TableTime[Date],B89,TableTime[Activity],Projects!$C$10)+SUMIFS(TableTime[Duration],TableTime[Date],B89,TableTime[Activity],Projects!$C$11))</f>
        <v/>
      </c>
      <c r="M89" s="4" t="str" cm="1">
        <f t="array" ref="M89">IFERROR(LOOKUP(2,1/(TableTime[Date]=B89),TableTime[Time]),"")</f>
        <v/>
      </c>
      <c r="N89" s="38" t="str">
        <f>IF(SUMIFS(TableTime[[Duration]:[Duration]],TableTime[[Date]:[Date]],$B89,TableTime[[Activity]:[Activity]],N$1)=0,"",SUMIFS(TableTime[[Duration]:[Duration]],TableTime[[Date]:[Date]],$B89,TableTime[[Activity]:[Activity]],N$1))</f>
        <v/>
      </c>
      <c r="O89" s="4" t="str">
        <f>IF(SUMIFS(TableTime[[Duration]:[Duration]],TableTime[[Date]:[Date]],$B89,TableTime[[Activity]:[Activity]],O$1)=0,"",SUMIFS(TableTime[[Duration]:[Duration]],TableTime[[Date]:[Date]],$B89,TableTime[[Activity]:[Activity]],O$1))</f>
        <v/>
      </c>
      <c r="P89" s="4" t="str">
        <f>IF(SUMIFS(TableTime[[Duration]:[Duration]],TableTime[[Date]:[Date]],$B89,TableTime[[Activity]:[Activity]],P$1)=0,"",SUMIFS(TableTime[[Duration]:[Duration]],TableTime[[Date]:[Date]],$B89,TableTime[[Activity]:[Activity]],P$1))</f>
        <v/>
      </c>
      <c r="Q89" s="4" t="str">
        <f>IF(SUMIFS(TableTime[[Duration]:[Duration]],TableTime[[Date]:[Date]],$B89,TableTime[[Activity]:[Activity]],Q$1)=0,"",SUMIFS(TableTime[[Duration]:[Duration]],TableTime[[Date]:[Date]],$B89,TableTime[[Activity]:[Activity]],Q$1))</f>
        <v/>
      </c>
      <c r="R89" s="4" t="str">
        <f>IF(SUMIFS(TableTime[[Duration]:[Duration]],TableTime[[Date]:[Date]],$B89,TableTime[[Activity]:[Activity]],R$1)=0,"",SUMIFS(TableTime[[Duration]:[Duration]],TableTime[[Date]:[Date]],$B89,TableTime[[Activity]:[Activity]],R$1))</f>
        <v/>
      </c>
      <c r="S89" s="130" t="str">
        <f>IF(SUMIFS(TableTime[[Duration]:[Duration]],TableTime[[Date]:[Date]],$B89,TableTime[[Activity]:[Activity]],S$1)=0,"",SUMIFS(TableTime[[Duration]:[Duration]],TableTime[[Date]:[Date]],$B89,TableTime[[Activity]:[Activity]],S$1))</f>
        <v/>
      </c>
      <c r="T89" s="4" t="str">
        <f>IF(SUMIFS(TableTime[[Duration]:[Duration]],TableTime[[Date]:[Date]],$B89,TableTime[[Activity]:[Activity]],T$1)=0,"",SUMIFS(TableTime[[Duration]:[Duration]],TableTime[[Date]:[Date]],$B89,TableTime[[Activity]:[Activity]],T$1))</f>
        <v/>
      </c>
      <c r="U89" s="39" t="str">
        <f>IF(SUMIFS(TableTime[[Duration]:[Duration]],TableTime[[Date]:[Date]],$B89,TableTime[[Activity]:[Activity]],U$1)=0,"",SUMIFS(TableTime[[Duration]:[Duration]],TableTime[[Date]:[Date]],$B89,TableTime[[Activity]:[Activity]],U$1))</f>
        <v/>
      </c>
    </row>
    <row r="90" spans="1:21" x14ac:dyDescent="0.35">
      <c r="A90" s="59" t="str">
        <f t="shared" si="6"/>
        <v>Thr</v>
      </c>
      <c r="B90" s="91">
        <f t="shared" si="8"/>
        <v>45015</v>
      </c>
      <c r="C90" s="60">
        <f t="shared" si="9"/>
        <v>3</v>
      </c>
      <c r="D90" s="61">
        <f t="shared" si="7"/>
        <v>13</v>
      </c>
      <c r="E90" s="103"/>
      <c r="F90" s="60" t="str">
        <f>IFERROR(IF(OR(WEEKDAY(B90,2)=6,WEEKDAY(B90,2)=7),'Month summary'!$D$11,IF(E90="",'Month summary'!$C$11,E90)),"")</f>
        <v>W</v>
      </c>
      <c r="G90" s="62">
        <f>IF(B90&lt;Time!$B$2,"",IF(F90='Month summary'!$C$11,'Month summary'!$F$2/24,IF(F90="H/2",'Month summary'!$F$2/24/2,0)))</f>
        <v>0.33333333333333331</v>
      </c>
      <c r="H90" s="62">
        <f t="shared" si="10"/>
        <v>0</v>
      </c>
      <c r="I90" s="62" t="str">
        <f t="shared" si="11"/>
        <v/>
      </c>
      <c r="J90" s="108"/>
      <c r="K90" s="63" t="str">
        <f>IFERROR(INDEX(TableTime[Time],MATCH(B90,TableTime[Date],0)),"")</f>
        <v/>
      </c>
      <c r="L90" s="62" t="str">
        <f>IF(SUMIFS(TableTime[Duration],TableTime[Date],B90,TableTime[Activity],Projects!$C$9)+SUMIFS(TableTime[Duration],TableTime[Date],B90,TableTime[Activity],Projects!$C$10)+SUMIFS(TableTime[Duration],TableTime[Date],B90,TableTime[Activity],Projects!$C$11)=0,"",SUMIFS(TableTime[Duration],TableTime[Date],B90,TableTime[Activity],Projects!$C$9)+SUMIFS(TableTime[Duration],TableTime[Date],B90,TableTime[Activity],Projects!$C$10)+SUMIFS(TableTime[Duration],TableTime[Date],B90,TableTime[Activity],Projects!$C$11))</f>
        <v/>
      </c>
      <c r="M90" s="62" t="str" cm="1">
        <f t="array" ref="M90">IFERROR(LOOKUP(2,1/(TableTime[Date]=B90),TableTime[Time]),"")</f>
        <v/>
      </c>
      <c r="N90" s="63" t="str">
        <f>IF(SUMIFS(TableTime[[Duration]:[Duration]],TableTime[[Date]:[Date]],$B90,TableTime[[Activity]:[Activity]],N$1)=0,"",SUMIFS(TableTime[[Duration]:[Duration]],TableTime[[Date]:[Date]],$B90,TableTime[[Activity]:[Activity]],N$1))</f>
        <v/>
      </c>
      <c r="O90" s="62" t="str">
        <f>IF(SUMIFS(TableTime[[Duration]:[Duration]],TableTime[[Date]:[Date]],$B90,TableTime[[Activity]:[Activity]],O$1)=0,"",SUMIFS(TableTime[[Duration]:[Duration]],TableTime[[Date]:[Date]],$B90,TableTime[[Activity]:[Activity]],O$1))</f>
        <v/>
      </c>
      <c r="P90" s="62" t="str">
        <f>IF(SUMIFS(TableTime[[Duration]:[Duration]],TableTime[[Date]:[Date]],$B90,TableTime[[Activity]:[Activity]],P$1)=0,"",SUMIFS(TableTime[[Duration]:[Duration]],TableTime[[Date]:[Date]],$B90,TableTime[[Activity]:[Activity]],P$1))</f>
        <v/>
      </c>
      <c r="Q90" s="62" t="str">
        <f>IF(SUMIFS(TableTime[[Duration]:[Duration]],TableTime[[Date]:[Date]],$B90,TableTime[[Activity]:[Activity]],Q$1)=0,"",SUMIFS(TableTime[[Duration]:[Duration]],TableTime[[Date]:[Date]],$B90,TableTime[[Activity]:[Activity]],Q$1))</f>
        <v/>
      </c>
      <c r="R90" s="62" t="str">
        <f>IF(SUMIFS(TableTime[[Duration]:[Duration]],TableTime[[Date]:[Date]],$B90,TableTime[[Activity]:[Activity]],R$1)=0,"",SUMIFS(TableTime[[Duration]:[Duration]],TableTime[[Date]:[Date]],$B90,TableTime[[Activity]:[Activity]],R$1))</f>
        <v/>
      </c>
      <c r="S90" s="131" t="str">
        <f>IF(SUMIFS(TableTime[[Duration]:[Duration]],TableTime[[Date]:[Date]],$B90,TableTime[[Activity]:[Activity]],S$1)=0,"",SUMIFS(TableTime[[Duration]:[Duration]],TableTime[[Date]:[Date]],$B90,TableTime[[Activity]:[Activity]],S$1))</f>
        <v/>
      </c>
      <c r="T90" s="62" t="str">
        <f>IF(SUMIFS(TableTime[[Duration]:[Duration]],TableTime[[Date]:[Date]],$B90,TableTime[[Activity]:[Activity]],T$1)=0,"",SUMIFS(TableTime[[Duration]:[Duration]],TableTime[[Date]:[Date]],$B90,TableTime[[Activity]:[Activity]],T$1))</f>
        <v/>
      </c>
      <c r="U90" s="64" t="str">
        <f>IF(SUMIFS(TableTime[[Duration]:[Duration]],TableTime[[Date]:[Date]],$B90,TableTime[[Activity]:[Activity]],U$1)=0,"",SUMIFS(TableTime[[Duration]:[Duration]],TableTime[[Date]:[Date]],$B90,TableTime[[Activity]:[Activity]],U$1))</f>
        <v/>
      </c>
    </row>
    <row r="91" spans="1:21" x14ac:dyDescent="0.35">
      <c r="A91" s="35" t="str">
        <f t="shared" si="6"/>
        <v>Fri</v>
      </c>
      <c r="B91" s="5">
        <f t="shared" si="8"/>
        <v>45016</v>
      </c>
      <c r="C91" s="1">
        <f t="shared" si="9"/>
        <v>3</v>
      </c>
      <c r="D91" s="2">
        <f t="shared" si="7"/>
        <v>13</v>
      </c>
      <c r="E91" s="102"/>
      <c r="F91" s="1" t="str">
        <f>IFERROR(IF(OR(WEEKDAY(B91,2)=6,WEEKDAY(B91,2)=7),'Month summary'!$D$11,IF(E91="",'Month summary'!$C$11,E91)),"")</f>
        <v>W</v>
      </c>
      <c r="G91" s="4">
        <f>IF(B91&lt;Time!$B$2,"",IF(F91='Month summary'!$C$11,'Month summary'!$F$2/24,IF(F91="H/2",'Month summary'!$F$2/24/2,0)))</f>
        <v>0.33333333333333331</v>
      </c>
      <c r="H91" s="4">
        <f t="shared" si="10"/>
        <v>0</v>
      </c>
      <c r="I91" s="4" t="str">
        <f t="shared" si="11"/>
        <v/>
      </c>
      <c r="J91" s="107"/>
      <c r="K91" s="38" t="str">
        <f>IFERROR(INDEX(TableTime[Time],MATCH(B91,TableTime[Date],0)),"")</f>
        <v/>
      </c>
      <c r="L91" s="4" t="str">
        <f>IF(SUMIFS(TableTime[Duration],TableTime[Date],B91,TableTime[Activity],Projects!$C$9)+SUMIFS(TableTime[Duration],TableTime[Date],B91,TableTime[Activity],Projects!$C$10)+SUMIFS(TableTime[Duration],TableTime[Date],B91,TableTime[Activity],Projects!$C$11)=0,"",SUMIFS(TableTime[Duration],TableTime[Date],B91,TableTime[Activity],Projects!$C$9)+SUMIFS(TableTime[Duration],TableTime[Date],B91,TableTime[Activity],Projects!$C$10)+SUMIFS(TableTime[Duration],TableTime[Date],B91,TableTime[Activity],Projects!$C$11))</f>
        <v/>
      </c>
      <c r="M91" s="4" t="str" cm="1">
        <f t="array" ref="M91">IFERROR(LOOKUP(2,1/(TableTime[Date]=B91),TableTime[Time]),"")</f>
        <v/>
      </c>
      <c r="N91" s="38" t="str">
        <f>IF(SUMIFS(TableTime[[Duration]:[Duration]],TableTime[[Date]:[Date]],$B91,TableTime[[Activity]:[Activity]],N$1)=0,"",SUMIFS(TableTime[[Duration]:[Duration]],TableTime[[Date]:[Date]],$B91,TableTime[[Activity]:[Activity]],N$1))</f>
        <v/>
      </c>
      <c r="O91" s="4" t="str">
        <f>IF(SUMIFS(TableTime[[Duration]:[Duration]],TableTime[[Date]:[Date]],$B91,TableTime[[Activity]:[Activity]],O$1)=0,"",SUMIFS(TableTime[[Duration]:[Duration]],TableTime[[Date]:[Date]],$B91,TableTime[[Activity]:[Activity]],O$1))</f>
        <v/>
      </c>
      <c r="P91" s="4" t="str">
        <f>IF(SUMIFS(TableTime[[Duration]:[Duration]],TableTime[[Date]:[Date]],$B91,TableTime[[Activity]:[Activity]],P$1)=0,"",SUMIFS(TableTime[[Duration]:[Duration]],TableTime[[Date]:[Date]],$B91,TableTime[[Activity]:[Activity]],P$1))</f>
        <v/>
      </c>
      <c r="Q91" s="4" t="str">
        <f>IF(SUMIFS(TableTime[[Duration]:[Duration]],TableTime[[Date]:[Date]],$B91,TableTime[[Activity]:[Activity]],Q$1)=0,"",SUMIFS(TableTime[[Duration]:[Duration]],TableTime[[Date]:[Date]],$B91,TableTime[[Activity]:[Activity]],Q$1))</f>
        <v/>
      </c>
      <c r="R91" s="4" t="str">
        <f>IF(SUMIFS(TableTime[[Duration]:[Duration]],TableTime[[Date]:[Date]],$B91,TableTime[[Activity]:[Activity]],R$1)=0,"",SUMIFS(TableTime[[Duration]:[Duration]],TableTime[[Date]:[Date]],$B91,TableTime[[Activity]:[Activity]],R$1))</f>
        <v/>
      </c>
      <c r="S91" s="130" t="str">
        <f>IF(SUMIFS(TableTime[[Duration]:[Duration]],TableTime[[Date]:[Date]],$B91,TableTime[[Activity]:[Activity]],S$1)=0,"",SUMIFS(TableTime[[Duration]:[Duration]],TableTime[[Date]:[Date]],$B91,TableTime[[Activity]:[Activity]],S$1))</f>
        <v/>
      </c>
      <c r="T91" s="4" t="str">
        <f>IF(SUMIFS(TableTime[[Duration]:[Duration]],TableTime[[Date]:[Date]],$B91,TableTime[[Activity]:[Activity]],T$1)=0,"",SUMIFS(TableTime[[Duration]:[Duration]],TableTime[[Date]:[Date]],$B91,TableTime[[Activity]:[Activity]],T$1))</f>
        <v/>
      </c>
      <c r="U91" s="39" t="str">
        <f>IF(SUMIFS(TableTime[[Duration]:[Duration]],TableTime[[Date]:[Date]],$B91,TableTime[[Activity]:[Activity]],U$1)=0,"",SUMIFS(TableTime[[Duration]:[Duration]],TableTime[[Date]:[Date]],$B91,TableTime[[Activity]:[Activity]],U$1))</f>
        <v/>
      </c>
    </row>
    <row r="92" spans="1:21" x14ac:dyDescent="0.35">
      <c r="A92" s="59" t="str">
        <f t="shared" si="6"/>
        <v>Sat</v>
      </c>
      <c r="B92" s="91">
        <f t="shared" si="8"/>
        <v>45017</v>
      </c>
      <c r="C92" s="60">
        <f t="shared" si="9"/>
        <v>4</v>
      </c>
      <c r="D92" s="61">
        <f t="shared" si="7"/>
        <v>13</v>
      </c>
      <c r="E92" s="103"/>
      <c r="F92" s="60" t="str">
        <f>IFERROR(IF(OR(WEEKDAY(B92,2)=6,WEEKDAY(B92,2)=7),'Month summary'!$D$11,IF(E92="",'Month summary'!$C$11,E92)),"")</f>
        <v>WE</v>
      </c>
      <c r="G92" s="62">
        <f>IF(B92&lt;Time!$B$2,"",IF(F92='Month summary'!$C$11,'Month summary'!$F$2/24,IF(F92="H/2",'Month summary'!$F$2/24/2,0)))</f>
        <v>0</v>
      </c>
      <c r="H92" s="62">
        <f t="shared" si="10"/>
        <v>0</v>
      </c>
      <c r="I92" s="62" t="str">
        <f t="shared" si="11"/>
        <v/>
      </c>
      <c r="J92" s="108"/>
      <c r="K92" s="63" t="str">
        <f>IFERROR(INDEX(TableTime[Time],MATCH(B92,TableTime[Date],0)),"")</f>
        <v/>
      </c>
      <c r="L92" s="62" t="str">
        <f>IF(SUMIFS(TableTime[Duration],TableTime[Date],B92,TableTime[Activity],Projects!$C$9)+SUMIFS(TableTime[Duration],TableTime[Date],B92,TableTime[Activity],Projects!$C$10)+SUMIFS(TableTime[Duration],TableTime[Date],B92,TableTime[Activity],Projects!$C$11)=0,"",SUMIFS(TableTime[Duration],TableTime[Date],B92,TableTime[Activity],Projects!$C$9)+SUMIFS(TableTime[Duration],TableTime[Date],B92,TableTime[Activity],Projects!$C$10)+SUMIFS(TableTime[Duration],TableTime[Date],B92,TableTime[Activity],Projects!$C$11))</f>
        <v/>
      </c>
      <c r="M92" s="62" t="str" cm="1">
        <f t="array" ref="M92">IFERROR(LOOKUP(2,1/(TableTime[Date]=B92),TableTime[Time]),"")</f>
        <v/>
      </c>
      <c r="N92" s="63" t="str">
        <f>IF(SUMIFS(TableTime[[Duration]:[Duration]],TableTime[[Date]:[Date]],$B92,TableTime[[Activity]:[Activity]],N$1)=0,"",SUMIFS(TableTime[[Duration]:[Duration]],TableTime[[Date]:[Date]],$B92,TableTime[[Activity]:[Activity]],N$1))</f>
        <v/>
      </c>
      <c r="O92" s="62" t="str">
        <f>IF(SUMIFS(TableTime[[Duration]:[Duration]],TableTime[[Date]:[Date]],$B92,TableTime[[Activity]:[Activity]],O$1)=0,"",SUMIFS(TableTime[[Duration]:[Duration]],TableTime[[Date]:[Date]],$B92,TableTime[[Activity]:[Activity]],O$1))</f>
        <v/>
      </c>
      <c r="P92" s="62" t="str">
        <f>IF(SUMIFS(TableTime[[Duration]:[Duration]],TableTime[[Date]:[Date]],$B92,TableTime[[Activity]:[Activity]],P$1)=0,"",SUMIFS(TableTime[[Duration]:[Duration]],TableTime[[Date]:[Date]],$B92,TableTime[[Activity]:[Activity]],P$1))</f>
        <v/>
      </c>
      <c r="Q92" s="62" t="str">
        <f>IF(SUMIFS(TableTime[[Duration]:[Duration]],TableTime[[Date]:[Date]],$B92,TableTime[[Activity]:[Activity]],Q$1)=0,"",SUMIFS(TableTime[[Duration]:[Duration]],TableTime[[Date]:[Date]],$B92,TableTime[[Activity]:[Activity]],Q$1))</f>
        <v/>
      </c>
      <c r="R92" s="62" t="str">
        <f>IF(SUMIFS(TableTime[[Duration]:[Duration]],TableTime[[Date]:[Date]],$B92,TableTime[[Activity]:[Activity]],R$1)=0,"",SUMIFS(TableTime[[Duration]:[Duration]],TableTime[[Date]:[Date]],$B92,TableTime[[Activity]:[Activity]],R$1))</f>
        <v/>
      </c>
      <c r="S92" s="131" t="str">
        <f>IF(SUMIFS(TableTime[[Duration]:[Duration]],TableTime[[Date]:[Date]],$B92,TableTime[[Activity]:[Activity]],S$1)=0,"",SUMIFS(TableTime[[Duration]:[Duration]],TableTime[[Date]:[Date]],$B92,TableTime[[Activity]:[Activity]],S$1))</f>
        <v/>
      </c>
      <c r="T92" s="62" t="str">
        <f>IF(SUMIFS(TableTime[[Duration]:[Duration]],TableTime[[Date]:[Date]],$B92,TableTime[[Activity]:[Activity]],T$1)=0,"",SUMIFS(TableTime[[Duration]:[Duration]],TableTime[[Date]:[Date]],$B92,TableTime[[Activity]:[Activity]],T$1))</f>
        <v/>
      </c>
      <c r="U92" s="64" t="str">
        <f>IF(SUMIFS(TableTime[[Duration]:[Duration]],TableTime[[Date]:[Date]],$B92,TableTime[[Activity]:[Activity]],U$1)=0,"",SUMIFS(TableTime[[Duration]:[Duration]],TableTime[[Date]:[Date]],$B92,TableTime[[Activity]:[Activity]],U$1))</f>
        <v/>
      </c>
    </row>
    <row r="93" spans="1:21" x14ac:dyDescent="0.35">
      <c r="A93" s="35" t="str">
        <f t="shared" si="6"/>
        <v>Sun</v>
      </c>
      <c r="B93" s="5">
        <f t="shared" si="8"/>
        <v>45018</v>
      </c>
      <c r="C93" s="1">
        <f t="shared" si="9"/>
        <v>4</v>
      </c>
      <c r="D93" s="2">
        <f t="shared" si="7"/>
        <v>13</v>
      </c>
      <c r="E93" s="102"/>
      <c r="F93" s="1" t="str">
        <f>IFERROR(IF(OR(WEEKDAY(B93,2)=6,WEEKDAY(B93,2)=7),'Month summary'!$D$11,IF(E93="",'Month summary'!$C$11,E93)),"")</f>
        <v>WE</v>
      </c>
      <c r="G93" s="4">
        <f>IF(B93&lt;Time!$B$2,"",IF(F93='Month summary'!$C$11,'Month summary'!$F$2/24,IF(F93="H/2",'Month summary'!$F$2/24/2,0)))</f>
        <v>0</v>
      </c>
      <c r="H93" s="4">
        <f t="shared" si="10"/>
        <v>0</v>
      </c>
      <c r="I93" s="4" t="str">
        <f t="shared" si="11"/>
        <v/>
      </c>
      <c r="J93" s="107"/>
      <c r="K93" s="38" t="str">
        <f>IFERROR(INDEX(TableTime[Time],MATCH(B93,TableTime[Date],0)),"")</f>
        <v/>
      </c>
      <c r="L93" s="4" t="str">
        <f>IF(SUMIFS(TableTime[Duration],TableTime[Date],B93,TableTime[Activity],Projects!$C$9)+SUMIFS(TableTime[Duration],TableTime[Date],B93,TableTime[Activity],Projects!$C$10)+SUMIFS(TableTime[Duration],TableTime[Date],B93,TableTime[Activity],Projects!$C$11)=0,"",SUMIFS(TableTime[Duration],TableTime[Date],B93,TableTime[Activity],Projects!$C$9)+SUMIFS(TableTime[Duration],TableTime[Date],B93,TableTime[Activity],Projects!$C$10)+SUMIFS(TableTime[Duration],TableTime[Date],B93,TableTime[Activity],Projects!$C$11))</f>
        <v/>
      </c>
      <c r="M93" s="4" t="str" cm="1">
        <f t="array" ref="M93">IFERROR(LOOKUP(2,1/(TableTime[Date]=B93),TableTime[Time]),"")</f>
        <v/>
      </c>
      <c r="N93" s="38" t="str">
        <f>IF(SUMIFS(TableTime[[Duration]:[Duration]],TableTime[[Date]:[Date]],$B93,TableTime[[Activity]:[Activity]],N$1)=0,"",SUMIFS(TableTime[[Duration]:[Duration]],TableTime[[Date]:[Date]],$B93,TableTime[[Activity]:[Activity]],N$1))</f>
        <v/>
      </c>
      <c r="O93" s="4" t="str">
        <f>IF(SUMIFS(TableTime[[Duration]:[Duration]],TableTime[[Date]:[Date]],$B93,TableTime[[Activity]:[Activity]],O$1)=0,"",SUMIFS(TableTime[[Duration]:[Duration]],TableTime[[Date]:[Date]],$B93,TableTime[[Activity]:[Activity]],O$1))</f>
        <v/>
      </c>
      <c r="P93" s="4" t="str">
        <f>IF(SUMIFS(TableTime[[Duration]:[Duration]],TableTime[[Date]:[Date]],$B93,TableTime[[Activity]:[Activity]],P$1)=0,"",SUMIFS(TableTime[[Duration]:[Duration]],TableTime[[Date]:[Date]],$B93,TableTime[[Activity]:[Activity]],P$1))</f>
        <v/>
      </c>
      <c r="Q93" s="4" t="str">
        <f>IF(SUMIFS(TableTime[[Duration]:[Duration]],TableTime[[Date]:[Date]],$B93,TableTime[[Activity]:[Activity]],Q$1)=0,"",SUMIFS(TableTime[[Duration]:[Duration]],TableTime[[Date]:[Date]],$B93,TableTime[[Activity]:[Activity]],Q$1))</f>
        <v/>
      </c>
      <c r="R93" s="4" t="str">
        <f>IF(SUMIFS(TableTime[[Duration]:[Duration]],TableTime[[Date]:[Date]],$B93,TableTime[[Activity]:[Activity]],R$1)=0,"",SUMIFS(TableTime[[Duration]:[Duration]],TableTime[[Date]:[Date]],$B93,TableTime[[Activity]:[Activity]],R$1))</f>
        <v/>
      </c>
      <c r="S93" s="130" t="str">
        <f>IF(SUMIFS(TableTime[[Duration]:[Duration]],TableTime[[Date]:[Date]],$B93,TableTime[[Activity]:[Activity]],S$1)=0,"",SUMIFS(TableTime[[Duration]:[Duration]],TableTime[[Date]:[Date]],$B93,TableTime[[Activity]:[Activity]],S$1))</f>
        <v/>
      </c>
      <c r="T93" s="4" t="str">
        <f>IF(SUMIFS(TableTime[[Duration]:[Duration]],TableTime[[Date]:[Date]],$B93,TableTime[[Activity]:[Activity]],T$1)=0,"",SUMIFS(TableTime[[Duration]:[Duration]],TableTime[[Date]:[Date]],$B93,TableTime[[Activity]:[Activity]],T$1))</f>
        <v/>
      </c>
      <c r="U93" s="39" t="str">
        <f>IF(SUMIFS(TableTime[[Duration]:[Duration]],TableTime[[Date]:[Date]],$B93,TableTime[[Activity]:[Activity]],U$1)=0,"",SUMIFS(TableTime[[Duration]:[Duration]],TableTime[[Date]:[Date]],$B93,TableTime[[Activity]:[Activity]],U$1))</f>
        <v/>
      </c>
    </row>
    <row r="94" spans="1:21" x14ac:dyDescent="0.35">
      <c r="A94" s="59" t="str">
        <f t="shared" si="6"/>
        <v>Mon</v>
      </c>
      <c r="B94" s="91">
        <f t="shared" si="8"/>
        <v>45019</v>
      </c>
      <c r="C94" s="60">
        <f t="shared" si="9"/>
        <v>4</v>
      </c>
      <c r="D94" s="61">
        <f t="shared" si="7"/>
        <v>14</v>
      </c>
      <c r="E94" s="103"/>
      <c r="F94" s="60" t="str">
        <f>IFERROR(IF(OR(WEEKDAY(B94,2)=6,WEEKDAY(B94,2)=7),'Month summary'!$D$11,IF(E94="",'Month summary'!$C$11,E94)),"")</f>
        <v>W</v>
      </c>
      <c r="G94" s="62">
        <f>IF(B94&lt;Time!$B$2,"",IF(F94='Month summary'!$C$11,'Month summary'!$F$2/24,IF(F94="H/2",'Month summary'!$F$2/24/2,0)))</f>
        <v>0.33333333333333331</v>
      </c>
      <c r="H94" s="62">
        <f t="shared" si="10"/>
        <v>0</v>
      </c>
      <c r="I94" s="62" t="str">
        <f t="shared" si="11"/>
        <v/>
      </c>
      <c r="J94" s="108"/>
      <c r="K94" s="63" t="str">
        <f>IFERROR(INDEX(TableTime[Time],MATCH(B94,TableTime[Date],0)),"")</f>
        <v/>
      </c>
      <c r="L94" s="62" t="str">
        <f>IF(SUMIFS(TableTime[Duration],TableTime[Date],B94,TableTime[Activity],Projects!$C$9)+SUMIFS(TableTime[Duration],TableTime[Date],B94,TableTime[Activity],Projects!$C$10)+SUMIFS(TableTime[Duration],TableTime[Date],B94,TableTime[Activity],Projects!$C$11)=0,"",SUMIFS(TableTime[Duration],TableTime[Date],B94,TableTime[Activity],Projects!$C$9)+SUMIFS(TableTime[Duration],TableTime[Date],B94,TableTime[Activity],Projects!$C$10)+SUMIFS(TableTime[Duration],TableTime[Date],B94,TableTime[Activity],Projects!$C$11))</f>
        <v/>
      </c>
      <c r="M94" s="62" t="str" cm="1">
        <f t="array" ref="M94">IFERROR(LOOKUP(2,1/(TableTime[Date]=B94),TableTime[Time]),"")</f>
        <v/>
      </c>
      <c r="N94" s="63" t="str">
        <f>IF(SUMIFS(TableTime[[Duration]:[Duration]],TableTime[[Date]:[Date]],$B94,TableTime[[Activity]:[Activity]],N$1)=0,"",SUMIFS(TableTime[[Duration]:[Duration]],TableTime[[Date]:[Date]],$B94,TableTime[[Activity]:[Activity]],N$1))</f>
        <v/>
      </c>
      <c r="O94" s="62" t="str">
        <f>IF(SUMIFS(TableTime[[Duration]:[Duration]],TableTime[[Date]:[Date]],$B94,TableTime[[Activity]:[Activity]],O$1)=0,"",SUMIFS(TableTime[[Duration]:[Duration]],TableTime[[Date]:[Date]],$B94,TableTime[[Activity]:[Activity]],O$1))</f>
        <v/>
      </c>
      <c r="P94" s="62" t="str">
        <f>IF(SUMIFS(TableTime[[Duration]:[Duration]],TableTime[[Date]:[Date]],$B94,TableTime[[Activity]:[Activity]],P$1)=0,"",SUMIFS(TableTime[[Duration]:[Duration]],TableTime[[Date]:[Date]],$B94,TableTime[[Activity]:[Activity]],P$1))</f>
        <v/>
      </c>
      <c r="Q94" s="62" t="str">
        <f>IF(SUMIFS(TableTime[[Duration]:[Duration]],TableTime[[Date]:[Date]],$B94,TableTime[[Activity]:[Activity]],Q$1)=0,"",SUMIFS(TableTime[[Duration]:[Duration]],TableTime[[Date]:[Date]],$B94,TableTime[[Activity]:[Activity]],Q$1))</f>
        <v/>
      </c>
      <c r="R94" s="62" t="str">
        <f>IF(SUMIFS(TableTime[[Duration]:[Duration]],TableTime[[Date]:[Date]],$B94,TableTime[[Activity]:[Activity]],R$1)=0,"",SUMIFS(TableTime[[Duration]:[Duration]],TableTime[[Date]:[Date]],$B94,TableTime[[Activity]:[Activity]],R$1))</f>
        <v/>
      </c>
      <c r="S94" s="131" t="str">
        <f>IF(SUMIFS(TableTime[[Duration]:[Duration]],TableTime[[Date]:[Date]],$B94,TableTime[[Activity]:[Activity]],S$1)=0,"",SUMIFS(TableTime[[Duration]:[Duration]],TableTime[[Date]:[Date]],$B94,TableTime[[Activity]:[Activity]],S$1))</f>
        <v/>
      </c>
      <c r="T94" s="62" t="str">
        <f>IF(SUMIFS(TableTime[[Duration]:[Duration]],TableTime[[Date]:[Date]],$B94,TableTime[[Activity]:[Activity]],T$1)=0,"",SUMIFS(TableTime[[Duration]:[Duration]],TableTime[[Date]:[Date]],$B94,TableTime[[Activity]:[Activity]],T$1))</f>
        <v/>
      </c>
      <c r="U94" s="64" t="str">
        <f>IF(SUMIFS(TableTime[[Duration]:[Duration]],TableTime[[Date]:[Date]],$B94,TableTime[[Activity]:[Activity]],U$1)=0,"",SUMIFS(TableTime[[Duration]:[Duration]],TableTime[[Date]:[Date]],$B94,TableTime[[Activity]:[Activity]],U$1))</f>
        <v/>
      </c>
    </row>
    <row r="95" spans="1:21" x14ac:dyDescent="0.35">
      <c r="A95" s="35" t="str">
        <f t="shared" si="6"/>
        <v>Tue</v>
      </c>
      <c r="B95" s="5">
        <f t="shared" si="8"/>
        <v>45020</v>
      </c>
      <c r="C95" s="1">
        <f t="shared" si="9"/>
        <v>4</v>
      </c>
      <c r="D95" s="2">
        <f t="shared" si="7"/>
        <v>14</v>
      </c>
      <c r="E95" s="102"/>
      <c r="F95" s="1" t="str">
        <f>IFERROR(IF(OR(WEEKDAY(B95,2)=6,WEEKDAY(B95,2)=7),'Month summary'!$D$11,IF(E95="",'Month summary'!$C$11,E95)),"")</f>
        <v>W</v>
      </c>
      <c r="G95" s="4">
        <f>IF(B95&lt;Time!$B$2,"",IF(F95='Month summary'!$C$11,'Month summary'!$F$2/24,IF(F95="H/2",'Month summary'!$F$2/24/2,0)))</f>
        <v>0.33333333333333331</v>
      </c>
      <c r="H95" s="4">
        <f t="shared" si="10"/>
        <v>0</v>
      </c>
      <c r="I95" s="4" t="str">
        <f t="shared" si="11"/>
        <v/>
      </c>
      <c r="J95" s="107"/>
      <c r="K95" s="38" t="str">
        <f>IFERROR(INDEX(TableTime[Time],MATCH(B95,TableTime[Date],0)),"")</f>
        <v/>
      </c>
      <c r="L95" s="4" t="str">
        <f>IF(SUMIFS(TableTime[Duration],TableTime[Date],B95,TableTime[Activity],Projects!$C$9)+SUMIFS(TableTime[Duration],TableTime[Date],B95,TableTime[Activity],Projects!$C$10)+SUMIFS(TableTime[Duration],TableTime[Date],B95,TableTime[Activity],Projects!$C$11)=0,"",SUMIFS(TableTime[Duration],TableTime[Date],B95,TableTime[Activity],Projects!$C$9)+SUMIFS(TableTime[Duration],TableTime[Date],B95,TableTime[Activity],Projects!$C$10)+SUMIFS(TableTime[Duration],TableTime[Date],B95,TableTime[Activity],Projects!$C$11))</f>
        <v/>
      </c>
      <c r="M95" s="4" t="str" cm="1">
        <f t="array" ref="M95">IFERROR(LOOKUP(2,1/(TableTime[Date]=B95),TableTime[Time]),"")</f>
        <v/>
      </c>
      <c r="N95" s="38" t="str">
        <f>IF(SUMIFS(TableTime[[Duration]:[Duration]],TableTime[[Date]:[Date]],$B95,TableTime[[Activity]:[Activity]],N$1)=0,"",SUMIFS(TableTime[[Duration]:[Duration]],TableTime[[Date]:[Date]],$B95,TableTime[[Activity]:[Activity]],N$1))</f>
        <v/>
      </c>
      <c r="O95" s="4" t="str">
        <f>IF(SUMIFS(TableTime[[Duration]:[Duration]],TableTime[[Date]:[Date]],$B95,TableTime[[Activity]:[Activity]],O$1)=0,"",SUMIFS(TableTime[[Duration]:[Duration]],TableTime[[Date]:[Date]],$B95,TableTime[[Activity]:[Activity]],O$1))</f>
        <v/>
      </c>
      <c r="P95" s="4" t="str">
        <f>IF(SUMIFS(TableTime[[Duration]:[Duration]],TableTime[[Date]:[Date]],$B95,TableTime[[Activity]:[Activity]],P$1)=0,"",SUMIFS(TableTime[[Duration]:[Duration]],TableTime[[Date]:[Date]],$B95,TableTime[[Activity]:[Activity]],P$1))</f>
        <v/>
      </c>
      <c r="Q95" s="4" t="str">
        <f>IF(SUMIFS(TableTime[[Duration]:[Duration]],TableTime[[Date]:[Date]],$B95,TableTime[[Activity]:[Activity]],Q$1)=0,"",SUMIFS(TableTime[[Duration]:[Duration]],TableTime[[Date]:[Date]],$B95,TableTime[[Activity]:[Activity]],Q$1))</f>
        <v/>
      </c>
      <c r="R95" s="4" t="str">
        <f>IF(SUMIFS(TableTime[[Duration]:[Duration]],TableTime[[Date]:[Date]],$B95,TableTime[[Activity]:[Activity]],R$1)=0,"",SUMIFS(TableTime[[Duration]:[Duration]],TableTime[[Date]:[Date]],$B95,TableTime[[Activity]:[Activity]],R$1))</f>
        <v/>
      </c>
      <c r="S95" s="130" t="str">
        <f>IF(SUMIFS(TableTime[[Duration]:[Duration]],TableTime[[Date]:[Date]],$B95,TableTime[[Activity]:[Activity]],S$1)=0,"",SUMIFS(TableTime[[Duration]:[Duration]],TableTime[[Date]:[Date]],$B95,TableTime[[Activity]:[Activity]],S$1))</f>
        <v/>
      </c>
      <c r="T95" s="4" t="str">
        <f>IF(SUMIFS(TableTime[[Duration]:[Duration]],TableTime[[Date]:[Date]],$B95,TableTime[[Activity]:[Activity]],T$1)=0,"",SUMIFS(TableTime[[Duration]:[Duration]],TableTime[[Date]:[Date]],$B95,TableTime[[Activity]:[Activity]],T$1))</f>
        <v/>
      </c>
      <c r="U95" s="39" t="str">
        <f>IF(SUMIFS(TableTime[[Duration]:[Duration]],TableTime[[Date]:[Date]],$B95,TableTime[[Activity]:[Activity]],U$1)=0,"",SUMIFS(TableTime[[Duration]:[Duration]],TableTime[[Date]:[Date]],$B95,TableTime[[Activity]:[Activity]],U$1))</f>
        <v/>
      </c>
    </row>
    <row r="96" spans="1:21" x14ac:dyDescent="0.35">
      <c r="A96" s="59" t="str">
        <f t="shared" si="6"/>
        <v>Wed</v>
      </c>
      <c r="B96" s="91">
        <f t="shared" si="8"/>
        <v>45021</v>
      </c>
      <c r="C96" s="60">
        <f t="shared" si="9"/>
        <v>4</v>
      </c>
      <c r="D96" s="61">
        <f t="shared" si="7"/>
        <v>14</v>
      </c>
      <c r="E96" s="103"/>
      <c r="F96" s="60" t="str">
        <f>IFERROR(IF(OR(WEEKDAY(B96,2)=6,WEEKDAY(B96,2)=7),'Month summary'!$D$11,IF(E96="",'Month summary'!$C$11,E96)),"")</f>
        <v>W</v>
      </c>
      <c r="G96" s="62">
        <f>IF(B96&lt;Time!$B$2,"",IF(F96='Month summary'!$C$11,'Month summary'!$F$2/24,IF(F96="H/2",'Month summary'!$F$2/24/2,0)))</f>
        <v>0.33333333333333331</v>
      </c>
      <c r="H96" s="62">
        <f t="shared" si="10"/>
        <v>0</v>
      </c>
      <c r="I96" s="62" t="str">
        <f t="shared" si="11"/>
        <v/>
      </c>
      <c r="J96" s="108"/>
      <c r="K96" s="63" t="str">
        <f>IFERROR(INDEX(TableTime[Time],MATCH(B96,TableTime[Date],0)),"")</f>
        <v/>
      </c>
      <c r="L96" s="62" t="str">
        <f>IF(SUMIFS(TableTime[Duration],TableTime[Date],B96,TableTime[Activity],Projects!$C$9)+SUMIFS(TableTime[Duration],TableTime[Date],B96,TableTime[Activity],Projects!$C$10)+SUMIFS(TableTime[Duration],TableTime[Date],B96,TableTime[Activity],Projects!$C$11)=0,"",SUMIFS(TableTime[Duration],TableTime[Date],B96,TableTime[Activity],Projects!$C$9)+SUMIFS(TableTime[Duration],TableTime[Date],B96,TableTime[Activity],Projects!$C$10)+SUMIFS(TableTime[Duration],TableTime[Date],B96,TableTime[Activity],Projects!$C$11))</f>
        <v/>
      </c>
      <c r="M96" s="62" t="str" cm="1">
        <f t="array" ref="M96">IFERROR(LOOKUP(2,1/(TableTime[Date]=B96),TableTime[Time]),"")</f>
        <v/>
      </c>
      <c r="N96" s="63" t="str">
        <f>IF(SUMIFS(TableTime[[Duration]:[Duration]],TableTime[[Date]:[Date]],$B96,TableTime[[Activity]:[Activity]],N$1)=0,"",SUMIFS(TableTime[[Duration]:[Duration]],TableTime[[Date]:[Date]],$B96,TableTime[[Activity]:[Activity]],N$1))</f>
        <v/>
      </c>
      <c r="O96" s="62" t="str">
        <f>IF(SUMIFS(TableTime[[Duration]:[Duration]],TableTime[[Date]:[Date]],$B96,TableTime[[Activity]:[Activity]],O$1)=0,"",SUMIFS(TableTime[[Duration]:[Duration]],TableTime[[Date]:[Date]],$B96,TableTime[[Activity]:[Activity]],O$1))</f>
        <v/>
      </c>
      <c r="P96" s="62" t="str">
        <f>IF(SUMIFS(TableTime[[Duration]:[Duration]],TableTime[[Date]:[Date]],$B96,TableTime[[Activity]:[Activity]],P$1)=0,"",SUMIFS(TableTime[[Duration]:[Duration]],TableTime[[Date]:[Date]],$B96,TableTime[[Activity]:[Activity]],P$1))</f>
        <v/>
      </c>
      <c r="Q96" s="62" t="str">
        <f>IF(SUMIFS(TableTime[[Duration]:[Duration]],TableTime[[Date]:[Date]],$B96,TableTime[[Activity]:[Activity]],Q$1)=0,"",SUMIFS(TableTime[[Duration]:[Duration]],TableTime[[Date]:[Date]],$B96,TableTime[[Activity]:[Activity]],Q$1))</f>
        <v/>
      </c>
      <c r="R96" s="62" t="str">
        <f>IF(SUMIFS(TableTime[[Duration]:[Duration]],TableTime[[Date]:[Date]],$B96,TableTime[[Activity]:[Activity]],R$1)=0,"",SUMIFS(TableTime[[Duration]:[Duration]],TableTime[[Date]:[Date]],$B96,TableTime[[Activity]:[Activity]],R$1))</f>
        <v/>
      </c>
      <c r="S96" s="131" t="str">
        <f>IF(SUMIFS(TableTime[[Duration]:[Duration]],TableTime[[Date]:[Date]],$B96,TableTime[[Activity]:[Activity]],S$1)=0,"",SUMIFS(TableTime[[Duration]:[Duration]],TableTime[[Date]:[Date]],$B96,TableTime[[Activity]:[Activity]],S$1))</f>
        <v/>
      </c>
      <c r="T96" s="62" t="str">
        <f>IF(SUMIFS(TableTime[[Duration]:[Duration]],TableTime[[Date]:[Date]],$B96,TableTime[[Activity]:[Activity]],T$1)=0,"",SUMIFS(TableTime[[Duration]:[Duration]],TableTime[[Date]:[Date]],$B96,TableTime[[Activity]:[Activity]],T$1))</f>
        <v/>
      </c>
      <c r="U96" s="64" t="str">
        <f>IF(SUMIFS(TableTime[[Duration]:[Duration]],TableTime[[Date]:[Date]],$B96,TableTime[[Activity]:[Activity]],U$1)=0,"",SUMIFS(TableTime[[Duration]:[Duration]],TableTime[[Date]:[Date]],$B96,TableTime[[Activity]:[Activity]],U$1))</f>
        <v/>
      </c>
    </row>
    <row r="97" spans="1:21" x14ac:dyDescent="0.35">
      <c r="A97" s="35" t="str">
        <f t="shared" si="6"/>
        <v>Thr</v>
      </c>
      <c r="B97" s="5">
        <f t="shared" si="8"/>
        <v>45022</v>
      </c>
      <c r="C97" s="1">
        <f t="shared" si="9"/>
        <v>4</v>
      </c>
      <c r="D97" s="2">
        <f t="shared" si="7"/>
        <v>14</v>
      </c>
      <c r="E97" s="102"/>
      <c r="F97" s="1" t="str">
        <f>IFERROR(IF(OR(WEEKDAY(B97,2)=6,WEEKDAY(B97,2)=7),'Month summary'!$D$11,IF(E97="",'Month summary'!$C$11,E97)),"")</f>
        <v>W</v>
      </c>
      <c r="G97" s="4">
        <f>IF(B97&lt;Time!$B$2,"",IF(F97='Month summary'!$C$11,'Month summary'!$F$2/24,IF(F97="H/2",'Month summary'!$F$2/24/2,0)))</f>
        <v>0.33333333333333331</v>
      </c>
      <c r="H97" s="4">
        <f t="shared" si="10"/>
        <v>0</v>
      </c>
      <c r="I97" s="4" t="str">
        <f t="shared" si="11"/>
        <v/>
      </c>
      <c r="J97" s="107"/>
      <c r="K97" s="38" t="str">
        <f>IFERROR(INDEX(TableTime[Time],MATCH(B97,TableTime[Date],0)),"")</f>
        <v/>
      </c>
      <c r="L97" s="4" t="str">
        <f>IF(SUMIFS(TableTime[Duration],TableTime[Date],B97,TableTime[Activity],Projects!$C$9)+SUMIFS(TableTime[Duration],TableTime[Date],B97,TableTime[Activity],Projects!$C$10)+SUMIFS(TableTime[Duration],TableTime[Date],B97,TableTime[Activity],Projects!$C$11)=0,"",SUMIFS(TableTime[Duration],TableTime[Date],B97,TableTime[Activity],Projects!$C$9)+SUMIFS(TableTime[Duration],TableTime[Date],B97,TableTime[Activity],Projects!$C$10)+SUMIFS(TableTime[Duration],TableTime[Date],B97,TableTime[Activity],Projects!$C$11))</f>
        <v/>
      </c>
      <c r="M97" s="4" t="str" cm="1">
        <f t="array" ref="M97">IFERROR(LOOKUP(2,1/(TableTime[Date]=B97),TableTime[Time]),"")</f>
        <v/>
      </c>
      <c r="N97" s="38" t="str">
        <f>IF(SUMIFS(TableTime[[Duration]:[Duration]],TableTime[[Date]:[Date]],$B97,TableTime[[Activity]:[Activity]],N$1)=0,"",SUMIFS(TableTime[[Duration]:[Duration]],TableTime[[Date]:[Date]],$B97,TableTime[[Activity]:[Activity]],N$1))</f>
        <v/>
      </c>
      <c r="O97" s="4" t="str">
        <f>IF(SUMIFS(TableTime[[Duration]:[Duration]],TableTime[[Date]:[Date]],$B97,TableTime[[Activity]:[Activity]],O$1)=0,"",SUMIFS(TableTime[[Duration]:[Duration]],TableTime[[Date]:[Date]],$B97,TableTime[[Activity]:[Activity]],O$1))</f>
        <v/>
      </c>
      <c r="P97" s="4" t="str">
        <f>IF(SUMIFS(TableTime[[Duration]:[Duration]],TableTime[[Date]:[Date]],$B97,TableTime[[Activity]:[Activity]],P$1)=0,"",SUMIFS(TableTime[[Duration]:[Duration]],TableTime[[Date]:[Date]],$B97,TableTime[[Activity]:[Activity]],P$1))</f>
        <v/>
      </c>
      <c r="Q97" s="4" t="str">
        <f>IF(SUMIFS(TableTime[[Duration]:[Duration]],TableTime[[Date]:[Date]],$B97,TableTime[[Activity]:[Activity]],Q$1)=0,"",SUMIFS(TableTime[[Duration]:[Duration]],TableTime[[Date]:[Date]],$B97,TableTime[[Activity]:[Activity]],Q$1))</f>
        <v/>
      </c>
      <c r="R97" s="4" t="str">
        <f>IF(SUMIFS(TableTime[[Duration]:[Duration]],TableTime[[Date]:[Date]],$B97,TableTime[[Activity]:[Activity]],R$1)=0,"",SUMIFS(TableTime[[Duration]:[Duration]],TableTime[[Date]:[Date]],$B97,TableTime[[Activity]:[Activity]],R$1))</f>
        <v/>
      </c>
      <c r="S97" s="130" t="str">
        <f>IF(SUMIFS(TableTime[[Duration]:[Duration]],TableTime[[Date]:[Date]],$B97,TableTime[[Activity]:[Activity]],S$1)=0,"",SUMIFS(TableTime[[Duration]:[Duration]],TableTime[[Date]:[Date]],$B97,TableTime[[Activity]:[Activity]],S$1))</f>
        <v/>
      </c>
      <c r="T97" s="4" t="str">
        <f>IF(SUMIFS(TableTime[[Duration]:[Duration]],TableTime[[Date]:[Date]],$B97,TableTime[[Activity]:[Activity]],T$1)=0,"",SUMIFS(TableTime[[Duration]:[Duration]],TableTime[[Date]:[Date]],$B97,TableTime[[Activity]:[Activity]],T$1))</f>
        <v/>
      </c>
      <c r="U97" s="39" t="str">
        <f>IF(SUMIFS(TableTime[[Duration]:[Duration]],TableTime[[Date]:[Date]],$B97,TableTime[[Activity]:[Activity]],U$1)=0,"",SUMIFS(TableTime[[Duration]:[Duration]],TableTime[[Date]:[Date]],$B97,TableTime[[Activity]:[Activity]],U$1))</f>
        <v/>
      </c>
    </row>
    <row r="98" spans="1:21" x14ac:dyDescent="0.35">
      <c r="A98" s="59" t="str">
        <f t="shared" si="6"/>
        <v>Fri</v>
      </c>
      <c r="B98" s="91">
        <f t="shared" si="8"/>
        <v>45023</v>
      </c>
      <c r="C98" s="60">
        <f t="shared" si="9"/>
        <v>4</v>
      </c>
      <c r="D98" s="61">
        <f t="shared" si="7"/>
        <v>14</v>
      </c>
      <c r="E98" s="103" t="s">
        <v>19</v>
      </c>
      <c r="F98" s="60" t="str">
        <f>IFERROR(IF(OR(WEEKDAY(B98,2)=6,WEEKDAY(B98,2)=7),'Month summary'!$D$11,IF(E98="",'Month summary'!$C$11,E98)),"")</f>
        <v>PH</v>
      </c>
      <c r="G98" s="62">
        <f>IF(B98&lt;Time!$B$2,"",IF(F98='Month summary'!$C$11,'Month summary'!$F$2/24,IF(F98="H/2",'Month summary'!$F$2/24/2,0)))</f>
        <v>0</v>
      </c>
      <c r="H98" s="62">
        <f t="shared" si="10"/>
        <v>0</v>
      </c>
      <c r="I98" s="62" t="str">
        <f t="shared" si="11"/>
        <v/>
      </c>
      <c r="J98" s="108" t="s">
        <v>20</v>
      </c>
      <c r="K98" s="63" t="str">
        <f>IFERROR(INDEX(TableTime[Time],MATCH(B98,TableTime[Date],0)),"")</f>
        <v/>
      </c>
      <c r="L98" s="62" t="str">
        <f>IF(SUMIFS(TableTime[Duration],TableTime[Date],B98,TableTime[Activity],Projects!$C$9)+SUMIFS(TableTime[Duration],TableTime[Date],B98,TableTime[Activity],Projects!$C$10)+SUMIFS(TableTime[Duration],TableTime[Date],B98,TableTime[Activity],Projects!$C$11)=0,"",SUMIFS(TableTime[Duration],TableTime[Date],B98,TableTime[Activity],Projects!$C$9)+SUMIFS(TableTime[Duration],TableTime[Date],B98,TableTime[Activity],Projects!$C$10)+SUMIFS(TableTime[Duration],TableTime[Date],B98,TableTime[Activity],Projects!$C$11))</f>
        <v/>
      </c>
      <c r="M98" s="62" t="str" cm="1">
        <f t="array" ref="M98">IFERROR(LOOKUP(2,1/(TableTime[Date]=B98),TableTime[Time]),"")</f>
        <v/>
      </c>
      <c r="N98" s="63" t="str">
        <f>IF(SUMIFS(TableTime[[Duration]:[Duration]],TableTime[[Date]:[Date]],$B98,TableTime[[Activity]:[Activity]],N$1)=0,"",SUMIFS(TableTime[[Duration]:[Duration]],TableTime[[Date]:[Date]],$B98,TableTime[[Activity]:[Activity]],N$1))</f>
        <v/>
      </c>
      <c r="O98" s="62" t="str">
        <f>IF(SUMIFS(TableTime[[Duration]:[Duration]],TableTime[[Date]:[Date]],$B98,TableTime[[Activity]:[Activity]],O$1)=0,"",SUMIFS(TableTime[[Duration]:[Duration]],TableTime[[Date]:[Date]],$B98,TableTime[[Activity]:[Activity]],O$1))</f>
        <v/>
      </c>
      <c r="P98" s="62" t="str">
        <f>IF(SUMIFS(TableTime[[Duration]:[Duration]],TableTime[[Date]:[Date]],$B98,TableTime[[Activity]:[Activity]],P$1)=0,"",SUMIFS(TableTime[[Duration]:[Duration]],TableTime[[Date]:[Date]],$B98,TableTime[[Activity]:[Activity]],P$1))</f>
        <v/>
      </c>
      <c r="Q98" s="62" t="str">
        <f>IF(SUMIFS(TableTime[[Duration]:[Duration]],TableTime[[Date]:[Date]],$B98,TableTime[[Activity]:[Activity]],Q$1)=0,"",SUMIFS(TableTime[[Duration]:[Duration]],TableTime[[Date]:[Date]],$B98,TableTime[[Activity]:[Activity]],Q$1))</f>
        <v/>
      </c>
      <c r="R98" s="62" t="str">
        <f>IF(SUMIFS(TableTime[[Duration]:[Duration]],TableTime[[Date]:[Date]],$B98,TableTime[[Activity]:[Activity]],R$1)=0,"",SUMIFS(TableTime[[Duration]:[Duration]],TableTime[[Date]:[Date]],$B98,TableTime[[Activity]:[Activity]],R$1))</f>
        <v/>
      </c>
      <c r="S98" s="131" t="str">
        <f>IF(SUMIFS(TableTime[[Duration]:[Duration]],TableTime[[Date]:[Date]],$B98,TableTime[[Activity]:[Activity]],S$1)=0,"",SUMIFS(TableTime[[Duration]:[Duration]],TableTime[[Date]:[Date]],$B98,TableTime[[Activity]:[Activity]],S$1))</f>
        <v/>
      </c>
      <c r="T98" s="62" t="str">
        <f>IF(SUMIFS(TableTime[[Duration]:[Duration]],TableTime[[Date]:[Date]],$B98,TableTime[[Activity]:[Activity]],T$1)=0,"",SUMIFS(TableTime[[Duration]:[Duration]],TableTime[[Date]:[Date]],$B98,TableTime[[Activity]:[Activity]],T$1))</f>
        <v/>
      </c>
      <c r="U98" s="64" t="str">
        <f>IF(SUMIFS(TableTime[[Duration]:[Duration]],TableTime[[Date]:[Date]],$B98,TableTime[[Activity]:[Activity]],U$1)=0,"",SUMIFS(TableTime[[Duration]:[Duration]],TableTime[[Date]:[Date]],$B98,TableTime[[Activity]:[Activity]],U$1))</f>
        <v/>
      </c>
    </row>
    <row r="99" spans="1:21" x14ac:dyDescent="0.35">
      <c r="A99" s="35" t="str">
        <f t="shared" si="6"/>
        <v>Sat</v>
      </c>
      <c r="B99" s="5">
        <f t="shared" si="8"/>
        <v>45024</v>
      </c>
      <c r="C99" s="1">
        <f t="shared" si="9"/>
        <v>4</v>
      </c>
      <c r="D99" s="2">
        <f t="shared" si="7"/>
        <v>14</v>
      </c>
      <c r="E99" s="102"/>
      <c r="F99" s="1" t="str">
        <f>IFERROR(IF(OR(WEEKDAY(B99,2)=6,WEEKDAY(B99,2)=7),'Month summary'!$D$11,IF(E99="",'Month summary'!$C$11,E99)),"")</f>
        <v>WE</v>
      </c>
      <c r="G99" s="4">
        <f>IF(B99&lt;Time!$B$2,"",IF(F99='Month summary'!$C$11,'Month summary'!$F$2/24,IF(F99="H/2",'Month summary'!$F$2/24/2,0)))</f>
        <v>0</v>
      </c>
      <c r="H99" s="4">
        <f t="shared" si="10"/>
        <v>0</v>
      </c>
      <c r="I99" s="4" t="str">
        <f t="shared" si="11"/>
        <v/>
      </c>
      <c r="J99" s="107"/>
      <c r="K99" s="38" t="str">
        <f>IFERROR(INDEX(TableTime[Time],MATCH(B99,TableTime[Date],0)),"")</f>
        <v/>
      </c>
      <c r="L99" s="4" t="str">
        <f>IF(SUMIFS(TableTime[Duration],TableTime[Date],B99,TableTime[Activity],Projects!$C$9)+SUMIFS(TableTime[Duration],TableTime[Date],B99,TableTime[Activity],Projects!$C$10)+SUMIFS(TableTime[Duration],TableTime[Date],B99,TableTime[Activity],Projects!$C$11)=0,"",SUMIFS(TableTime[Duration],TableTime[Date],B99,TableTime[Activity],Projects!$C$9)+SUMIFS(TableTime[Duration],TableTime[Date],B99,TableTime[Activity],Projects!$C$10)+SUMIFS(TableTime[Duration],TableTime[Date],B99,TableTime[Activity],Projects!$C$11))</f>
        <v/>
      </c>
      <c r="M99" s="4" t="str" cm="1">
        <f t="array" ref="M99">IFERROR(LOOKUP(2,1/(TableTime[Date]=B99),TableTime[Time]),"")</f>
        <v/>
      </c>
      <c r="N99" s="38" t="str">
        <f>IF(SUMIFS(TableTime[[Duration]:[Duration]],TableTime[[Date]:[Date]],$B99,TableTime[[Activity]:[Activity]],N$1)=0,"",SUMIFS(TableTime[[Duration]:[Duration]],TableTime[[Date]:[Date]],$B99,TableTime[[Activity]:[Activity]],N$1))</f>
        <v/>
      </c>
      <c r="O99" s="4" t="str">
        <f>IF(SUMIFS(TableTime[[Duration]:[Duration]],TableTime[[Date]:[Date]],$B99,TableTime[[Activity]:[Activity]],O$1)=0,"",SUMIFS(TableTime[[Duration]:[Duration]],TableTime[[Date]:[Date]],$B99,TableTime[[Activity]:[Activity]],O$1))</f>
        <v/>
      </c>
      <c r="P99" s="4" t="str">
        <f>IF(SUMIFS(TableTime[[Duration]:[Duration]],TableTime[[Date]:[Date]],$B99,TableTime[[Activity]:[Activity]],P$1)=0,"",SUMIFS(TableTime[[Duration]:[Duration]],TableTime[[Date]:[Date]],$B99,TableTime[[Activity]:[Activity]],P$1))</f>
        <v/>
      </c>
      <c r="Q99" s="4" t="str">
        <f>IF(SUMIFS(TableTime[[Duration]:[Duration]],TableTime[[Date]:[Date]],$B99,TableTime[[Activity]:[Activity]],Q$1)=0,"",SUMIFS(TableTime[[Duration]:[Duration]],TableTime[[Date]:[Date]],$B99,TableTime[[Activity]:[Activity]],Q$1))</f>
        <v/>
      </c>
      <c r="R99" s="4" t="str">
        <f>IF(SUMIFS(TableTime[[Duration]:[Duration]],TableTime[[Date]:[Date]],$B99,TableTime[[Activity]:[Activity]],R$1)=0,"",SUMIFS(TableTime[[Duration]:[Duration]],TableTime[[Date]:[Date]],$B99,TableTime[[Activity]:[Activity]],R$1))</f>
        <v/>
      </c>
      <c r="S99" s="130" t="str">
        <f>IF(SUMIFS(TableTime[[Duration]:[Duration]],TableTime[[Date]:[Date]],$B99,TableTime[[Activity]:[Activity]],S$1)=0,"",SUMIFS(TableTime[[Duration]:[Duration]],TableTime[[Date]:[Date]],$B99,TableTime[[Activity]:[Activity]],S$1))</f>
        <v/>
      </c>
      <c r="T99" s="4" t="str">
        <f>IF(SUMIFS(TableTime[[Duration]:[Duration]],TableTime[[Date]:[Date]],$B99,TableTime[[Activity]:[Activity]],T$1)=0,"",SUMIFS(TableTime[[Duration]:[Duration]],TableTime[[Date]:[Date]],$B99,TableTime[[Activity]:[Activity]],T$1))</f>
        <v/>
      </c>
      <c r="U99" s="39" t="str">
        <f>IF(SUMIFS(TableTime[[Duration]:[Duration]],TableTime[[Date]:[Date]],$B99,TableTime[[Activity]:[Activity]],U$1)=0,"",SUMIFS(TableTime[[Duration]:[Duration]],TableTime[[Date]:[Date]],$B99,TableTime[[Activity]:[Activity]],U$1))</f>
        <v/>
      </c>
    </row>
    <row r="100" spans="1:21" x14ac:dyDescent="0.35">
      <c r="A100" s="59" t="str">
        <f t="shared" si="6"/>
        <v>Sun</v>
      </c>
      <c r="B100" s="91">
        <f t="shared" si="8"/>
        <v>45025</v>
      </c>
      <c r="C100" s="60">
        <f t="shared" si="9"/>
        <v>4</v>
      </c>
      <c r="D100" s="61">
        <f t="shared" si="7"/>
        <v>14</v>
      </c>
      <c r="E100" s="103"/>
      <c r="F100" s="60" t="str">
        <f>IFERROR(IF(OR(WEEKDAY(B100,2)=6,WEEKDAY(B100,2)=7),'Month summary'!$D$11,IF(E100="",'Month summary'!$C$11,E100)),"")</f>
        <v>WE</v>
      </c>
      <c r="G100" s="62">
        <f>IF(B100&lt;Time!$B$2,"",IF(F100='Month summary'!$C$11,'Month summary'!$F$2/24,IF(F100="H/2",'Month summary'!$F$2/24/2,0)))</f>
        <v>0</v>
      </c>
      <c r="H100" s="62">
        <f t="shared" si="10"/>
        <v>0</v>
      </c>
      <c r="I100" s="62" t="str">
        <f t="shared" si="11"/>
        <v/>
      </c>
      <c r="J100" s="108"/>
      <c r="K100" s="63" t="str">
        <f>IFERROR(INDEX(TableTime[Time],MATCH(B100,TableTime[Date],0)),"")</f>
        <v/>
      </c>
      <c r="L100" s="62" t="str">
        <f>IF(SUMIFS(TableTime[Duration],TableTime[Date],B100,TableTime[Activity],Projects!$C$9)+SUMIFS(TableTime[Duration],TableTime[Date],B100,TableTime[Activity],Projects!$C$10)+SUMIFS(TableTime[Duration],TableTime[Date],B100,TableTime[Activity],Projects!$C$11)=0,"",SUMIFS(TableTime[Duration],TableTime[Date],B100,TableTime[Activity],Projects!$C$9)+SUMIFS(TableTime[Duration],TableTime[Date],B100,TableTime[Activity],Projects!$C$10)+SUMIFS(TableTime[Duration],TableTime[Date],B100,TableTime[Activity],Projects!$C$11))</f>
        <v/>
      </c>
      <c r="M100" s="62" t="str" cm="1">
        <f t="array" ref="M100">IFERROR(LOOKUP(2,1/(TableTime[Date]=B100),TableTime[Time]),"")</f>
        <v/>
      </c>
      <c r="N100" s="63" t="str">
        <f>IF(SUMIFS(TableTime[[Duration]:[Duration]],TableTime[[Date]:[Date]],$B100,TableTime[[Activity]:[Activity]],N$1)=0,"",SUMIFS(TableTime[[Duration]:[Duration]],TableTime[[Date]:[Date]],$B100,TableTime[[Activity]:[Activity]],N$1))</f>
        <v/>
      </c>
      <c r="O100" s="62" t="str">
        <f>IF(SUMIFS(TableTime[[Duration]:[Duration]],TableTime[[Date]:[Date]],$B100,TableTime[[Activity]:[Activity]],O$1)=0,"",SUMIFS(TableTime[[Duration]:[Duration]],TableTime[[Date]:[Date]],$B100,TableTime[[Activity]:[Activity]],O$1))</f>
        <v/>
      </c>
      <c r="P100" s="62" t="str">
        <f>IF(SUMIFS(TableTime[[Duration]:[Duration]],TableTime[[Date]:[Date]],$B100,TableTime[[Activity]:[Activity]],P$1)=0,"",SUMIFS(TableTime[[Duration]:[Duration]],TableTime[[Date]:[Date]],$B100,TableTime[[Activity]:[Activity]],P$1))</f>
        <v/>
      </c>
      <c r="Q100" s="62" t="str">
        <f>IF(SUMIFS(TableTime[[Duration]:[Duration]],TableTime[[Date]:[Date]],$B100,TableTime[[Activity]:[Activity]],Q$1)=0,"",SUMIFS(TableTime[[Duration]:[Duration]],TableTime[[Date]:[Date]],$B100,TableTime[[Activity]:[Activity]],Q$1))</f>
        <v/>
      </c>
      <c r="R100" s="62" t="str">
        <f>IF(SUMIFS(TableTime[[Duration]:[Duration]],TableTime[[Date]:[Date]],$B100,TableTime[[Activity]:[Activity]],R$1)=0,"",SUMIFS(TableTime[[Duration]:[Duration]],TableTime[[Date]:[Date]],$B100,TableTime[[Activity]:[Activity]],R$1))</f>
        <v/>
      </c>
      <c r="S100" s="131" t="str">
        <f>IF(SUMIFS(TableTime[[Duration]:[Duration]],TableTime[[Date]:[Date]],$B100,TableTime[[Activity]:[Activity]],S$1)=0,"",SUMIFS(TableTime[[Duration]:[Duration]],TableTime[[Date]:[Date]],$B100,TableTime[[Activity]:[Activity]],S$1))</f>
        <v/>
      </c>
      <c r="T100" s="62" t="str">
        <f>IF(SUMIFS(TableTime[[Duration]:[Duration]],TableTime[[Date]:[Date]],$B100,TableTime[[Activity]:[Activity]],T$1)=0,"",SUMIFS(TableTime[[Duration]:[Duration]],TableTime[[Date]:[Date]],$B100,TableTime[[Activity]:[Activity]],T$1))</f>
        <v/>
      </c>
      <c r="U100" s="64" t="str">
        <f>IF(SUMIFS(TableTime[[Duration]:[Duration]],TableTime[[Date]:[Date]],$B100,TableTime[[Activity]:[Activity]],U$1)=0,"",SUMIFS(TableTime[[Duration]:[Duration]],TableTime[[Date]:[Date]],$B100,TableTime[[Activity]:[Activity]],U$1))</f>
        <v/>
      </c>
    </row>
    <row r="101" spans="1:21" x14ac:dyDescent="0.35">
      <c r="A101" s="35" t="str">
        <f t="shared" si="6"/>
        <v>Mon</v>
      </c>
      <c r="B101" s="5">
        <f t="shared" si="8"/>
        <v>45026</v>
      </c>
      <c r="C101" s="1">
        <f t="shared" si="9"/>
        <v>4</v>
      </c>
      <c r="D101" s="2">
        <f t="shared" si="7"/>
        <v>15</v>
      </c>
      <c r="E101" s="102" t="s">
        <v>19</v>
      </c>
      <c r="F101" s="1" t="str">
        <f>IFERROR(IF(OR(WEEKDAY(B101,2)=6,WEEKDAY(B101,2)=7),'Month summary'!$D$11,IF(E101="",'Month summary'!$C$11,E101)),"")</f>
        <v>PH</v>
      </c>
      <c r="G101" s="4">
        <f>IF(B101&lt;Time!$B$2,"",IF(F101='Month summary'!$C$11,'Month summary'!$F$2/24,IF(F101="H/2",'Month summary'!$F$2/24/2,0)))</f>
        <v>0</v>
      </c>
      <c r="H101" s="4">
        <f t="shared" si="10"/>
        <v>0</v>
      </c>
      <c r="I101" s="4" t="str">
        <f t="shared" si="11"/>
        <v/>
      </c>
      <c r="J101" s="107" t="s">
        <v>20</v>
      </c>
      <c r="K101" s="38" t="str">
        <f>IFERROR(INDEX(TableTime[Time],MATCH(B101,TableTime[Date],0)),"")</f>
        <v/>
      </c>
      <c r="L101" s="4" t="str">
        <f>IF(SUMIFS(TableTime[Duration],TableTime[Date],B101,TableTime[Activity],Projects!$C$9)+SUMIFS(TableTime[Duration],TableTime[Date],B101,TableTime[Activity],Projects!$C$10)+SUMIFS(TableTime[Duration],TableTime[Date],B101,TableTime[Activity],Projects!$C$11)=0,"",SUMIFS(TableTime[Duration],TableTime[Date],B101,TableTime[Activity],Projects!$C$9)+SUMIFS(TableTime[Duration],TableTime[Date],B101,TableTime[Activity],Projects!$C$10)+SUMIFS(TableTime[Duration],TableTime[Date],B101,TableTime[Activity],Projects!$C$11))</f>
        <v/>
      </c>
      <c r="M101" s="4" t="str" cm="1">
        <f t="array" ref="M101">IFERROR(LOOKUP(2,1/(TableTime[Date]=B101),TableTime[Time]),"")</f>
        <v/>
      </c>
      <c r="N101" s="38" t="str">
        <f>IF(SUMIFS(TableTime[[Duration]:[Duration]],TableTime[[Date]:[Date]],$B101,TableTime[[Activity]:[Activity]],N$1)=0,"",SUMIFS(TableTime[[Duration]:[Duration]],TableTime[[Date]:[Date]],$B101,TableTime[[Activity]:[Activity]],N$1))</f>
        <v/>
      </c>
      <c r="O101" s="4" t="str">
        <f>IF(SUMIFS(TableTime[[Duration]:[Duration]],TableTime[[Date]:[Date]],$B101,TableTime[[Activity]:[Activity]],O$1)=0,"",SUMIFS(TableTime[[Duration]:[Duration]],TableTime[[Date]:[Date]],$B101,TableTime[[Activity]:[Activity]],O$1))</f>
        <v/>
      </c>
      <c r="P101" s="4" t="str">
        <f>IF(SUMIFS(TableTime[[Duration]:[Duration]],TableTime[[Date]:[Date]],$B101,TableTime[[Activity]:[Activity]],P$1)=0,"",SUMIFS(TableTime[[Duration]:[Duration]],TableTime[[Date]:[Date]],$B101,TableTime[[Activity]:[Activity]],P$1))</f>
        <v/>
      </c>
      <c r="Q101" s="4" t="str">
        <f>IF(SUMIFS(TableTime[[Duration]:[Duration]],TableTime[[Date]:[Date]],$B101,TableTime[[Activity]:[Activity]],Q$1)=0,"",SUMIFS(TableTime[[Duration]:[Duration]],TableTime[[Date]:[Date]],$B101,TableTime[[Activity]:[Activity]],Q$1))</f>
        <v/>
      </c>
      <c r="R101" s="4" t="str">
        <f>IF(SUMIFS(TableTime[[Duration]:[Duration]],TableTime[[Date]:[Date]],$B101,TableTime[[Activity]:[Activity]],R$1)=0,"",SUMIFS(TableTime[[Duration]:[Duration]],TableTime[[Date]:[Date]],$B101,TableTime[[Activity]:[Activity]],R$1))</f>
        <v/>
      </c>
      <c r="S101" s="130" t="str">
        <f>IF(SUMIFS(TableTime[[Duration]:[Duration]],TableTime[[Date]:[Date]],$B101,TableTime[[Activity]:[Activity]],S$1)=0,"",SUMIFS(TableTime[[Duration]:[Duration]],TableTime[[Date]:[Date]],$B101,TableTime[[Activity]:[Activity]],S$1))</f>
        <v/>
      </c>
      <c r="T101" s="4" t="str">
        <f>IF(SUMIFS(TableTime[[Duration]:[Duration]],TableTime[[Date]:[Date]],$B101,TableTime[[Activity]:[Activity]],T$1)=0,"",SUMIFS(TableTime[[Duration]:[Duration]],TableTime[[Date]:[Date]],$B101,TableTime[[Activity]:[Activity]],T$1))</f>
        <v/>
      </c>
      <c r="U101" s="39" t="str">
        <f>IF(SUMIFS(TableTime[[Duration]:[Duration]],TableTime[[Date]:[Date]],$B101,TableTime[[Activity]:[Activity]],U$1)=0,"",SUMIFS(TableTime[[Duration]:[Duration]],TableTime[[Date]:[Date]],$B101,TableTime[[Activity]:[Activity]],U$1))</f>
        <v/>
      </c>
    </row>
    <row r="102" spans="1:21" x14ac:dyDescent="0.35">
      <c r="A102" s="59" t="str">
        <f t="shared" si="6"/>
        <v>Tue</v>
      </c>
      <c r="B102" s="91">
        <f t="shared" si="8"/>
        <v>45027</v>
      </c>
      <c r="C102" s="60">
        <f t="shared" si="9"/>
        <v>4</v>
      </c>
      <c r="D102" s="61">
        <f t="shared" si="7"/>
        <v>15</v>
      </c>
      <c r="E102" s="103"/>
      <c r="F102" s="60" t="str">
        <f>IFERROR(IF(OR(WEEKDAY(B102,2)=6,WEEKDAY(B102,2)=7),'Month summary'!$D$11,IF(E102="",'Month summary'!$C$11,E102)),"")</f>
        <v>W</v>
      </c>
      <c r="G102" s="62">
        <f>IF(B102&lt;Time!$B$2,"",IF(F102='Month summary'!$C$11,'Month summary'!$F$2/24,IF(F102="H/2",'Month summary'!$F$2/24/2,0)))</f>
        <v>0.33333333333333331</v>
      </c>
      <c r="H102" s="62">
        <f t="shared" si="10"/>
        <v>0</v>
      </c>
      <c r="I102" s="62" t="str">
        <f t="shared" si="11"/>
        <v/>
      </c>
      <c r="J102" s="108"/>
      <c r="K102" s="63" t="str">
        <f>IFERROR(INDEX(TableTime[Time],MATCH(B102,TableTime[Date],0)),"")</f>
        <v/>
      </c>
      <c r="L102" s="62" t="str">
        <f>IF(SUMIFS(TableTime[Duration],TableTime[Date],B102,TableTime[Activity],Projects!$C$9)+SUMIFS(TableTime[Duration],TableTime[Date],B102,TableTime[Activity],Projects!$C$10)+SUMIFS(TableTime[Duration],TableTime[Date],B102,TableTime[Activity],Projects!$C$11)=0,"",SUMIFS(TableTime[Duration],TableTime[Date],B102,TableTime[Activity],Projects!$C$9)+SUMIFS(TableTime[Duration],TableTime[Date],B102,TableTime[Activity],Projects!$C$10)+SUMIFS(TableTime[Duration],TableTime[Date],B102,TableTime[Activity],Projects!$C$11))</f>
        <v/>
      </c>
      <c r="M102" s="62" t="str" cm="1">
        <f t="array" ref="M102">IFERROR(LOOKUP(2,1/(TableTime[Date]=B102),TableTime[Time]),"")</f>
        <v/>
      </c>
      <c r="N102" s="63" t="str">
        <f>IF(SUMIFS(TableTime[[Duration]:[Duration]],TableTime[[Date]:[Date]],$B102,TableTime[[Activity]:[Activity]],N$1)=0,"",SUMIFS(TableTime[[Duration]:[Duration]],TableTime[[Date]:[Date]],$B102,TableTime[[Activity]:[Activity]],N$1))</f>
        <v/>
      </c>
      <c r="O102" s="62" t="str">
        <f>IF(SUMIFS(TableTime[[Duration]:[Duration]],TableTime[[Date]:[Date]],$B102,TableTime[[Activity]:[Activity]],O$1)=0,"",SUMIFS(TableTime[[Duration]:[Duration]],TableTime[[Date]:[Date]],$B102,TableTime[[Activity]:[Activity]],O$1))</f>
        <v/>
      </c>
      <c r="P102" s="62" t="str">
        <f>IF(SUMIFS(TableTime[[Duration]:[Duration]],TableTime[[Date]:[Date]],$B102,TableTime[[Activity]:[Activity]],P$1)=0,"",SUMIFS(TableTime[[Duration]:[Duration]],TableTime[[Date]:[Date]],$B102,TableTime[[Activity]:[Activity]],P$1))</f>
        <v/>
      </c>
      <c r="Q102" s="62" t="str">
        <f>IF(SUMIFS(TableTime[[Duration]:[Duration]],TableTime[[Date]:[Date]],$B102,TableTime[[Activity]:[Activity]],Q$1)=0,"",SUMIFS(TableTime[[Duration]:[Duration]],TableTime[[Date]:[Date]],$B102,TableTime[[Activity]:[Activity]],Q$1))</f>
        <v/>
      </c>
      <c r="R102" s="62" t="str">
        <f>IF(SUMIFS(TableTime[[Duration]:[Duration]],TableTime[[Date]:[Date]],$B102,TableTime[[Activity]:[Activity]],R$1)=0,"",SUMIFS(TableTime[[Duration]:[Duration]],TableTime[[Date]:[Date]],$B102,TableTime[[Activity]:[Activity]],R$1))</f>
        <v/>
      </c>
      <c r="S102" s="131" t="str">
        <f>IF(SUMIFS(TableTime[[Duration]:[Duration]],TableTime[[Date]:[Date]],$B102,TableTime[[Activity]:[Activity]],S$1)=0,"",SUMIFS(TableTime[[Duration]:[Duration]],TableTime[[Date]:[Date]],$B102,TableTime[[Activity]:[Activity]],S$1))</f>
        <v/>
      </c>
      <c r="T102" s="62" t="str">
        <f>IF(SUMIFS(TableTime[[Duration]:[Duration]],TableTime[[Date]:[Date]],$B102,TableTime[[Activity]:[Activity]],T$1)=0,"",SUMIFS(TableTime[[Duration]:[Duration]],TableTime[[Date]:[Date]],$B102,TableTime[[Activity]:[Activity]],T$1))</f>
        <v/>
      </c>
      <c r="U102" s="64" t="str">
        <f>IF(SUMIFS(TableTime[[Duration]:[Duration]],TableTime[[Date]:[Date]],$B102,TableTime[[Activity]:[Activity]],U$1)=0,"",SUMIFS(TableTime[[Duration]:[Duration]],TableTime[[Date]:[Date]],$B102,TableTime[[Activity]:[Activity]],U$1))</f>
        <v/>
      </c>
    </row>
    <row r="103" spans="1:21" x14ac:dyDescent="0.35">
      <c r="A103" s="35" t="str">
        <f t="shared" si="6"/>
        <v>Wed</v>
      </c>
      <c r="B103" s="5">
        <f t="shared" si="8"/>
        <v>45028</v>
      </c>
      <c r="C103" s="1">
        <f t="shared" si="9"/>
        <v>4</v>
      </c>
      <c r="D103" s="2">
        <f t="shared" si="7"/>
        <v>15</v>
      </c>
      <c r="E103" s="102"/>
      <c r="F103" s="1" t="str">
        <f>IFERROR(IF(OR(WEEKDAY(B103,2)=6,WEEKDAY(B103,2)=7),'Month summary'!$D$11,IF(E103="",'Month summary'!$C$11,E103)),"")</f>
        <v>W</v>
      </c>
      <c r="G103" s="4">
        <f>IF(B103&lt;Time!$B$2,"",IF(F103='Month summary'!$C$11,'Month summary'!$F$2/24,IF(F103="H/2",'Month summary'!$F$2/24/2,0)))</f>
        <v>0.33333333333333331</v>
      </c>
      <c r="H103" s="4">
        <f t="shared" si="10"/>
        <v>0</v>
      </c>
      <c r="I103" s="4" t="str">
        <f t="shared" si="11"/>
        <v/>
      </c>
      <c r="J103" s="107"/>
      <c r="K103" s="38" t="str">
        <f>IFERROR(INDEX(TableTime[Time],MATCH(B103,TableTime[Date],0)),"")</f>
        <v/>
      </c>
      <c r="L103" s="4" t="str">
        <f>IF(SUMIFS(TableTime[Duration],TableTime[Date],B103,TableTime[Activity],Projects!$C$9)+SUMIFS(TableTime[Duration],TableTime[Date],B103,TableTime[Activity],Projects!$C$10)+SUMIFS(TableTime[Duration],TableTime[Date],B103,TableTime[Activity],Projects!$C$11)=0,"",SUMIFS(TableTime[Duration],TableTime[Date],B103,TableTime[Activity],Projects!$C$9)+SUMIFS(TableTime[Duration],TableTime[Date],B103,TableTime[Activity],Projects!$C$10)+SUMIFS(TableTime[Duration],TableTime[Date],B103,TableTime[Activity],Projects!$C$11))</f>
        <v/>
      </c>
      <c r="M103" s="4" t="str" cm="1">
        <f t="array" ref="M103">IFERROR(LOOKUP(2,1/(TableTime[Date]=B103),TableTime[Time]),"")</f>
        <v/>
      </c>
      <c r="N103" s="38" t="str">
        <f>IF(SUMIFS(TableTime[[Duration]:[Duration]],TableTime[[Date]:[Date]],$B103,TableTime[[Activity]:[Activity]],N$1)=0,"",SUMIFS(TableTime[[Duration]:[Duration]],TableTime[[Date]:[Date]],$B103,TableTime[[Activity]:[Activity]],N$1))</f>
        <v/>
      </c>
      <c r="O103" s="4" t="str">
        <f>IF(SUMIFS(TableTime[[Duration]:[Duration]],TableTime[[Date]:[Date]],$B103,TableTime[[Activity]:[Activity]],O$1)=0,"",SUMIFS(TableTime[[Duration]:[Duration]],TableTime[[Date]:[Date]],$B103,TableTime[[Activity]:[Activity]],O$1))</f>
        <v/>
      </c>
      <c r="P103" s="4" t="str">
        <f>IF(SUMIFS(TableTime[[Duration]:[Duration]],TableTime[[Date]:[Date]],$B103,TableTime[[Activity]:[Activity]],P$1)=0,"",SUMIFS(TableTime[[Duration]:[Duration]],TableTime[[Date]:[Date]],$B103,TableTime[[Activity]:[Activity]],P$1))</f>
        <v/>
      </c>
      <c r="Q103" s="4" t="str">
        <f>IF(SUMIFS(TableTime[[Duration]:[Duration]],TableTime[[Date]:[Date]],$B103,TableTime[[Activity]:[Activity]],Q$1)=0,"",SUMIFS(TableTime[[Duration]:[Duration]],TableTime[[Date]:[Date]],$B103,TableTime[[Activity]:[Activity]],Q$1))</f>
        <v/>
      </c>
      <c r="R103" s="4" t="str">
        <f>IF(SUMIFS(TableTime[[Duration]:[Duration]],TableTime[[Date]:[Date]],$B103,TableTime[[Activity]:[Activity]],R$1)=0,"",SUMIFS(TableTime[[Duration]:[Duration]],TableTime[[Date]:[Date]],$B103,TableTime[[Activity]:[Activity]],R$1))</f>
        <v/>
      </c>
      <c r="S103" s="130" t="str">
        <f>IF(SUMIFS(TableTime[[Duration]:[Duration]],TableTime[[Date]:[Date]],$B103,TableTime[[Activity]:[Activity]],S$1)=0,"",SUMIFS(TableTime[[Duration]:[Duration]],TableTime[[Date]:[Date]],$B103,TableTime[[Activity]:[Activity]],S$1))</f>
        <v/>
      </c>
      <c r="T103" s="4" t="str">
        <f>IF(SUMIFS(TableTime[[Duration]:[Duration]],TableTime[[Date]:[Date]],$B103,TableTime[[Activity]:[Activity]],T$1)=0,"",SUMIFS(TableTime[[Duration]:[Duration]],TableTime[[Date]:[Date]],$B103,TableTime[[Activity]:[Activity]],T$1))</f>
        <v/>
      </c>
      <c r="U103" s="39" t="str">
        <f>IF(SUMIFS(TableTime[[Duration]:[Duration]],TableTime[[Date]:[Date]],$B103,TableTime[[Activity]:[Activity]],U$1)=0,"",SUMIFS(TableTime[[Duration]:[Duration]],TableTime[[Date]:[Date]],$B103,TableTime[[Activity]:[Activity]],U$1))</f>
        <v/>
      </c>
    </row>
    <row r="104" spans="1:21" x14ac:dyDescent="0.35">
      <c r="A104" s="59" t="str">
        <f t="shared" si="6"/>
        <v>Thr</v>
      </c>
      <c r="B104" s="91">
        <f t="shared" si="8"/>
        <v>45029</v>
      </c>
      <c r="C104" s="60">
        <f t="shared" si="9"/>
        <v>4</v>
      </c>
      <c r="D104" s="61">
        <f t="shared" si="7"/>
        <v>15</v>
      </c>
      <c r="E104" s="103"/>
      <c r="F104" s="60" t="str">
        <f>IFERROR(IF(OR(WEEKDAY(B104,2)=6,WEEKDAY(B104,2)=7),'Month summary'!$D$11,IF(E104="",'Month summary'!$C$11,E104)),"")</f>
        <v>W</v>
      </c>
      <c r="G104" s="62">
        <f>IF(B104&lt;Time!$B$2,"",IF(F104='Month summary'!$C$11,'Month summary'!$F$2/24,IF(F104="H/2",'Month summary'!$F$2/24/2,0)))</f>
        <v>0.33333333333333331</v>
      </c>
      <c r="H104" s="62">
        <f t="shared" si="10"/>
        <v>0</v>
      </c>
      <c r="I104" s="62" t="str">
        <f t="shared" si="11"/>
        <v/>
      </c>
      <c r="J104" s="108"/>
      <c r="K104" s="63" t="str">
        <f>IFERROR(INDEX(TableTime[Time],MATCH(B104,TableTime[Date],0)),"")</f>
        <v/>
      </c>
      <c r="L104" s="62" t="str">
        <f>IF(SUMIFS(TableTime[Duration],TableTime[Date],B104,TableTime[Activity],Projects!$C$9)+SUMIFS(TableTime[Duration],TableTime[Date],B104,TableTime[Activity],Projects!$C$10)+SUMIFS(TableTime[Duration],TableTime[Date],B104,TableTime[Activity],Projects!$C$11)=0,"",SUMIFS(TableTime[Duration],TableTime[Date],B104,TableTime[Activity],Projects!$C$9)+SUMIFS(TableTime[Duration],TableTime[Date],B104,TableTime[Activity],Projects!$C$10)+SUMIFS(TableTime[Duration],TableTime[Date],B104,TableTime[Activity],Projects!$C$11))</f>
        <v/>
      </c>
      <c r="M104" s="62" t="str" cm="1">
        <f t="array" ref="M104">IFERROR(LOOKUP(2,1/(TableTime[Date]=B104),TableTime[Time]),"")</f>
        <v/>
      </c>
      <c r="N104" s="63" t="str">
        <f>IF(SUMIFS(TableTime[[Duration]:[Duration]],TableTime[[Date]:[Date]],$B104,TableTime[[Activity]:[Activity]],N$1)=0,"",SUMIFS(TableTime[[Duration]:[Duration]],TableTime[[Date]:[Date]],$B104,TableTime[[Activity]:[Activity]],N$1))</f>
        <v/>
      </c>
      <c r="O104" s="62" t="str">
        <f>IF(SUMIFS(TableTime[[Duration]:[Duration]],TableTime[[Date]:[Date]],$B104,TableTime[[Activity]:[Activity]],O$1)=0,"",SUMIFS(TableTime[[Duration]:[Duration]],TableTime[[Date]:[Date]],$B104,TableTime[[Activity]:[Activity]],O$1))</f>
        <v/>
      </c>
      <c r="P104" s="62" t="str">
        <f>IF(SUMIFS(TableTime[[Duration]:[Duration]],TableTime[[Date]:[Date]],$B104,TableTime[[Activity]:[Activity]],P$1)=0,"",SUMIFS(TableTime[[Duration]:[Duration]],TableTime[[Date]:[Date]],$B104,TableTime[[Activity]:[Activity]],P$1))</f>
        <v/>
      </c>
      <c r="Q104" s="62" t="str">
        <f>IF(SUMIFS(TableTime[[Duration]:[Duration]],TableTime[[Date]:[Date]],$B104,TableTime[[Activity]:[Activity]],Q$1)=0,"",SUMIFS(TableTime[[Duration]:[Duration]],TableTime[[Date]:[Date]],$B104,TableTime[[Activity]:[Activity]],Q$1))</f>
        <v/>
      </c>
      <c r="R104" s="62" t="str">
        <f>IF(SUMIFS(TableTime[[Duration]:[Duration]],TableTime[[Date]:[Date]],$B104,TableTime[[Activity]:[Activity]],R$1)=0,"",SUMIFS(TableTime[[Duration]:[Duration]],TableTime[[Date]:[Date]],$B104,TableTime[[Activity]:[Activity]],R$1))</f>
        <v/>
      </c>
      <c r="S104" s="131" t="str">
        <f>IF(SUMIFS(TableTime[[Duration]:[Duration]],TableTime[[Date]:[Date]],$B104,TableTime[[Activity]:[Activity]],S$1)=0,"",SUMIFS(TableTime[[Duration]:[Duration]],TableTime[[Date]:[Date]],$B104,TableTime[[Activity]:[Activity]],S$1))</f>
        <v/>
      </c>
      <c r="T104" s="62" t="str">
        <f>IF(SUMIFS(TableTime[[Duration]:[Duration]],TableTime[[Date]:[Date]],$B104,TableTime[[Activity]:[Activity]],T$1)=0,"",SUMIFS(TableTime[[Duration]:[Duration]],TableTime[[Date]:[Date]],$B104,TableTime[[Activity]:[Activity]],T$1))</f>
        <v/>
      </c>
      <c r="U104" s="64" t="str">
        <f>IF(SUMIFS(TableTime[[Duration]:[Duration]],TableTime[[Date]:[Date]],$B104,TableTime[[Activity]:[Activity]],U$1)=0,"",SUMIFS(TableTime[[Duration]:[Duration]],TableTime[[Date]:[Date]],$B104,TableTime[[Activity]:[Activity]],U$1))</f>
        <v/>
      </c>
    </row>
    <row r="105" spans="1:21" x14ac:dyDescent="0.35">
      <c r="A105" s="35" t="str">
        <f t="shared" si="6"/>
        <v>Fri</v>
      </c>
      <c r="B105" s="5">
        <f t="shared" si="8"/>
        <v>45030</v>
      </c>
      <c r="C105" s="1">
        <f t="shared" si="9"/>
        <v>4</v>
      </c>
      <c r="D105" s="2">
        <f t="shared" si="7"/>
        <v>15</v>
      </c>
      <c r="E105" s="102"/>
      <c r="F105" s="1" t="str">
        <f>IFERROR(IF(OR(WEEKDAY(B105,2)=6,WEEKDAY(B105,2)=7),'Month summary'!$D$11,IF(E105="",'Month summary'!$C$11,E105)),"")</f>
        <v>W</v>
      </c>
      <c r="G105" s="4">
        <f>IF(B105&lt;Time!$B$2,"",IF(F105='Month summary'!$C$11,'Month summary'!$F$2/24,IF(F105="H/2",'Month summary'!$F$2/24/2,0)))</f>
        <v>0.33333333333333331</v>
      </c>
      <c r="H105" s="4">
        <f t="shared" si="10"/>
        <v>0</v>
      </c>
      <c r="I105" s="4" t="str">
        <f t="shared" si="11"/>
        <v/>
      </c>
      <c r="J105" s="107"/>
      <c r="K105" s="38" t="str">
        <f>IFERROR(INDEX(TableTime[Time],MATCH(B105,TableTime[Date],0)),"")</f>
        <v/>
      </c>
      <c r="L105" s="4" t="str">
        <f>IF(SUMIFS(TableTime[Duration],TableTime[Date],B105,TableTime[Activity],Projects!$C$9)+SUMIFS(TableTime[Duration],TableTime[Date],B105,TableTime[Activity],Projects!$C$10)+SUMIFS(TableTime[Duration],TableTime[Date],B105,TableTime[Activity],Projects!$C$11)=0,"",SUMIFS(TableTime[Duration],TableTime[Date],B105,TableTime[Activity],Projects!$C$9)+SUMIFS(TableTime[Duration],TableTime[Date],B105,TableTime[Activity],Projects!$C$10)+SUMIFS(TableTime[Duration],TableTime[Date],B105,TableTime[Activity],Projects!$C$11))</f>
        <v/>
      </c>
      <c r="M105" s="4" t="str" cm="1">
        <f t="array" ref="M105">IFERROR(LOOKUP(2,1/(TableTime[Date]=B105),TableTime[Time]),"")</f>
        <v/>
      </c>
      <c r="N105" s="38" t="str">
        <f>IF(SUMIFS(TableTime[[Duration]:[Duration]],TableTime[[Date]:[Date]],$B105,TableTime[[Activity]:[Activity]],N$1)=0,"",SUMIFS(TableTime[[Duration]:[Duration]],TableTime[[Date]:[Date]],$B105,TableTime[[Activity]:[Activity]],N$1))</f>
        <v/>
      </c>
      <c r="O105" s="4" t="str">
        <f>IF(SUMIFS(TableTime[[Duration]:[Duration]],TableTime[[Date]:[Date]],$B105,TableTime[[Activity]:[Activity]],O$1)=0,"",SUMIFS(TableTime[[Duration]:[Duration]],TableTime[[Date]:[Date]],$B105,TableTime[[Activity]:[Activity]],O$1))</f>
        <v/>
      </c>
      <c r="P105" s="4" t="str">
        <f>IF(SUMIFS(TableTime[[Duration]:[Duration]],TableTime[[Date]:[Date]],$B105,TableTime[[Activity]:[Activity]],P$1)=0,"",SUMIFS(TableTime[[Duration]:[Duration]],TableTime[[Date]:[Date]],$B105,TableTime[[Activity]:[Activity]],P$1))</f>
        <v/>
      </c>
      <c r="Q105" s="4" t="str">
        <f>IF(SUMIFS(TableTime[[Duration]:[Duration]],TableTime[[Date]:[Date]],$B105,TableTime[[Activity]:[Activity]],Q$1)=0,"",SUMIFS(TableTime[[Duration]:[Duration]],TableTime[[Date]:[Date]],$B105,TableTime[[Activity]:[Activity]],Q$1))</f>
        <v/>
      </c>
      <c r="R105" s="4" t="str">
        <f>IF(SUMIFS(TableTime[[Duration]:[Duration]],TableTime[[Date]:[Date]],$B105,TableTime[[Activity]:[Activity]],R$1)=0,"",SUMIFS(TableTime[[Duration]:[Duration]],TableTime[[Date]:[Date]],$B105,TableTime[[Activity]:[Activity]],R$1))</f>
        <v/>
      </c>
      <c r="S105" s="130" t="str">
        <f>IF(SUMIFS(TableTime[[Duration]:[Duration]],TableTime[[Date]:[Date]],$B105,TableTime[[Activity]:[Activity]],S$1)=0,"",SUMIFS(TableTime[[Duration]:[Duration]],TableTime[[Date]:[Date]],$B105,TableTime[[Activity]:[Activity]],S$1))</f>
        <v/>
      </c>
      <c r="T105" s="4" t="str">
        <f>IF(SUMIFS(TableTime[[Duration]:[Duration]],TableTime[[Date]:[Date]],$B105,TableTime[[Activity]:[Activity]],T$1)=0,"",SUMIFS(TableTime[[Duration]:[Duration]],TableTime[[Date]:[Date]],$B105,TableTime[[Activity]:[Activity]],T$1))</f>
        <v/>
      </c>
      <c r="U105" s="39" t="str">
        <f>IF(SUMIFS(TableTime[[Duration]:[Duration]],TableTime[[Date]:[Date]],$B105,TableTime[[Activity]:[Activity]],U$1)=0,"",SUMIFS(TableTime[[Duration]:[Duration]],TableTime[[Date]:[Date]],$B105,TableTime[[Activity]:[Activity]],U$1))</f>
        <v/>
      </c>
    </row>
    <row r="106" spans="1:21" x14ac:dyDescent="0.35">
      <c r="A106" s="59" t="str">
        <f t="shared" si="6"/>
        <v>Sat</v>
      </c>
      <c r="B106" s="91">
        <f t="shared" si="8"/>
        <v>45031</v>
      </c>
      <c r="C106" s="60">
        <f t="shared" si="9"/>
        <v>4</v>
      </c>
      <c r="D106" s="61">
        <f t="shared" si="7"/>
        <v>15</v>
      </c>
      <c r="E106" s="103"/>
      <c r="F106" s="60" t="str">
        <f>IFERROR(IF(OR(WEEKDAY(B106,2)=6,WEEKDAY(B106,2)=7),'Month summary'!$D$11,IF(E106="",'Month summary'!$C$11,E106)),"")</f>
        <v>WE</v>
      </c>
      <c r="G106" s="62">
        <f>IF(B106&lt;Time!$B$2,"",IF(F106='Month summary'!$C$11,'Month summary'!$F$2/24,IF(F106="H/2",'Month summary'!$F$2/24/2,0)))</f>
        <v>0</v>
      </c>
      <c r="H106" s="62">
        <f t="shared" si="10"/>
        <v>0</v>
      </c>
      <c r="I106" s="62" t="str">
        <f t="shared" si="11"/>
        <v/>
      </c>
      <c r="J106" s="108"/>
      <c r="K106" s="63" t="str">
        <f>IFERROR(INDEX(TableTime[Time],MATCH(B106,TableTime[Date],0)),"")</f>
        <v/>
      </c>
      <c r="L106" s="62" t="str">
        <f>IF(SUMIFS(TableTime[Duration],TableTime[Date],B106,TableTime[Activity],Projects!$C$9)+SUMIFS(TableTime[Duration],TableTime[Date],B106,TableTime[Activity],Projects!$C$10)+SUMIFS(TableTime[Duration],TableTime[Date],B106,TableTime[Activity],Projects!$C$11)=0,"",SUMIFS(TableTime[Duration],TableTime[Date],B106,TableTime[Activity],Projects!$C$9)+SUMIFS(TableTime[Duration],TableTime[Date],B106,TableTime[Activity],Projects!$C$10)+SUMIFS(TableTime[Duration],TableTime[Date],B106,TableTime[Activity],Projects!$C$11))</f>
        <v/>
      </c>
      <c r="M106" s="62" t="str" cm="1">
        <f t="array" ref="M106">IFERROR(LOOKUP(2,1/(TableTime[Date]=B106),TableTime[Time]),"")</f>
        <v/>
      </c>
      <c r="N106" s="63" t="str">
        <f>IF(SUMIFS(TableTime[[Duration]:[Duration]],TableTime[[Date]:[Date]],$B106,TableTime[[Activity]:[Activity]],N$1)=0,"",SUMIFS(TableTime[[Duration]:[Duration]],TableTime[[Date]:[Date]],$B106,TableTime[[Activity]:[Activity]],N$1))</f>
        <v/>
      </c>
      <c r="O106" s="62" t="str">
        <f>IF(SUMIFS(TableTime[[Duration]:[Duration]],TableTime[[Date]:[Date]],$B106,TableTime[[Activity]:[Activity]],O$1)=0,"",SUMIFS(TableTime[[Duration]:[Duration]],TableTime[[Date]:[Date]],$B106,TableTime[[Activity]:[Activity]],O$1))</f>
        <v/>
      </c>
      <c r="P106" s="62" t="str">
        <f>IF(SUMIFS(TableTime[[Duration]:[Duration]],TableTime[[Date]:[Date]],$B106,TableTime[[Activity]:[Activity]],P$1)=0,"",SUMIFS(TableTime[[Duration]:[Duration]],TableTime[[Date]:[Date]],$B106,TableTime[[Activity]:[Activity]],P$1))</f>
        <v/>
      </c>
      <c r="Q106" s="62" t="str">
        <f>IF(SUMIFS(TableTime[[Duration]:[Duration]],TableTime[[Date]:[Date]],$B106,TableTime[[Activity]:[Activity]],Q$1)=0,"",SUMIFS(TableTime[[Duration]:[Duration]],TableTime[[Date]:[Date]],$B106,TableTime[[Activity]:[Activity]],Q$1))</f>
        <v/>
      </c>
      <c r="R106" s="62" t="str">
        <f>IF(SUMIFS(TableTime[[Duration]:[Duration]],TableTime[[Date]:[Date]],$B106,TableTime[[Activity]:[Activity]],R$1)=0,"",SUMIFS(TableTime[[Duration]:[Duration]],TableTime[[Date]:[Date]],$B106,TableTime[[Activity]:[Activity]],R$1))</f>
        <v/>
      </c>
      <c r="S106" s="131" t="str">
        <f>IF(SUMIFS(TableTime[[Duration]:[Duration]],TableTime[[Date]:[Date]],$B106,TableTime[[Activity]:[Activity]],S$1)=0,"",SUMIFS(TableTime[[Duration]:[Duration]],TableTime[[Date]:[Date]],$B106,TableTime[[Activity]:[Activity]],S$1))</f>
        <v/>
      </c>
      <c r="T106" s="62" t="str">
        <f>IF(SUMIFS(TableTime[[Duration]:[Duration]],TableTime[[Date]:[Date]],$B106,TableTime[[Activity]:[Activity]],T$1)=0,"",SUMIFS(TableTime[[Duration]:[Duration]],TableTime[[Date]:[Date]],$B106,TableTime[[Activity]:[Activity]],T$1))</f>
        <v/>
      </c>
      <c r="U106" s="64" t="str">
        <f>IF(SUMIFS(TableTime[[Duration]:[Duration]],TableTime[[Date]:[Date]],$B106,TableTime[[Activity]:[Activity]],U$1)=0,"",SUMIFS(TableTime[[Duration]:[Duration]],TableTime[[Date]:[Date]],$B106,TableTime[[Activity]:[Activity]],U$1))</f>
        <v/>
      </c>
    </row>
    <row r="107" spans="1:21" x14ac:dyDescent="0.35">
      <c r="A107" s="35" t="str">
        <f t="shared" si="6"/>
        <v>Sun</v>
      </c>
      <c r="B107" s="5">
        <f t="shared" si="8"/>
        <v>45032</v>
      </c>
      <c r="C107" s="1">
        <f t="shared" si="9"/>
        <v>4</v>
      </c>
      <c r="D107" s="2">
        <f t="shared" si="7"/>
        <v>15</v>
      </c>
      <c r="E107" s="102"/>
      <c r="F107" s="1" t="str">
        <f>IFERROR(IF(OR(WEEKDAY(B107,2)=6,WEEKDAY(B107,2)=7),'Month summary'!$D$11,IF(E107="",'Month summary'!$C$11,E107)),"")</f>
        <v>WE</v>
      </c>
      <c r="G107" s="4">
        <f>IF(B107&lt;Time!$B$2,"",IF(F107='Month summary'!$C$11,'Month summary'!$F$2/24,IF(F107="H/2",'Month summary'!$F$2/24/2,0)))</f>
        <v>0</v>
      </c>
      <c r="H107" s="4">
        <f t="shared" si="10"/>
        <v>0</v>
      </c>
      <c r="I107" s="4" t="str">
        <f t="shared" si="11"/>
        <v/>
      </c>
      <c r="J107" s="107"/>
      <c r="K107" s="38" t="str">
        <f>IFERROR(INDEX(TableTime[Time],MATCH(B107,TableTime[Date],0)),"")</f>
        <v/>
      </c>
      <c r="L107" s="4" t="str">
        <f>IF(SUMIFS(TableTime[Duration],TableTime[Date],B107,TableTime[Activity],Projects!$C$9)+SUMIFS(TableTime[Duration],TableTime[Date],B107,TableTime[Activity],Projects!$C$10)+SUMIFS(TableTime[Duration],TableTime[Date],B107,TableTime[Activity],Projects!$C$11)=0,"",SUMIFS(TableTime[Duration],TableTime[Date],B107,TableTime[Activity],Projects!$C$9)+SUMIFS(TableTime[Duration],TableTime[Date],B107,TableTime[Activity],Projects!$C$10)+SUMIFS(TableTime[Duration],TableTime[Date],B107,TableTime[Activity],Projects!$C$11))</f>
        <v/>
      </c>
      <c r="M107" s="4" t="str" cm="1">
        <f t="array" ref="M107">IFERROR(LOOKUP(2,1/(TableTime[Date]=B107),TableTime[Time]),"")</f>
        <v/>
      </c>
      <c r="N107" s="38" t="str">
        <f>IF(SUMIFS(TableTime[[Duration]:[Duration]],TableTime[[Date]:[Date]],$B107,TableTime[[Activity]:[Activity]],N$1)=0,"",SUMIFS(TableTime[[Duration]:[Duration]],TableTime[[Date]:[Date]],$B107,TableTime[[Activity]:[Activity]],N$1))</f>
        <v/>
      </c>
      <c r="O107" s="4" t="str">
        <f>IF(SUMIFS(TableTime[[Duration]:[Duration]],TableTime[[Date]:[Date]],$B107,TableTime[[Activity]:[Activity]],O$1)=0,"",SUMIFS(TableTime[[Duration]:[Duration]],TableTime[[Date]:[Date]],$B107,TableTime[[Activity]:[Activity]],O$1))</f>
        <v/>
      </c>
      <c r="P107" s="4" t="str">
        <f>IF(SUMIFS(TableTime[[Duration]:[Duration]],TableTime[[Date]:[Date]],$B107,TableTime[[Activity]:[Activity]],P$1)=0,"",SUMIFS(TableTime[[Duration]:[Duration]],TableTime[[Date]:[Date]],$B107,TableTime[[Activity]:[Activity]],P$1))</f>
        <v/>
      </c>
      <c r="Q107" s="4" t="str">
        <f>IF(SUMIFS(TableTime[[Duration]:[Duration]],TableTime[[Date]:[Date]],$B107,TableTime[[Activity]:[Activity]],Q$1)=0,"",SUMIFS(TableTime[[Duration]:[Duration]],TableTime[[Date]:[Date]],$B107,TableTime[[Activity]:[Activity]],Q$1))</f>
        <v/>
      </c>
      <c r="R107" s="4" t="str">
        <f>IF(SUMIFS(TableTime[[Duration]:[Duration]],TableTime[[Date]:[Date]],$B107,TableTime[[Activity]:[Activity]],R$1)=0,"",SUMIFS(TableTime[[Duration]:[Duration]],TableTime[[Date]:[Date]],$B107,TableTime[[Activity]:[Activity]],R$1))</f>
        <v/>
      </c>
      <c r="S107" s="130" t="str">
        <f>IF(SUMIFS(TableTime[[Duration]:[Duration]],TableTime[[Date]:[Date]],$B107,TableTime[[Activity]:[Activity]],S$1)=0,"",SUMIFS(TableTime[[Duration]:[Duration]],TableTime[[Date]:[Date]],$B107,TableTime[[Activity]:[Activity]],S$1))</f>
        <v/>
      </c>
      <c r="T107" s="4" t="str">
        <f>IF(SUMIFS(TableTime[[Duration]:[Duration]],TableTime[[Date]:[Date]],$B107,TableTime[[Activity]:[Activity]],T$1)=0,"",SUMIFS(TableTime[[Duration]:[Duration]],TableTime[[Date]:[Date]],$B107,TableTime[[Activity]:[Activity]],T$1))</f>
        <v/>
      </c>
      <c r="U107" s="39" t="str">
        <f>IF(SUMIFS(TableTime[[Duration]:[Duration]],TableTime[[Date]:[Date]],$B107,TableTime[[Activity]:[Activity]],U$1)=0,"",SUMIFS(TableTime[[Duration]:[Duration]],TableTime[[Date]:[Date]],$B107,TableTime[[Activity]:[Activity]],U$1))</f>
        <v/>
      </c>
    </row>
    <row r="108" spans="1:21" x14ac:dyDescent="0.35">
      <c r="A108" s="59" t="str">
        <f t="shared" si="6"/>
        <v>Mon</v>
      </c>
      <c r="B108" s="91">
        <f t="shared" si="8"/>
        <v>45033</v>
      </c>
      <c r="C108" s="60">
        <f t="shared" si="9"/>
        <v>4</v>
      </c>
      <c r="D108" s="61">
        <f t="shared" si="7"/>
        <v>16</v>
      </c>
      <c r="E108" s="103"/>
      <c r="F108" s="60" t="str">
        <f>IFERROR(IF(OR(WEEKDAY(B108,2)=6,WEEKDAY(B108,2)=7),'Month summary'!$D$11,IF(E108="",'Month summary'!$C$11,E108)),"")</f>
        <v>W</v>
      </c>
      <c r="G108" s="62">
        <f>IF(B108&lt;Time!$B$2,"",IF(F108='Month summary'!$C$11,'Month summary'!$F$2/24,IF(F108="H/2",'Month summary'!$F$2/24/2,0)))</f>
        <v>0.33333333333333331</v>
      </c>
      <c r="H108" s="62">
        <f t="shared" si="10"/>
        <v>0</v>
      </c>
      <c r="I108" s="62" t="str">
        <f t="shared" si="11"/>
        <v/>
      </c>
      <c r="J108" s="108"/>
      <c r="K108" s="63" t="str">
        <f>IFERROR(INDEX(TableTime[Time],MATCH(B108,TableTime[Date],0)),"")</f>
        <v/>
      </c>
      <c r="L108" s="62" t="str">
        <f>IF(SUMIFS(TableTime[Duration],TableTime[Date],B108,TableTime[Activity],Projects!$C$9)+SUMIFS(TableTime[Duration],TableTime[Date],B108,TableTime[Activity],Projects!$C$10)+SUMIFS(TableTime[Duration],TableTime[Date],B108,TableTime[Activity],Projects!$C$11)=0,"",SUMIFS(TableTime[Duration],TableTime[Date],B108,TableTime[Activity],Projects!$C$9)+SUMIFS(TableTime[Duration],TableTime[Date],B108,TableTime[Activity],Projects!$C$10)+SUMIFS(TableTime[Duration],TableTime[Date],B108,TableTime[Activity],Projects!$C$11))</f>
        <v/>
      </c>
      <c r="M108" s="62" t="str" cm="1">
        <f t="array" ref="M108">IFERROR(LOOKUP(2,1/(TableTime[Date]=B108),TableTime[Time]),"")</f>
        <v/>
      </c>
      <c r="N108" s="63" t="str">
        <f>IF(SUMIFS(TableTime[[Duration]:[Duration]],TableTime[[Date]:[Date]],$B108,TableTime[[Activity]:[Activity]],N$1)=0,"",SUMIFS(TableTime[[Duration]:[Duration]],TableTime[[Date]:[Date]],$B108,TableTime[[Activity]:[Activity]],N$1))</f>
        <v/>
      </c>
      <c r="O108" s="62" t="str">
        <f>IF(SUMIFS(TableTime[[Duration]:[Duration]],TableTime[[Date]:[Date]],$B108,TableTime[[Activity]:[Activity]],O$1)=0,"",SUMIFS(TableTime[[Duration]:[Duration]],TableTime[[Date]:[Date]],$B108,TableTime[[Activity]:[Activity]],O$1))</f>
        <v/>
      </c>
      <c r="P108" s="62" t="str">
        <f>IF(SUMIFS(TableTime[[Duration]:[Duration]],TableTime[[Date]:[Date]],$B108,TableTime[[Activity]:[Activity]],P$1)=0,"",SUMIFS(TableTime[[Duration]:[Duration]],TableTime[[Date]:[Date]],$B108,TableTime[[Activity]:[Activity]],P$1))</f>
        <v/>
      </c>
      <c r="Q108" s="62" t="str">
        <f>IF(SUMIFS(TableTime[[Duration]:[Duration]],TableTime[[Date]:[Date]],$B108,TableTime[[Activity]:[Activity]],Q$1)=0,"",SUMIFS(TableTime[[Duration]:[Duration]],TableTime[[Date]:[Date]],$B108,TableTime[[Activity]:[Activity]],Q$1))</f>
        <v/>
      </c>
      <c r="R108" s="62" t="str">
        <f>IF(SUMIFS(TableTime[[Duration]:[Duration]],TableTime[[Date]:[Date]],$B108,TableTime[[Activity]:[Activity]],R$1)=0,"",SUMIFS(TableTime[[Duration]:[Duration]],TableTime[[Date]:[Date]],$B108,TableTime[[Activity]:[Activity]],R$1))</f>
        <v/>
      </c>
      <c r="S108" s="131" t="str">
        <f>IF(SUMIFS(TableTime[[Duration]:[Duration]],TableTime[[Date]:[Date]],$B108,TableTime[[Activity]:[Activity]],S$1)=0,"",SUMIFS(TableTime[[Duration]:[Duration]],TableTime[[Date]:[Date]],$B108,TableTime[[Activity]:[Activity]],S$1))</f>
        <v/>
      </c>
      <c r="T108" s="62" t="str">
        <f>IF(SUMIFS(TableTime[[Duration]:[Duration]],TableTime[[Date]:[Date]],$B108,TableTime[[Activity]:[Activity]],T$1)=0,"",SUMIFS(TableTime[[Duration]:[Duration]],TableTime[[Date]:[Date]],$B108,TableTime[[Activity]:[Activity]],T$1))</f>
        <v/>
      </c>
      <c r="U108" s="64" t="str">
        <f>IF(SUMIFS(TableTime[[Duration]:[Duration]],TableTime[[Date]:[Date]],$B108,TableTime[[Activity]:[Activity]],U$1)=0,"",SUMIFS(TableTime[[Duration]:[Duration]],TableTime[[Date]:[Date]],$B108,TableTime[[Activity]:[Activity]],U$1))</f>
        <v/>
      </c>
    </row>
    <row r="109" spans="1:21" x14ac:dyDescent="0.35">
      <c r="A109" s="35" t="str">
        <f t="shared" si="6"/>
        <v>Tue</v>
      </c>
      <c r="B109" s="5">
        <f t="shared" si="8"/>
        <v>45034</v>
      </c>
      <c r="C109" s="1">
        <f t="shared" si="9"/>
        <v>4</v>
      </c>
      <c r="D109" s="2">
        <f t="shared" si="7"/>
        <v>16</v>
      </c>
      <c r="E109" s="102"/>
      <c r="F109" s="1" t="str">
        <f>IFERROR(IF(OR(WEEKDAY(B109,2)=6,WEEKDAY(B109,2)=7),'Month summary'!$D$11,IF(E109="",'Month summary'!$C$11,E109)),"")</f>
        <v>W</v>
      </c>
      <c r="G109" s="4">
        <f>IF(B109&lt;Time!$B$2,"",IF(F109='Month summary'!$C$11,'Month summary'!$F$2/24,IF(F109="H/2",'Month summary'!$F$2/24/2,0)))</f>
        <v>0.33333333333333331</v>
      </c>
      <c r="H109" s="4">
        <f t="shared" si="10"/>
        <v>0</v>
      </c>
      <c r="I109" s="4" t="str">
        <f t="shared" si="11"/>
        <v/>
      </c>
      <c r="J109" s="107"/>
      <c r="K109" s="38" t="str">
        <f>IFERROR(INDEX(TableTime[Time],MATCH(B109,TableTime[Date],0)),"")</f>
        <v/>
      </c>
      <c r="L109" s="4" t="str">
        <f>IF(SUMIFS(TableTime[Duration],TableTime[Date],B109,TableTime[Activity],Projects!$C$9)+SUMIFS(TableTime[Duration],TableTime[Date],B109,TableTime[Activity],Projects!$C$10)+SUMIFS(TableTime[Duration],TableTime[Date],B109,TableTime[Activity],Projects!$C$11)=0,"",SUMIFS(TableTime[Duration],TableTime[Date],B109,TableTime[Activity],Projects!$C$9)+SUMIFS(TableTime[Duration],TableTime[Date],B109,TableTime[Activity],Projects!$C$10)+SUMIFS(TableTime[Duration],TableTime[Date],B109,TableTime[Activity],Projects!$C$11))</f>
        <v/>
      </c>
      <c r="M109" s="4" t="str" cm="1">
        <f t="array" ref="M109">IFERROR(LOOKUP(2,1/(TableTime[Date]=B109),TableTime[Time]),"")</f>
        <v/>
      </c>
      <c r="N109" s="38" t="str">
        <f>IF(SUMIFS(TableTime[[Duration]:[Duration]],TableTime[[Date]:[Date]],$B109,TableTime[[Activity]:[Activity]],N$1)=0,"",SUMIFS(TableTime[[Duration]:[Duration]],TableTime[[Date]:[Date]],$B109,TableTime[[Activity]:[Activity]],N$1))</f>
        <v/>
      </c>
      <c r="O109" s="4" t="str">
        <f>IF(SUMIFS(TableTime[[Duration]:[Duration]],TableTime[[Date]:[Date]],$B109,TableTime[[Activity]:[Activity]],O$1)=0,"",SUMIFS(TableTime[[Duration]:[Duration]],TableTime[[Date]:[Date]],$B109,TableTime[[Activity]:[Activity]],O$1))</f>
        <v/>
      </c>
      <c r="P109" s="4" t="str">
        <f>IF(SUMIFS(TableTime[[Duration]:[Duration]],TableTime[[Date]:[Date]],$B109,TableTime[[Activity]:[Activity]],P$1)=0,"",SUMIFS(TableTime[[Duration]:[Duration]],TableTime[[Date]:[Date]],$B109,TableTime[[Activity]:[Activity]],P$1))</f>
        <v/>
      </c>
      <c r="Q109" s="4" t="str">
        <f>IF(SUMIFS(TableTime[[Duration]:[Duration]],TableTime[[Date]:[Date]],$B109,TableTime[[Activity]:[Activity]],Q$1)=0,"",SUMIFS(TableTime[[Duration]:[Duration]],TableTime[[Date]:[Date]],$B109,TableTime[[Activity]:[Activity]],Q$1))</f>
        <v/>
      </c>
      <c r="R109" s="4" t="str">
        <f>IF(SUMIFS(TableTime[[Duration]:[Duration]],TableTime[[Date]:[Date]],$B109,TableTime[[Activity]:[Activity]],R$1)=0,"",SUMIFS(TableTime[[Duration]:[Duration]],TableTime[[Date]:[Date]],$B109,TableTime[[Activity]:[Activity]],R$1))</f>
        <v/>
      </c>
      <c r="S109" s="130" t="str">
        <f>IF(SUMIFS(TableTime[[Duration]:[Duration]],TableTime[[Date]:[Date]],$B109,TableTime[[Activity]:[Activity]],S$1)=0,"",SUMIFS(TableTime[[Duration]:[Duration]],TableTime[[Date]:[Date]],$B109,TableTime[[Activity]:[Activity]],S$1))</f>
        <v/>
      </c>
      <c r="T109" s="4" t="str">
        <f>IF(SUMIFS(TableTime[[Duration]:[Duration]],TableTime[[Date]:[Date]],$B109,TableTime[[Activity]:[Activity]],T$1)=0,"",SUMIFS(TableTime[[Duration]:[Duration]],TableTime[[Date]:[Date]],$B109,TableTime[[Activity]:[Activity]],T$1))</f>
        <v/>
      </c>
      <c r="U109" s="39" t="str">
        <f>IF(SUMIFS(TableTime[[Duration]:[Duration]],TableTime[[Date]:[Date]],$B109,TableTime[[Activity]:[Activity]],U$1)=0,"",SUMIFS(TableTime[[Duration]:[Duration]],TableTime[[Date]:[Date]],$B109,TableTime[[Activity]:[Activity]],U$1))</f>
        <v/>
      </c>
    </row>
    <row r="110" spans="1:21" x14ac:dyDescent="0.35">
      <c r="A110" s="59" t="str">
        <f t="shared" si="6"/>
        <v>Wed</v>
      </c>
      <c r="B110" s="91">
        <f t="shared" si="8"/>
        <v>45035</v>
      </c>
      <c r="C110" s="60">
        <f t="shared" si="9"/>
        <v>4</v>
      </c>
      <c r="D110" s="61">
        <f t="shared" si="7"/>
        <v>16</v>
      </c>
      <c r="E110" s="103"/>
      <c r="F110" s="60" t="str">
        <f>IFERROR(IF(OR(WEEKDAY(B110,2)=6,WEEKDAY(B110,2)=7),'Month summary'!$D$11,IF(E110="",'Month summary'!$C$11,E110)),"")</f>
        <v>W</v>
      </c>
      <c r="G110" s="62">
        <f>IF(B110&lt;Time!$B$2,"",IF(F110='Month summary'!$C$11,'Month summary'!$F$2/24,IF(F110="H/2",'Month summary'!$F$2/24/2,0)))</f>
        <v>0.33333333333333331</v>
      </c>
      <c r="H110" s="62">
        <f t="shared" si="10"/>
        <v>0</v>
      </c>
      <c r="I110" s="62" t="str">
        <f t="shared" si="11"/>
        <v/>
      </c>
      <c r="J110" s="108"/>
      <c r="K110" s="63" t="str">
        <f>IFERROR(INDEX(TableTime[Time],MATCH(B110,TableTime[Date],0)),"")</f>
        <v/>
      </c>
      <c r="L110" s="62" t="str">
        <f>IF(SUMIFS(TableTime[Duration],TableTime[Date],B110,TableTime[Activity],Projects!$C$9)+SUMIFS(TableTime[Duration],TableTime[Date],B110,TableTime[Activity],Projects!$C$10)+SUMIFS(TableTime[Duration],TableTime[Date],B110,TableTime[Activity],Projects!$C$11)=0,"",SUMIFS(TableTime[Duration],TableTime[Date],B110,TableTime[Activity],Projects!$C$9)+SUMIFS(TableTime[Duration],TableTime[Date],B110,TableTime[Activity],Projects!$C$10)+SUMIFS(TableTime[Duration],TableTime[Date],B110,TableTime[Activity],Projects!$C$11))</f>
        <v/>
      </c>
      <c r="M110" s="62" t="str" cm="1">
        <f t="array" ref="M110">IFERROR(LOOKUP(2,1/(TableTime[Date]=B110),TableTime[Time]),"")</f>
        <v/>
      </c>
      <c r="N110" s="63" t="str">
        <f>IF(SUMIFS(TableTime[[Duration]:[Duration]],TableTime[[Date]:[Date]],$B110,TableTime[[Activity]:[Activity]],N$1)=0,"",SUMIFS(TableTime[[Duration]:[Duration]],TableTime[[Date]:[Date]],$B110,TableTime[[Activity]:[Activity]],N$1))</f>
        <v/>
      </c>
      <c r="O110" s="62" t="str">
        <f>IF(SUMIFS(TableTime[[Duration]:[Duration]],TableTime[[Date]:[Date]],$B110,TableTime[[Activity]:[Activity]],O$1)=0,"",SUMIFS(TableTime[[Duration]:[Duration]],TableTime[[Date]:[Date]],$B110,TableTime[[Activity]:[Activity]],O$1))</f>
        <v/>
      </c>
      <c r="P110" s="62" t="str">
        <f>IF(SUMIFS(TableTime[[Duration]:[Duration]],TableTime[[Date]:[Date]],$B110,TableTime[[Activity]:[Activity]],P$1)=0,"",SUMIFS(TableTime[[Duration]:[Duration]],TableTime[[Date]:[Date]],$B110,TableTime[[Activity]:[Activity]],P$1))</f>
        <v/>
      </c>
      <c r="Q110" s="62" t="str">
        <f>IF(SUMIFS(TableTime[[Duration]:[Duration]],TableTime[[Date]:[Date]],$B110,TableTime[[Activity]:[Activity]],Q$1)=0,"",SUMIFS(TableTime[[Duration]:[Duration]],TableTime[[Date]:[Date]],$B110,TableTime[[Activity]:[Activity]],Q$1))</f>
        <v/>
      </c>
      <c r="R110" s="62" t="str">
        <f>IF(SUMIFS(TableTime[[Duration]:[Duration]],TableTime[[Date]:[Date]],$B110,TableTime[[Activity]:[Activity]],R$1)=0,"",SUMIFS(TableTime[[Duration]:[Duration]],TableTime[[Date]:[Date]],$B110,TableTime[[Activity]:[Activity]],R$1))</f>
        <v/>
      </c>
      <c r="S110" s="131" t="str">
        <f>IF(SUMIFS(TableTime[[Duration]:[Duration]],TableTime[[Date]:[Date]],$B110,TableTime[[Activity]:[Activity]],S$1)=0,"",SUMIFS(TableTime[[Duration]:[Duration]],TableTime[[Date]:[Date]],$B110,TableTime[[Activity]:[Activity]],S$1))</f>
        <v/>
      </c>
      <c r="T110" s="62" t="str">
        <f>IF(SUMIFS(TableTime[[Duration]:[Duration]],TableTime[[Date]:[Date]],$B110,TableTime[[Activity]:[Activity]],T$1)=0,"",SUMIFS(TableTime[[Duration]:[Duration]],TableTime[[Date]:[Date]],$B110,TableTime[[Activity]:[Activity]],T$1))</f>
        <v/>
      </c>
      <c r="U110" s="64" t="str">
        <f>IF(SUMIFS(TableTime[[Duration]:[Duration]],TableTime[[Date]:[Date]],$B110,TableTime[[Activity]:[Activity]],U$1)=0,"",SUMIFS(TableTime[[Duration]:[Duration]],TableTime[[Date]:[Date]],$B110,TableTime[[Activity]:[Activity]],U$1))</f>
        <v/>
      </c>
    </row>
    <row r="111" spans="1:21" x14ac:dyDescent="0.35">
      <c r="A111" s="35" t="str">
        <f t="shared" si="6"/>
        <v>Thr</v>
      </c>
      <c r="B111" s="5">
        <f t="shared" si="8"/>
        <v>45036</v>
      </c>
      <c r="C111" s="1">
        <f t="shared" si="9"/>
        <v>4</v>
      </c>
      <c r="D111" s="2">
        <f t="shared" si="7"/>
        <v>16</v>
      </c>
      <c r="E111" s="102"/>
      <c r="F111" s="1" t="str">
        <f>IFERROR(IF(OR(WEEKDAY(B111,2)=6,WEEKDAY(B111,2)=7),'Month summary'!$D$11,IF(E111="",'Month summary'!$C$11,E111)),"")</f>
        <v>W</v>
      </c>
      <c r="G111" s="4">
        <f>IF(B111&lt;Time!$B$2,"",IF(F111='Month summary'!$C$11,'Month summary'!$F$2/24,IF(F111="H/2",'Month summary'!$F$2/24/2,0)))</f>
        <v>0.33333333333333331</v>
      </c>
      <c r="H111" s="4">
        <f t="shared" si="10"/>
        <v>0</v>
      </c>
      <c r="I111" s="4" t="str">
        <f t="shared" si="11"/>
        <v/>
      </c>
      <c r="J111" s="107"/>
      <c r="K111" s="38" t="str">
        <f>IFERROR(INDEX(TableTime[Time],MATCH(B111,TableTime[Date],0)),"")</f>
        <v/>
      </c>
      <c r="L111" s="4" t="str">
        <f>IF(SUMIFS(TableTime[Duration],TableTime[Date],B111,TableTime[Activity],Projects!$C$9)+SUMIFS(TableTime[Duration],TableTime[Date],B111,TableTime[Activity],Projects!$C$10)+SUMIFS(TableTime[Duration],TableTime[Date],B111,TableTime[Activity],Projects!$C$11)=0,"",SUMIFS(TableTime[Duration],TableTime[Date],B111,TableTime[Activity],Projects!$C$9)+SUMIFS(TableTime[Duration],TableTime[Date],B111,TableTime[Activity],Projects!$C$10)+SUMIFS(TableTime[Duration],TableTime[Date],B111,TableTime[Activity],Projects!$C$11))</f>
        <v/>
      </c>
      <c r="M111" s="4" t="str" cm="1">
        <f t="array" ref="M111">IFERROR(LOOKUP(2,1/(TableTime[Date]=B111),TableTime[Time]),"")</f>
        <v/>
      </c>
      <c r="N111" s="38" t="str">
        <f>IF(SUMIFS(TableTime[[Duration]:[Duration]],TableTime[[Date]:[Date]],$B111,TableTime[[Activity]:[Activity]],N$1)=0,"",SUMIFS(TableTime[[Duration]:[Duration]],TableTime[[Date]:[Date]],$B111,TableTime[[Activity]:[Activity]],N$1))</f>
        <v/>
      </c>
      <c r="O111" s="4" t="str">
        <f>IF(SUMIFS(TableTime[[Duration]:[Duration]],TableTime[[Date]:[Date]],$B111,TableTime[[Activity]:[Activity]],O$1)=0,"",SUMIFS(TableTime[[Duration]:[Duration]],TableTime[[Date]:[Date]],$B111,TableTime[[Activity]:[Activity]],O$1))</f>
        <v/>
      </c>
      <c r="P111" s="4" t="str">
        <f>IF(SUMIFS(TableTime[[Duration]:[Duration]],TableTime[[Date]:[Date]],$B111,TableTime[[Activity]:[Activity]],P$1)=0,"",SUMIFS(TableTime[[Duration]:[Duration]],TableTime[[Date]:[Date]],$B111,TableTime[[Activity]:[Activity]],P$1))</f>
        <v/>
      </c>
      <c r="Q111" s="4" t="str">
        <f>IF(SUMIFS(TableTime[[Duration]:[Duration]],TableTime[[Date]:[Date]],$B111,TableTime[[Activity]:[Activity]],Q$1)=0,"",SUMIFS(TableTime[[Duration]:[Duration]],TableTime[[Date]:[Date]],$B111,TableTime[[Activity]:[Activity]],Q$1))</f>
        <v/>
      </c>
      <c r="R111" s="4" t="str">
        <f>IF(SUMIFS(TableTime[[Duration]:[Duration]],TableTime[[Date]:[Date]],$B111,TableTime[[Activity]:[Activity]],R$1)=0,"",SUMIFS(TableTime[[Duration]:[Duration]],TableTime[[Date]:[Date]],$B111,TableTime[[Activity]:[Activity]],R$1))</f>
        <v/>
      </c>
      <c r="S111" s="130" t="str">
        <f>IF(SUMIFS(TableTime[[Duration]:[Duration]],TableTime[[Date]:[Date]],$B111,TableTime[[Activity]:[Activity]],S$1)=0,"",SUMIFS(TableTime[[Duration]:[Duration]],TableTime[[Date]:[Date]],$B111,TableTime[[Activity]:[Activity]],S$1))</f>
        <v/>
      </c>
      <c r="T111" s="4" t="str">
        <f>IF(SUMIFS(TableTime[[Duration]:[Duration]],TableTime[[Date]:[Date]],$B111,TableTime[[Activity]:[Activity]],T$1)=0,"",SUMIFS(TableTime[[Duration]:[Duration]],TableTime[[Date]:[Date]],$B111,TableTime[[Activity]:[Activity]],T$1))</f>
        <v/>
      </c>
      <c r="U111" s="39" t="str">
        <f>IF(SUMIFS(TableTime[[Duration]:[Duration]],TableTime[[Date]:[Date]],$B111,TableTime[[Activity]:[Activity]],U$1)=0,"",SUMIFS(TableTime[[Duration]:[Duration]],TableTime[[Date]:[Date]],$B111,TableTime[[Activity]:[Activity]],U$1))</f>
        <v/>
      </c>
    </row>
    <row r="112" spans="1:21" x14ac:dyDescent="0.35">
      <c r="A112" s="59" t="str">
        <f t="shared" si="6"/>
        <v>Fri</v>
      </c>
      <c r="B112" s="91">
        <f t="shared" si="8"/>
        <v>45037</v>
      </c>
      <c r="C112" s="60">
        <f t="shared" si="9"/>
        <v>4</v>
      </c>
      <c r="D112" s="61">
        <f t="shared" si="7"/>
        <v>16</v>
      </c>
      <c r="E112" s="103"/>
      <c r="F112" s="60" t="str">
        <f>IFERROR(IF(OR(WEEKDAY(B112,2)=6,WEEKDAY(B112,2)=7),'Month summary'!$D$11,IF(E112="",'Month summary'!$C$11,E112)),"")</f>
        <v>W</v>
      </c>
      <c r="G112" s="62">
        <f>IF(B112&lt;Time!$B$2,"",IF(F112='Month summary'!$C$11,'Month summary'!$F$2/24,IF(F112="H/2",'Month summary'!$F$2/24/2,0)))</f>
        <v>0.33333333333333331</v>
      </c>
      <c r="H112" s="62">
        <f t="shared" si="10"/>
        <v>0</v>
      </c>
      <c r="I112" s="62" t="str">
        <f t="shared" si="11"/>
        <v/>
      </c>
      <c r="J112" s="108"/>
      <c r="K112" s="63" t="str">
        <f>IFERROR(INDEX(TableTime[Time],MATCH(B112,TableTime[Date],0)),"")</f>
        <v/>
      </c>
      <c r="L112" s="62" t="str">
        <f>IF(SUMIFS(TableTime[Duration],TableTime[Date],B112,TableTime[Activity],Projects!$C$9)+SUMIFS(TableTime[Duration],TableTime[Date],B112,TableTime[Activity],Projects!$C$10)+SUMIFS(TableTime[Duration],TableTime[Date],B112,TableTime[Activity],Projects!$C$11)=0,"",SUMIFS(TableTime[Duration],TableTime[Date],B112,TableTime[Activity],Projects!$C$9)+SUMIFS(TableTime[Duration],TableTime[Date],B112,TableTime[Activity],Projects!$C$10)+SUMIFS(TableTime[Duration],TableTime[Date],B112,TableTime[Activity],Projects!$C$11))</f>
        <v/>
      </c>
      <c r="M112" s="62" t="str" cm="1">
        <f t="array" ref="M112">IFERROR(LOOKUP(2,1/(TableTime[Date]=B112),TableTime[Time]),"")</f>
        <v/>
      </c>
      <c r="N112" s="63" t="str">
        <f>IF(SUMIFS(TableTime[[Duration]:[Duration]],TableTime[[Date]:[Date]],$B112,TableTime[[Activity]:[Activity]],N$1)=0,"",SUMIFS(TableTime[[Duration]:[Duration]],TableTime[[Date]:[Date]],$B112,TableTime[[Activity]:[Activity]],N$1))</f>
        <v/>
      </c>
      <c r="O112" s="62" t="str">
        <f>IF(SUMIFS(TableTime[[Duration]:[Duration]],TableTime[[Date]:[Date]],$B112,TableTime[[Activity]:[Activity]],O$1)=0,"",SUMIFS(TableTime[[Duration]:[Duration]],TableTime[[Date]:[Date]],$B112,TableTime[[Activity]:[Activity]],O$1))</f>
        <v/>
      </c>
      <c r="P112" s="62" t="str">
        <f>IF(SUMIFS(TableTime[[Duration]:[Duration]],TableTime[[Date]:[Date]],$B112,TableTime[[Activity]:[Activity]],P$1)=0,"",SUMIFS(TableTime[[Duration]:[Duration]],TableTime[[Date]:[Date]],$B112,TableTime[[Activity]:[Activity]],P$1))</f>
        <v/>
      </c>
      <c r="Q112" s="62" t="str">
        <f>IF(SUMIFS(TableTime[[Duration]:[Duration]],TableTime[[Date]:[Date]],$B112,TableTime[[Activity]:[Activity]],Q$1)=0,"",SUMIFS(TableTime[[Duration]:[Duration]],TableTime[[Date]:[Date]],$B112,TableTime[[Activity]:[Activity]],Q$1))</f>
        <v/>
      </c>
      <c r="R112" s="62" t="str">
        <f>IF(SUMIFS(TableTime[[Duration]:[Duration]],TableTime[[Date]:[Date]],$B112,TableTime[[Activity]:[Activity]],R$1)=0,"",SUMIFS(TableTime[[Duration]:[Duration]],TableTime[[Date]:[Date]],$B112,TableTime[[Activity]:[Activity]],R$1))</f>
        <v/>
      </c>
      <c r="S112" s="131" t="str">
        <f>IF(SUMIFS(TableTime[[Duration]:[Duration]],TableTime[[Date]:[Date]],$B112,TableTime[[Activity]:[Activity]],S$1)=0,"",SUMIFS(TableTime[[Duration]:[Duration]],TableTime[[Date]:[Date]],$B112,TableTime[[Activity]:[Activity]],S$1))</f>
        <v/>
      </c>
      <c r="T112" s="62" t="str">
        <f>IF(SUMIFS(TableTime[[Duration]:[Duration]],TableTime[[Date]:[Date]],$B112,TableTime[[Activity]:[Activity]],T$1)=0,"",SUMIFS(TableTime[[Duration]:[Duration]],TableTime[[Date]:[Date]],$B112,TableTime[[Activity]:[Activity]],T$1))</f>
        <v/>
      </c>
      <c r="U112" s="64" t="str">
        <f>IF(SUMIFS(TableTime[[Duration]:[Duration]],TableTime[[Date]:[Date]],$B112,TableTime[[Activity]:[Activity]],U$1)=0,"",SUMIFS(TableTime[[Duration]:[Duration]],TableTime[[Date]:[Date]],$B112,TableTime[[Activity]:[Activity]],U$1))</f>
        <v/>
      </c>
    </row>
    <row r="113" spans="1:21" x14ac:dyDescent="0.35">
      <c r="A113" s="35" t="str">
        <f t="shared" si="6"/>
        <v>Sat</v>
      </c>
      <c r="B113" s="5">
        <f t="shared" si="8"/>
        <v>45038</v>
      </c>
      <c r="C113" s="1">
        <f t="shared" si="9"/>
        <v>4</v>
      </c>
      <c r="D113" s="2">
        <f t="shared" si="7"/>
        <v>16</v>
      </c>
      <c r="E113" s="102"/>
      <c r="F113" s="1" t="str">
        <f>IFERROR(IF(OR(WEEKDAY(B113,2)=6,WEEKDAY(B113,2)=7),'Month summary'!$D$11,IF(E113="",'Month summary'!$C$11,E113)),"")</f>
        <v>WE</v>
      </c>
      <c r="G113" s="4">
        <f>IF(B113&lt;Time!$B$2,"",IF(F113='Month summary'!$C$11,'Month summary'!$F$2/24,IF(F113="H/2",'Month summary'!$F$2/24/2,0)))</f>
        <v>0</v>
      </c>
      <c r="H113" s="4">
        <f t="shared" si="10"/>
        <v>0</v>
      </c>
      <c r="I113" s="4" t="str">
        <f t="shared" si="11"/>
        <v/>
      </c>
      <c r="J113" s="107"/>
      <c r="K113" s="38" t="str">
        <f>IFERROR(INDEX(TableTime[Time],MATCH(B113,TableTime[Date],0)),"")</f>
        <v/>
      </c>
      <c r="L113" s="4" t="str">
        <f>IF(SUMIFS(TableTime[Duration],TableTime[Date],B113,TableTime[Activity],Projects!$C$9)+SUMIFS(TableTime[Duration],TableTime[Date],B113,TableTime[Activity],Projects!$C$10)+SUMIFS(TableTime[Duration],TableTime[Date],B113,TableTime[Activity],Projects!$C$11)=0,"",SUMIFS(TableTime[Duration],TableTime[Date],B113,TableTime[Activity],Projects!$C$9)+SUMIFS(TableTime[Duration],TableTime[Date],B113,TableTime[Activity],Projects!$C$10)+SUMIFS(TableTime[Duration],TableTime[Date],B113,TableTime[Activity],Projects!$C$11))</f>
        <v/>
      </c>
      <c r="M113" s="4" t="str" cm="1">
        <f t="array" ref="M113">IFERROR(LOOKUP(2,1/(TableTime[Date]=B113),TableTime[Time]),"")</f>
        <v/>
      </c>
      <c r="N113" s="38" t="str">
        <f>IF(SUMIFS(TableTime[[Duration]:[Duration]],TableTime[[Date]:[Date]],$B113,TableTime[[Activity]:[Activity]],N$1)=0,"",SUMIFS(TableTime[[Duration]:[Duration]],TableTime[[Date]:[Date]],$B113,TableTime[[Activity]:[Activity]],N$1))</f>
        <v/>
      </c>
      <c r="O113" s="4" t="str">
        <f>IF(SUMIFS(TableTime[[Duration]:[Duration]],TableTime[[Date]:[Date]],$B113,TableTime[[Activity]:[Activity]],O$1)=0,"",SUMIFS(TableTime[[Duration]:[Duration]],TableTime[[Date]:[Date]],$B113,TableTime[[Activity]:[Activity]],O$1))</f>
        <v/>
      </c>
      <c r="P113" s="4" t="str">
        <f>IF(SUMIFS(TableTime[[Duration]:[Duration]],TableTime[[Date]:[Date]],$B113,TableTime[[Activity]:[Activity]],P$1)=0,"",SUMIFS(TableTime[[Duration]:[Duration]],TableTime[[Date]:[Date]],$B113,TableTime[[Activity]:[Activity]],P$1))</f>
        <v/>
      </c>
      <c r="Q113" s="4" t="str">
        <f>IF(SUMIFS(TableTime[[Duration]:[Duration]],TableTime[[Date]:[Date]],$B113,TableTime[[Activity]:[Activity]],Q$1)=0,"",SUMIFS(TableTime[[Duration]:[Duration]],TableTime[[Date]:[Date]],$B113,TableTime[[Activity]:[Activity]],Q$1))</f>
        <v/>
      </c>
      <c r="R113" s="4" t="str">
        <f>IF(SUMIFS(TableTime[[Duration]:[Duration]],TableTime[[Date]:[Date]],$B113,TableTime[[Activity]:[Activity]],R$1)=0,"",SUMIFS(TableTime[[Duration]:[Duration]],TableTime[[Date]:[Date]],$B113,TableTime[[Activity]:[Activity]],R$1))</f>
        <v/>
      </c>
      <c r="S113" s="130" t="str">
        <f>IF(SUMIFS(TableTime[[Duration]:[Duration]],TableTime[[Date]:[Date]],$B113,TableTime[[Activity]:[Activity]],S$1)=0,"",SUMIFS(TableTime[[Duration]:[Duration]],TableTime[[Date]:[Date]],$B113,TableTime[[Activity]:[Activity]],S$1))</f>
        <v/>
      </c>
      <c r="T113" s="4" t="str">
        <f>IF(SUMIFS(TableTime[[Duration]:[Duration]],TableTime[[Date]:[Date]],$B113,TableTime[[Activity]:[Activity]],T$1)=0,"",SUMIFS(TableTime[[Duration]:[Duration]],TableTime[[Date]:[Date]],$B113,TableTime[[Activity]:[Activity]],T$1))</f>
        <v/>
      </c>
      <c r="U113" s="39" t="str">
        <f>IF(SUMIFS(TableTime[[Duration]:[Duration]],TableTime[[Date]:[Date]],$B113,TableTime[[Activity]:[Activity]],U$1)=0,"",SUMIFS(TableTime[[Duration]:[Duration]],TableTime[[Date]:[Date]],$B113,TableTime[[Activity]:[Activity]],U$1))</f>
        <v/>
      </c>
    </row>
    <row r="114" spans="1:21" x14ac:dyDescent="0.35">
      <c r="A114" s="59" t="str">
        <f t="shared" si="6"/>
        <v>Sun</v>
      </c>
      <c r="B114" s="91">
        <f t="shared" si="8"/>
        <v>45039</v>
      </c>
      <c r="C114" s="60">
        <f t="shared" si="9"/>
        <v>4</v>
      </c>
      <c r="D114" s="61">
        <f t="shared" si="7"/>
        <v>16</v>
      </c>
      <c r="E114" s="103"/>
      <c r="F114" s="60" t="str">
        <f>IFERROR(IF(OR(WEEKDAY(B114,2)=6,WEEKDAY(B114,2)=7),'Month summary'!$D$11,IF(E114="",'Month summary'!$C$11,E114)),"")</f>
        <v>WE</v>
      </c>
      <c r="G114" s="62">
        <f>IF(B114&lt;Time!$B$2,"",IF(F114='Month summary'!$C$11,'Month summary'!$F$2/24,IF(F114="H/2",'Month summary'!$F$2/24/2,0)))</f>
        <v>0</v>
      </c>
      <c r="H114" s="62">
        <f t="shared" si="10"/>
        <v>0</v>
      </c>
      <c r="I114" s="62" t="str">
        <f t="shared" si="11"/>
        <v/>
      </c>
      <c r="J114" s="108"/>
      <c r="K114" s="63" t="str">
        <f>IFERROR(INDEX(TableTime[Time],MATCH(B114,TableTime[Date],0)),"")</f>
        <v/>
      </c>
      <c r="L114" s="62" t="str">
        <f>IF(SUMIFS(TableTime[Duration],TableTime[Date],B114,TableTime[Activity],Projects!$C$9)+SUMIFS(TableTime[Duration],TableTime[Date],B114,TableTime[Activity],Projects!$C$10)+SUMIFS(TableTime[Duration],TableTime[Date],B114,TableTime[Activity],Projects!$C$11)=0,"",SUMIFS(TableTime[Duration],TableTime[Date],B114,TableTime[Activity],Projects!$C$9)+SUMIFS(TableTime[Duration],TableTime[Date],B114,TableTime[Activity],Projects!$C$10)+SUMIFS(TableTime[Duration],TableTime[Date],B114,TableTime[Activity],Projects!$C$11))</f>
        <v/>
      </c>
      <c r="M114" s="62" t="str" cm="1">
        <f t="array" ref="M114">IFERROR(LOOKUP(2,1/(TableTime[Date]=B114),TableTime[Time]),"")</f>
        <v/>
      </c>
      <c r="N114" s="63" t="str">
        <f>IF(SUMIFS(TableTime[[Duration]:[Duration]],TableTime[[Date]:[Date]],$B114,TableTime[[Activity]:[Activity]],N$1)=0,"",SUMIFS(TableTime[[Duration]:[Duration]],TableTime[[Date]:[Date]],$B114,TableTime[[Activity]:[Activity]],N$1))</f>
        <v/>
      </c>
      <c r="O114" s="62" t="str">
        <f>IF(SUMIFS(TableTime[[Duration]:[Duration]],TableTime[[Date]:[Date]],$B114,TableTime[[Activity]:[Activity]],O$1)=0,"",SUMIFS(TableTime[[Duration]:[Duration]],TableTime[[Date]:[Date]],$B114,TableTime[[Activity]:[Activity]],O$1))</f>
        <v/>
      </c>
      <c r="P114" s="62" t="str">
        <f>IF(SUMIFS(TableTime[[Duration]:[Duration]],TableTime[[Date]:[Date]],$B114,TableTime[[Activity]:[Activity]],P$1)=0,"",SUMIFS(TableTime[[Duration]:[Duration]],TableTime[[Date]:[Date]],$B114,TableTime[[Activity]:[Activity]],P$1))</f>
        <v/>
      </c>
      <c r="Q114" s="62" t="str">
        <f>IF(SUMIFS(TableTime[[Duration]:[Duration]],TableTime[[Date]:[Date]],$B114,TableTime[[Activity]:[Activity]],Q$1)=0,"",SUMIFS(TableTime[[Duration]:[Duration]],TableTime[[Date]:[Date]],$B114,TableTime[[Activity]:[Activity]],Q$1))</f>
        <v/>
      </c>
      <c r="R114" s="62" t="str">
        <f>IF(SUMIFS(TableTime[[Duration]:[Duration]],TableTime[[Date]:[Date]],$B114,TableTime[[Activity]:[Activity]],R$1)=0,"",SUMIFS(TableTime[[Duration]:[Duration]],TableTime[[Date]:[Date]],$B114,TableTime[[Activity]:[Activity]],R$1))</f>
        <v/>
      </c>
      <c r="S114" s="131" t="str">
        <f>IF(SUMIFS(TableTime[[Duration]:[Duration]],TableTime[[Date]:[Date]],$B114,TableTime[[Activity]:[Activity]],S$1)=0,"",SUMIFS(TableTime[[Duration]:[Duration]],TableTime[[Date]:[Date]],$B114,TableTime[[Activity]:[Activity]],S$1))</f>
        <v/>
      </c>
      <c r="T114" s="62" t="str">
        <f>IF(SUMIFS(TableTime[[Duration]:[Duration]],TableTime[[Date]:[Date]],$B114,TableTime[[Activity]:[Activity]],T$1)=0,"",SUMIFS(TableTime[[Duration]:[Duration]],TableTime[[Date]:[Date]],$B114,TableTime[[Activity]:[Activity]],T$1))</f>
        <v/>
      </c>
      <c r="U114" s="64" t="str">
        <f>IF(SUMIFS(TableTime[[Duration]:[Duration]],TableTime[[Date]:[Date]],$B114,TableTime[[Activity]:[Activity]],U$1)=0,"",SUMIFS(TableTime[[Duration]:[Duration]],TableTime[[Date]:[Date]],$B114,TableTime[[Activity]:[Activity]],U$1))</f>
        <v/>
      </c>
    </row>
    <row r="115" spans="1:21" x14ac:dyDescent="0.35">
      <c r="A115" s="35" t="str">
        <f t="shared" si="6"/>
        <v>Mon</v>
      </c>
      <c r="B115" s="5">
        <f t="shared" si="8"/>
        <v>45040</v>
      </c>
      <c r="C115" s="1">
        <f t="shared" si="9"/>
        <v>4</v>
      </c>
      <c r="D115" s="2">
        <f t="shared" si="7"/>
        <v>17</v>
      </c>
      <c r="E115" s="102"/>
      <c r="F115" s="1" t="str">
        <f>IFERROR(IF(OR(WEEKDAY(B115,2)=6,WEEKDAY(B115,2)=7),'Month summary'!$D$11,IF(E115="",'Month summary'!$C$11,E115)),"")</f>
        <v>W</v>
      </c>
      <c r="G115" s="4">
        <f>IF(B115&lt;Time!$B$2,"",IF(F115='Month summary'!$C$11,'Month summary'!$F$2/24,IF(F115="H/2",'Month summary'!$F$2/24/2,0)))</f>
        <v>0.33333333333333331</v>
      </c>
      <c r="H115" s="4">
        <f t="shared" si="10"/>
        <v>0</v>
      </c>
      <c r="I115" s="4" t="str">
        <f t="shared" si="11"/>
        <v/>
      </c>
      <c r="J115" s="107"/>
      <c r="K115" s="38" t="str">
        <f>IFERROR(INDEX(TableTime[Time],MATCH(B115,TableTime[Date],0)),"")</f>
        <v/>
      </c>
      <c r="L115" s="4" t="str">
        <f>IF(SUMIFS(TableTime[Duration],TableTime[Date],B115,TableTime[Activity],Projects!$C$9)+SUMIFS(TableTime[Duration],TableTime[Date],B115,TableTime[Activity],Projects!$C$10)+SUMIFS(TableTime[Duration],TableTime[Date],B115,TableTime[Activity],Projects!$C$11)=0,"",SUMIFS(TableTime[Duration],TableTime[Date],B115,TableTime[Activity],Projects!$C$9)+SUMIFS(TableTime[Duration],TableTime[Date],B115,TableTime[Activity],Projects!$C$10)+SUMIFS(TableTime[Duration],TableTime[Date],B115,TableTime[Activity],Projects!$C$11))</f>
        <v/>
      </c>
      <c r="M115" s="4" t="str" cm="1">
        <f t="array" ref="M115">IFERROR(LOOKUP(2,1/(TableTime[Date]=B115),TableTime[Time]),"")</f>
        <v/>
      </c>
      <c r="N115" s="38" t="str">
        <f>IF(SUMIFS(TableTime[[Duration]:[Duration]],TableTime[[Date]:[Date]],$B115,TableTime[[Activity]:[Activity]],N$1)=0,"",SUMIFS(TableTime[[Duration]:[Duration]],TableTime[[Date]:[Date]],$B115,TableTime[[Activity]:[Activity]],N$1))</f>
        <v/>
      </c>
      <c r="O115" s="4" t="str">
        <f>IF(SUMIFS(TableTime[[Duration]:[Duration]],TableTime[[Date]:[Date]],$B115,TableTime[[Activity]:[Activity]],O$1)=0,"",SUMIFS(TableTime[[Duration]:[Duration]],TableTime[[Date]:[Date]],$B115,TableTime[[Activity]:[Activity]],O$1))</f>
        <v/>
      </c>
      <c r="P115" s="4" t="str">
        <f>IF(SUMIFS(TableTime[[Duration]:[Duration]],TableTime[[Date]:[Date]],$B115,TableTime[[Activity]:[Activity]],P$1)=0,"",SUMIFS(TableTime[[Duration]:[Duration]],TableTime[[Date]:[Date]],$B115,TableTime[[Activity]:[Activity]],P$1))</f>
        <v/>
      </c>
      <c r="Q115" s="4" t="str">
        <f>IF(SUMIFS(TableTime[[Duration]:[Duration]],TableTime[[Date]:[Date]],$B115,TableTime[[Activity]:[Activity]],Q$1)=0,"",SUMIFS(TableTime[[Duration]:[Duration]],TableTime[[Date]:[Date]],$B115,TableTime[[Activity]:[Activity]],Q$1))</f>
        <v/>
      </c>
      <c r="R115" s="4" t="str">
        <f>IF(SUMIFS(TableTime[[Duration]:[Duration]],TableTime[[Date]:[Date]],$B115,TableTime[[Activity]:[Activity]],R$1)=0,"",SUMIFS(TableTime[[Duration]:[Duration]],TableTime[[Date]:[Date]],$B115,TableTime[[Activity]:[Activity]],R$1))</f>
        <v/>
      </c>
      <c r="S115" s="130" t="str">
        <f>IF(SUMIFS(TableTime[[Duration]:[Duration]],TableTime[[Date]:[Date]],$B115,TableTime[[Activity]:[Activity]],S$1)=0,"",SUMIFS(TableTime[[Duration]:[Duration]],TableTime[[Date]:[Date]],$B115,TableTime[[Activity]:[Activity]],S$1))</f>
        <v/>
      </c>
      <c r="T115" s="4" t="str">
        <f>IF(SUMIFS(TableTime[[Duration]:[Duration]],TableTime[[Date]:[Date]],$B115,TableTime[[Activity]:[Activity]],T$1)=0,"",SUMIFS(TableTime[[Duration]:[Duration]],TableTime[[Date]:[Date]],$B115,TableTime[[Activity]:[Activity]],T$1))</f>
        <v/>
      </c>
      <c r="U115" s="39" t="str">
        <f>IF(SUMIFS(TableTime[[Duration]:[Duration]],TableTime[[Date]:[Date]],$B115,TableTime[[Activity]:[Activity]],U$1)=0,"",SUMIFS(TableTime[[Duration]:[Duration]],TableTime[[Date]:[Date]],$B115,TableTime[[Activity]:[Activity]],U$1))</f>
        <v/>
      </c>
    </row>
    <row r="116" spans="1:21" x14ac:dyDescent="0.35">
      <c r="A116" s="59" t="str">
        <f t="shared" si="6"/>
        <v>Tue</v>
      </c>
      <c r="B116" s="91">
        <f t="shared" si="8"/>
        <v>45041</v>
      </c>
      <c r="C116" s="60">
        <f t="shared" si="9"/>
        <v>4</v>
      </c>
      <c r="D116" s="61">
        <f t="shared" si="7"/>
        <v>17</v>
      </c>
      <c r="E116" s="103"/>
      <c r="F116" s="60" t="str">
        <f>IFERROR(IF(OR(WEEKDAY(B116,2)=6,WEEKDAY(B116,2)=7),'Month summary'!$D$11,IF(E116="",'Month summary'!$C$11,E116)),"")</f>
        <v>W</v>
      </c>
      <c r="G116" s="62">
        <f>IF(B116&lt;Time!$B$2,"",IF(F116='Month summary'!$C$11,'Month summary'!$F$2/24,IF(F116="H/2",'Month summary'!$F$2/24/2,0)))</f>
        <v>0.33333333333333331</v>
      </c>
      <c r="H116" s="62">
        <f t="shared" si="10"/>
        <v>0</v>
      </c>
      <c r="I116" s="62" t="str">
        <f t="shared" si="11"/>
        <v/>
      </c>
      <c r="J116" s="108"/>
      <c r="K116" s="63" t="str">
        <f>IFERROR(INDEX(TableTime[Time],MATCH(B116,TableTime[Date],0)),"")</f>
        <v/>
      </c>
      <c r="L116" s="62" t="str">
        <f>IF(SUMIFS(TableTime[Duration],TableTime[Date],B116,TableTime[Activity],Projects!$C$9)+SUMIFS(TableTime[Duration],TableTime[Date],B116,TableTime[Activity],Projects!$C$10)+SUMIFS(TableTime[Duration],TableTime[Date],B116,TableTime[Activity],Projects!$C$11)=0,"",SUMIFS(TableTime[Duration],TableTime[Date],B116,TableTime[Activity],Projects!$C$9)+SUMIFS(TableTime[Duration],TableTime[Date],B116,TableTime[Activity],Projects!$C$10)+SUMIFS(TableTime[Duration],TableTime[Date],B116,TableTime[Activity],Projects!$C$11))</f>
        <v/>
      </c>
      <c r="M116" s="62" t="str" cm="1">
        <f t="array" ref="M116">IFERROR(LOOKUP(2,1/(TableTime[Date]=B116),TableTime[Time]),"")</f>
        <v/>
      </c>
      <c r="N116" s="63" t="str">
        <f>IF(SUMIFS(TableTime[[Duration]:[Duration]],TableTime[[Date]:[Date]],$B116,TableTime[[Activity]:[Activity]],N$1)=0,"",SUMIFS(TableTime[[Duration]:[Duration]],TableTime[[Date]:[Date]],$B116,TableTime[[Activity]:[Activity]],N$1))</f>
        <v/>
      </c>
      <c r="O116" s="62" t="str">
        <f>IF(SUMIFS(TableTime[[Duration]:[Duration]],TableTime[[Date]:[Date]],$B116,TableTime[[Activity]:[Activity]],O$1)=0,"",SUMIFS(TableTime[[Duration]:[Duration]],TableTime[[Date]:[Date]],$B116,TableTime[[Activity]:[Activity]],O$1))</f>
        <v/>
      </c>
      <c r="P116" s="62" t="str">
        <f>IF(SUMIFS(TableTime[[Duration]:[Duration]],TableTime[[Date]:[Date]],$B116,TableTime[[Activity]:[Activity]],P$1)=0,"",SUMIFS(TableTime[[Duration]:[Duration]],TableTime[[Date]:[Date]],$B116,TableTime[[Activity]:[Activity]],P$1))</f>
        <v/>
      </c>
      <c r="Q116" s="62" t="str">
        <f>IF(SUMIFS(TableTime[[Duration]:[Duration]],TableTime[[Date]:[Date]],$B116,TableTime[[Activity]:[Activity]],Q$1)=0,"",SUMIFS(TableTime[[Duration]:[Duration]],TableTime[[Date]:[Date]],$B116,TableTime[[Activity]:[Activity]],Q$1))</f>
        <v/>
      </c>
      <c r="R116" s="62" t="str">
        <f>IF(SUMIFS(TableTime[[Duration]:[Duration]],TableTime[[Date]:[Date]],$B116,TableTime[[Activity]:[Activity]],R$1)=0,"",SUMIFS(TableTime[[Duration]:[Duration]],TableTime[[Date]:[Date]],$B116,TableTime[[Activity]:[Activity]],R$1))</f>
        <v/>
      </c>
      <c r="S116" s="131" t="str">
        <f>IF(SUMIFS(TableTime[[Duration]:[Duration]],TableTime[[Date]:[Date]],$B116,TableTime[[Activity]:[Activity]],S$1)=0,"",SUMIFS(TableTime[[Duration]:[Duration]],TableTime[[Date]:[Date]],$B116,TableTime[[Activity]:[Activity]],S$1))</f>
        <v/>
      </c>
      <c r="T116" s="62" t="str">
        <f>IF(SUMIFS(TableTime[[Duration]:[Duration]],TableTime[[Date]:[Date]],$B116,TableTime[[Activity]:[Activity]],T$1)=0,"",SUMIFS(TableTime[[Duration]:[Duration]],TableTime[[Date]:[Date]],$B116,TableTime[[Activity]:[Activity]],T$1))</f>
        <v/>
      </c>
      <c r="U116" s="64" t="str">
        <f>IF(SUMIFS(TableTime[[Duration]:[Duration]],TableTime[[Date]:[Date]],$B116,TableTime[[Activity]:[Activity]],U$1)=0,"",SUMIFS(TableTime[[Duration]:[Duration]],TableTime[[Date]:[Date]],$B116,TableTime[[Activity]:[Activity]],U$1))</f>
        <v/>
      </c>
    </row>
    <row r="117" spans="1:21" x14ac:dyDescent="0.35">
      <c r="A117" s="35" t="str">
        <f t="shared" si="6"/>
        <v>Wed</v>
      </c>
      <c r="B117" s="5">
        <f t="shared" si="8"/>
        <v>45042</v>
      </c>
      <c r="C117" s="1">
        <f t="shared" si="9"/>
        <v>4</v>
      </c>
      <c r="D117" s="2">
        <f t="shared" si="7"/>
        <v>17</v>
      </c>
      <c r="E117" s="102"/>
      <c r="F117" s="1" t="str">
        <f>IFERROR(IF(OR(WEEKDAY(B117,2)=6,WEEKDAY(B117,2)=7),'Month summary'!$D$11,IF(E117="",'Month summary'!$C$11,E117)),"")</f>
        <v>W</v>
      </c>
      <c r="G117" s="4">
        <f>IF(B117&lt;Time!$B$2,"",IF(F117='Month summary'!$C$11,'Month summary'!$F$2/24,IF(F117="H/2",'Month summary'!$F$2/24/2,0)))</f>
        <v>0.33333333333333331</v>
      </c>
      <c r="H117" s="4">
        <f t="shared" si="10"/>
        <v>0</v>
      </c>
      <c r="I117" s="4" t="str">
        <f t="shared" si="11"/>
        <v/>
      </c>
      <c r="J117" s="107"/>
      <c r="K117" s="38" t="str">
        <f>IFERROR(INDEX(TableTime[Time],MATCH(B117,TableTime[Date],0)),"")</f>
        <v/>
      </c>
      <c r="L117" s="4" t="str">
        <f>IF(SUMIFS(TableTime[Duration],TableTime[Date],B117,TableTime[Activity],Projects!$C$9)+SUMIFS(TableTime[Duration],TableTime[Date],B117,TableTime[Activity],Projects!$C$10)+SUMIFS(TableTime[Duration],TableTime[Date],B117,TableTime[Activity],Projects!$C$11)=0,"",SUMIFS(TableTime[Duration],TableTime[Date],B117,TableTime[Activity],Projects!$C$9)+SUMIFS(TableTime[Duration],TableTime[Date],B117,TableTime[Activity],Projects!$C$10)+SUMIFS(TableTime[Duration],TableTime[Date],B117,TableTime[Activity],Projects!$C$11))</f>
        <v/>
      </c>
      <c r="M117" s="4" t="str" cm="1">
        <f t="array" ref="M117">IFERROR(LOOKUP(2,1/(TableTime[Date]=B117),TableTime[Time]),"")</f>
        <v/>
      </c>
      <c r="N117" s="38" t="str">
        <f>IF(SUMIFS(TableTime[[Duration]:[Duration]],TableTime[[Date]:[Date]],$B117,TableTime[[Activity]:[Activity]],N$1)=0,"",SUMIFS(TableTime[[Duration]:[Duration]],TableTime[[Date]:[Date]],$B117,TableTime[[Activity]:[Activity]],N$1))</f>
        <v/>
      </c>
      <c r="O117" s="4" t="str">
        <f>IF(SUMIFS(TableTime[[Duration]:[Duration]],TableTime[[Date]:[Date]],$B117,TableTime[[Activity]:[Activity]],O$1)=0,"",SUMIFS(TableTime[[Duration]:[Duration]],TableTime[[Date]:[Date]],$B117,TableTime[[Activity]:[Activity]],O$1))</f>
        <v/>
      </c>
      <c r="P117" s="4" t="str">
        <f>IF(SUMIFS(TableTime[[Duration]:[Duration]],TableTime[[Date]:[Date]],$B117,TableTime[[Activity]:[Activity]],P$1)=0,"",SUMIFS(TableTime[[Duration]:[Duration]],TableTime[[Date]:[Date]],$B117,TableTime[[Activity]:[Activity]],P$1))</f>
        <v/>
      </c>
      <c r="Q117" s="4" t="str">
        <f>IF(SUMIFS(TableTime[[Duration]:[Duration]],TableTime[[Date]:[Date]],$B117,TableTime[[Activity]:[Activity]],Q$1)=0,"",SUMIFS(TableTime[[Duration]:[Duration]],TableTime[[Date]:[Date]],$B117,TableTime[[Activity]:[Activity]],Q$1))</f>
        <v/>
      </c>
      <c r="R117" s="4" t="str">
        <f>IF(SUMIFS(TableTime[[Duration]:[Duration]],TableTime[[Date]:[Date]],$B117,TableTime[[Activity]:[Activity]],R$1)=0,"",SUMIFS(TableTime[[Duration]:[Duration]],TableTime[[Date]:[Date]],$B117,TableTime[[Activity]:[Activity]],R$1))</f>
        <v/>
      </c>
      <c r="S117" s="130" t="str">
        <f>IF(SUMIFS(TableTime[[Duration]:[Duration]],TableTime[[Date]:[Date]],$B117,TableTime[[Activity]:[Activity]],S$1)=0,"",SUMIFS(TableTime[[Duration]:[Duration]],TableTime[[Date]:[Date]],$B117,TableTime[[Activity]:[Activity]],S$1))</f>
        <v/>
      </c>
      <c r="T117" s="4" t="str">
        <f>IF(SUMIFS(TableTime[[Duration]:[Duration]],TableTime[[Date]:[Date]],$B117,TableTime[[Activity]:[Activity]],T$1)=0,"",SUMIFS(TableTime[[Duration]:[Duration]],TableTime[[Date]:[Date]],$B117,TableTime[[Activity]:[Activity]],T$1))</f>
        <v/>
      </c>
      <c r="U117" s="39" t="str">
        <f>IF(SUMIFS(TableTime[[Duration]:[Duration]],TableTime[[Date]:[Date]],$B117,TableTime[[Activity]:[Activity]],U$1)=0,"",SUMIFS(TableTime[[Duration]:[Duration]],TableTime[[Date]:[Date]],$B117,TableTime[[Activity]:[Activity]],U$1))</f>
        <v/>
      </c>
    </row>
    <row r="118" spans="1:21" x14ac:dyDescent="0.35">
      <c r="A118" s="59" t="str">
        <f t="shared" si="6"/>
        <v>Thr</v>
      </c>
      <c r="B118" s="91">
        <f t="shared" si="8"/>
        <v>45043</v>
      </c>
      <c r="C118" s="60">
        <f t="shared" si="9"/>
        <v>4</v>
      </c>
      <c r="D118" s="61">
        <f t="shared" si="7"/>
        <v>17</v>
      </c>
      <c r="E118" s="103" t="s">
        <v>19</v>
      </c>
      <c r="F118" s="60" t="str">
        <f>IFERROR(IF(OR(WEEKDAY(B118,2)=6,WEEKDAY(B118,2)=7),'Month summary'!$D$11,IF(E118="",'Month summary'!$C$11,E118)),"")</f>
        <v>PH</v>
      </c>
      <c r="G118" s="62">
        <f>IF(B118&lt;Time!$B$2,"",IF(F118='Month summary'!$C$11,'Month summary'!$F$2/24,IF(F118="H/2",'Month summary'!$F$2/24/2,0)))</f>
        <v>0</v>
      </c>
      <c r="H118" s="62">
        <f t="shared" si="10"/>
        <v>0</v>
      </c>
      <c r="I118" s="62" t="str">
        <f t="shared" si="11"/>
        <v/>
      </c>
      <c r="J118" s="108" t="s">
        <v>20</v>
      </c>
      <c r="K118" s="63" t="str">
        <f>IFERROR(INDEX(TableTime[Time],MATCH(B118,TableTime[Date],0)),"")</f>
        <v/>
      </c>
      <c r="L118" s="62" t="str">
        <f>IF(SUMIFS(TableTime[Duration],TableTime[Date],B118,TableTime[Activity],Projects!$C$9)+SUMIFS(TableTime[Duration],TableTime[Date],B118,TableTime[Activity],Projects!$C$10)+SUMIFS(TableTime[Duration],TableTime[Date],B118,TableTime[Activity],Projects!$C$11)=0,"",SUMIFS(TableTime[Duration],TableTime[Date],B118,TableTime[Activity],Projects!$C$9)+SUMIFS(TableTime[Duration],TableTime[Date],B118,TableTime[Activity],Projects!$C$10)+SUMIFS(TableTime[Duration],TableTime[Date],B118,TableTime[Activity],Projects!$C$11))</f>
        <v/>
      </c>
      <c r="M118" s="62" t="str" cm="1">
        <f t="array" ref="M118">IFERROR(LOOKUP(2,1/(TableTime[Date]=B118),TableTime[Time]),"")</f>
        <v/>
      </c>
      <c r="N118" s="63" t="str">
        <f>IF(SUMIFS(TableTime[[Duration]:[Duration]],TableTime[[Date]:[Date]],$B118,TableTime[[Activity]:[Activity]],N$1)=0,"",SUMIFS(TableTime[[Duration]:[Duration]],TableTime[[Date]:[Date]],$B118,TableTime[[Activity]:[Activity]],N$1))</f>
        <v/>
      </c>
      <c r="O118" s="62" t="str">
        <f>IF(SUMIFS(TableTime[[Duration]:[Duration]],TableTime[[Date]:[Date]],$B118,TableTime[[Activity]:[Activity]],O$1)=0,"",SUMIFS(TableTime[[Duration]:[Duration]],TableTime[[Date]:[Date]],$B118,TableTime[[Activity]:[Activity]],O$1))</f>
        <v/>
      </c>
      <c r="P118" s="62" t="str">
        <f>IF(SUMIFS(TableTime[[Duration]:[Duration]],TableTime[[Date]:[Date]],$B118,TableTime[[Activity]:[Activity]],P$1)=0,"",SUMIFS(TableTime[[Duration]:[Duration]],TableTime[[Date]:[Date]],$B118,TableTime[[Activity]:[Activity]],P$1))</f>
        <v/>
      </c>
      <c r="Q118" s="62" t="str">
        <f>IF(SUMIFS(TableTime[[Duration]:[Duration]],TableTime[[Date]:[Date]],$B118,TableTime[[Activity]:[Activity]],Q$1)=0,"",SUMIFS(TableTime[[Duration]:[Duration]],TableTime[[Date]:[Date]],$B118,TableTime[[Activity]:[Activity]],Q$1))</f>
        <v/>
      </c>
      <c r="R118" s="62" t="str">
        <f>IF(SUMIFS(TableTime[[Duration]:[Duration]],TableTime[[Date]:[Date]],$B118,TableTime[[Activity]:[Activity]],R$1)=0,"",SUMIFS(TableTime[[Duration]:[Duration]],TableTime[[Date]:[Date]],$B118,TableTime[[Activity]:[Activity]],R$1))</f>
        <v/>
      </c>
      <c r="S118" s="131" t="str">
        <f>IF(SUMIFS(TableTime[[Duration]:[Duration]],TableTime[[Date]:[Date]],$B118,TableTime[[Activity]:[Activity]],S$1)=0,"",SUMIFS(TableTime[[Duration]:[Duration]],TableTime[[Date]:[Date]],$B118,TableTime[[Activity]:[Activity]],S$1))</f>
        <v/>
      </c>
      <c r="T118" s="62" t="str">
        <f>IF(SUMIFS(TableTime[[Duration]:[Duration]],TableTime[[Date]:[Date]],$B118,TableTime[[Activity]:[Activity]],T$1)=0,"",SUMIFS(TableTime[[Duration]:[Duration]],TableTime[[Date]:[Date]],$B118,TableTime[[Activity]:[Activity]],T$1))</f>
        <v/>
      </c>
      <c r="U118" s="64" t="str">
        <f>IF(SUMIFS(TableTime[[Duration]:[Duration]],TableTime[[Date]:[Date]],$B118,TableTime[[Activity]:[Activity]],U$1)=0,"",SUMIFS(TableTime[[Duration]:[Duration]],TableTime[[Date]:[Date]],$B118,TableTime[[Activity]:[Activity]],U$1))</f>
        <v/>
      </c>
    </row>
    <row r="119" spans="1:21" x14ac:dyDescent="0.35">
      <c r="A119" s="35" t="str">
        <f t="shared" si="6"/>
        <v>Fri</v>
      </c>
      <c r="B119" s="5">
        <f t="shared" si="8"/>
        <v>45044</v>
      </c>
      <c r="C119" s="1">
        <f t="shared" si="9"/>
        <v>4</v>
      </c>
      <c r="D119" s="2">
        <f t="shared" si="7"/>
        <v>17</v>
      </c>
      <c r="E119" s="102"/>
      <c r="F119" s="1" t="str">
        <f>IFERROR(IF(OR(WEEKDAY(B119,2)=6,WEEKDAY(B119,2)=7),'Month summary'!$D$11,IF(E119="",'Month summary'!$C$11,E119)),"")</f>
        <v>W</v>
      </c>
      <c r="G119" s="4">
        <f>IF(B119&lt;Time!$B$2,"",IF(F119='Month summary'!$C$11,'Month summary'!$F$2/24,IF(F119="H/2",'Month summary'!$F$2/24/2,0)))</f>
        <v>0.33333333333333331</v>
      </c>
      <c r="H119" s="4">
        <f t="shared" si="10"/>
        <v>0</v>
      </c>
      <c r="I119" s="4" t="str">
        <f t="shared" si="11"/>
        <v/>
      </c>
      <c r="J119" s="107"/>
      <c r="K119" s="38" t="str">
        <f>IFERROR(INDEX(TableTime[Time],MATCH(B119,TableTime[Date],0)),"")</f>
        <v/>
      </c>
      <c r="L119" s="4" t="str">
        <f>IF(SUMIFS(TableTime[Duration],TableTime[Date],B119,TableTime[Activity],Projects!$C$9)+SUMIFS(TableTime[Duration],TableTime[Date],B119,TableTime[Activity],Projects!$C$10)+SUMIFS(TableTime[Duration],TableTime[Date],B119,TableTime[Activity],Projects!$C$11)=0,"",SUMIFS(TableTime[Duration],TableTime[Date],B119,TableTime[Activity],Projects!$C$9)+SUMIFS(TableTime[Duration],TableTime[Date],B119,TableTime[Activity],Projects!$C$10)+SUMIFS(TableTime[Duration],TableTime[Date],B119,TableTime[Activity],Projects!$C$11))</f>
        <v/>
      </c>
      <c r="M119" s="4" t="str" cm="1">
        <f t="array" ref="M119">IFERROR(LOOKUP(2,1/(TableTime[Date]=B119),TableTime[Time]),"")</f>
        <v/>
      </c>
      <c r="N119" s="38" t="str">
        <f>IF(SUMIFS(TableTime[[Duration]:[Duration]],TableTime[[Date]:[Date]],$B119,TableTime[[Activity]:[Activity]],N$1)=0,"",SUMIFS(TableTime[[Duration]:[Duration]],TableTime[[Date]:[Date]],$B119,TableTime[[Activity]:[Activity]],N$1))</f>
        <v/>
      </c>
      <c r="O119" s="4" t="str">
        <f>IF(SUMIFS(TableTime[[Duration]:[Duration]],TableTime[[Date]:[Date]],$B119,TableTime[[Activity]:[Activity]],O$1)=0,"",SUMIFS(TableTime[[Duration]:[Duration]],TableTime[[Date]:[Date]],$B119,TableTime[[Activity]:[Activity]],O$1))</f>
        <v/>
      </c>
      <c r="P119" s="4" t="str">
        <f>IF(SUMIFS(TableTime[[Duration]:[Duration]],TableTime[[Date]:[Date]],$B119,TableTime[[Activity]:[Activity]],P$1)=0,"",SUMIFS(TableTime[[Duration]:[Duration]],TableTime[[Date]:[Date]],$B119,TableTime[[Activity]:[Activity]],P$1))</f>
        <v/>
      </c>
      <c r="Q119" s="4" t="str">
        <f>IF(SUMIFS(TableTime[[Duration]:[Duration]],TableTime[[Date]:[Date]],$B119,TableTime[[Activity]:[Activity]],Q$1)=0,"",SUMIFS(TableTime[[Duration]:[Duration]],TableTime[[Date]:[Date]],$B119,TableTime[[Activity]:[Activity]],Q$1))</f>
        <v/>
      </c>
      <c r="R119" s="4" t="str">
        <f>IF(SUMIFS(TableTime[[Duration]:[Duration]],TableTime[[Date]:[Date]],$B119,TableTime[[Activity]:[Activity]],R$1)=0,"",SUMIFS(TableTime[[Duration]:[Duration]],TableTime[[Date]:[Date]],$B119,TableTime[[Activity]:[Activity]],R$1))</f>
        <v/>
      </c>
      <c r="S119" s="130" t="str">
        <f>IF(SUMIFS(TableTime[[Duration]:[Duration]],TableTime[[Date]:[Date]],$B119,TableTime[[Activity]:[Activity]],S$1)=0,"",SUMIFS(TableTime[[Duration]:[Duration]],TableTime[[Date]:[Date]],$B119,TableTime[[Activity]:[Activity]],S$1))</f>
        <v/>
      </c>
      <c r="T119" s="4" t="str">
        <f>IF(SUMIFS(TableTime[[Duration]:[Duration]],TableTime[[Date]:[Date]],$B119,TableTime[[Activity]:[Activity]],T$1)=0,"",SUMIFS(TableTime[[Duration]:[Duration]],TableTime[[Date]:[Date]],$B119,TableTime[[Activity]:[Activity]],T$1))</f>
        <v/>
      </c>
      <c r="U119" s="39" t="str">
        <f>IF(SUMIFS(TableTime[[Duration]:[Duration]],TableTime[[Date]:[Date]],$B119,TableTime[[Activity]:[Activity]],U$1)=0,"",SUMIFS(TableTime[[Duration]:[Duration]],TableTime[[Date]:[Date]],$B119,TableTime[[Activity]:[Activity]],U$1))</f>
        <v/>
      </c>
    </row>
    <row r="120" spans="1:21" x14ac:dyDescent="0.35">
      <c r="A120" s="59" t="str">
        <f t="shared" si="6"/>
        <v>Sat</v>
      </c>
      <c r="B120" s="91">
        <f t="shared" si="8"/>
        <v>45045</v>
      </c>
      <c r="C120" s="60">
        <f t="shared" si="9"/>
        <v>4</v>
      </c>
      <c r="D120" s="61">
        <f t="shared" si="7"/>
        <v>17</v>
      </c>
      <c r="E120" s="103"/>
      <c r="F120" s="60" t="str">
        <f>IFERROR(IF(OR(WEEKDAY(B120,2)=6,WEEKDAY(B120,2)=7),'Month summary'!$D$11,IF(E120="",'Month summary'!$C$11,E120)),"")</f>
        <v>WE</v>
      </c>
      <c r="G120" s="62">
        <f>IF(B120&lt;Time!$B$2,"",IF(F120='Month summary'!$C$11,'Month summary'!$F$2/24,IF(F120="H/2",'Month summary'!$F$2/24/2,0)))</f>
        <v>0</v>
      </c>
      <c r="H120" s="62">
        <f t="shared" si="10"/>
        <v>0</v>
      </c>
      <c r="I120" s="62" t="str">
        <f t="shared" si="11"/>
        <v/>
      </c>
      <c r="J120" s="108"/>
      <c r="K120" s="63" t="str">
        <f>IFERROR(INDEX(TableTime[Time],MATCH(B120,TableTime[Date],0)),"")</f>
        <v/>
      </c>
      <c r="L120" s="62" t="str">
        <f>IF(SUMIFS(TableTime[Duration],TableTime[Date],B120,TableTime[Activity],Projects!$C$9)+SUMIFS(TableTime[Duration],TableTime[Date],B120,TableTime[Activity],Projects!$C$10)+SUMIFS(TableTime[Duration],TableTime[Date],B120,TableTime[Activity],Projects!$C$11)=0,"",SUMIFS(TableTime[Duration],TableTime[Date],B120,TableTime[Activity],Projects!$C$9)+SUMIFS(TableTime[Duration],TableTime[Date],B120,TableTime[Activity],Projects!$C$10)+SUMIFS(TableTime[Duration],TableTime[Date],B120,TableTime[Activity],Projects!$C$11))</f>
        <v/>
      </c>
      <c r="M120" s="62" t="str" cm="1">
        <f t="array" ref="M120">IFERROR(LOOKUP(2,1/(TableTime[Date]=B120),TableTime[Time]),"")</f>
        <v/>
      </c>
      <c r="N120" s="63" t="str">
        <f>IF(SUMIFS(TableTime[[Duration]:[Duration]],TableTime[[Date]:[Date]],$B120,TableTime[[Activity]:[Activity]],N$1)=0,"",SUMIFS(TableTime[[Duration]:[Duration]],TableTime[[Date]:[Date]],$B120,TableTime[[Activity]:[Activity]],N$1))</f>
        <v/>
      </c>
      <c r="O120" s="62" t="str">
        <f>IF(SUMIFS(TableTime[[Duration]:[Duration]],TableTime[[Date]:[Date]],$B120,TableTime[[Activity]:[Activity]],O$1)=0,"",SUMIFS(TableTime[[Duration]:[Duration]],TableTime[[Date]:[Date]],$B120,TableTime[[Activity]:[Activity]],O$1))</f>
        <v/>
      </c>
      <c r="P120" s="62" t="str">
        <f>IF(SUMIFS(TableTime[[Duration]:[Duration]],TableTime[[Date]:[Date]],$B120,TableTime[[Activity]:[Activity]],P$1)=0,"",SUMIFS(TableTime[[Duration]:[Duration]],TableTime[[Date]:[Date]],$B120,TableTime[[Activity]:[Activity]],P$1))</f>
        <v/>
      </c>
      <c r="Q120" s="62" t="str">
        <f>IF(SUMIFS(TableTime[[Duration]:[Duration]],TableTime[[Date]:[Date]],$B120,TableTime[[Activity]:[Activity]],Q$1)=0,"",SUMIFS(TableTime[[Duration]:[Duration]],TableTime[[Date]:[Date]],$B120,TableTime[[Activity]:[Activity]],Q$1))</f>
        <v/>
      </c>
      <c r="R120" s="62" t="str">
        <f>IF(SUMIFS(TableTime[[Duration]:[Duration]],TableTime[[Date]:[Date]],$B120,TableTime[[Activity]:[Activity]],R$1)=0,"",SUMIFS(TableTime[[Duration]:[Duration]],TableTime[[Date]:[Date]],$B120,TableTime[[Activity]:[Activity]],R$1))</f>
        <v/>
      </c>
      <c r="S120" s="131" t="str">
        <f>IF(SUMIFS(TableTime[[Duration]:[Duration]],TableTime[[Date]:[Date]],$B120,TableTime[[Activity]:[Activity]],S$1)=0,"",SUMIFS(TableTime[[Duration]:[Duration]],TableTime[[Date]:[Date]],$B120,TableTime[[Activity]:[Activity]],S$1))</f>
        <v/>
      </c>
      <c r="T120" s="62" t="str">
        <f>IF(SUMIFS(TableTime[[Duration]:[Duration]],TableTime[[Date]:[Date]],$B120,TableTime[[Activity]:[Activity]],T$1)=0,"",SUMIFS(TableTime[[Duration]:[Duration]],TableTime[[Date]:[Date]],$B120,TableTime[[Activity]:[Activity]],T$1))</f>
        <v/>
      </c>
      <c r="U120" s="64" t="str">
        <f>IF(SUMIFS(TableTime[[Duration]:[Duration]],TableTime[[Date]:[Date]],$B120,TableTime[[Activity]:[Activity]],U$1)=0,"",SUMIFS(TableTime[[Duration]:[Duration]],TableTime[[Date]:[Date]],$B120,TableTime[[Activity]:[Activity]],U$1))</f>
        <v/>
      </c>
    </row>
    <row r="121" spans="1:21" x14ac:dyDescent="0.35">
      <c r="A121" s="35" t="str">
        <f t="shared" si="6"/>
        <v>Sun</v>
      </c>
      <c r="B121" s="5">
        <f t="shared" si="8"/>
        <v>45046</v>
      </c>
      <c r="C121" s="1">
        <f t="shared" si="9"/>
        <v>4</v>
      </c>
      <c r="D121" s="2">
        <f t="shared" si="7"/>
        <v>17</v>
      </c>
      <c r="E121" s="102"/>
      <c r="F121" s="1" t="str">
        <f>IFERROR(IF(OR(WEEKDAY(B121,2)=6,WEEKDAY(B121,2)=7),'Month summary'!$D$11,IF(E121="",'Month summary'!$C$11,E121)),"")</f>
        <v>WE</v>
      </c>
      <c r="G121" s="4">
        <f>IF(B121&lt;Time!$B$2,"",IF(F121='Month summary'!$C$11,'Month summary'!$F$2/24,IF(F121="H/2",'Month summary'!$F$2/24/2,0)))</f>
        <v>0</v>
      </c>
      <c r="H121" s="4">
        <f t="shared" si="10"/>
        <v>0</v>
      </c>
      <c r="I121" s="4" t="str">
        <f t="shared" si="11"/>
        <v/>
      </c>
      <c r="J121" s="107"/>
      <c r="K121" s="38" t="str">
        <f>IFERROR(INDEX(TableTime[Time],MATCH(B121,TableTime[Date],0)),"")</f>
        <v/>
      </c>
      <c r="L121" s="4" t="str">
        <f>IF(SUMIFS(TableTime[Duration],TableTime[Date],B121,TableTime[Activity],Projects!$C$9)+SUMIFS(TableTime[Duration],TableTime[Date],B121,TableTime[Activity],Projects!$C$10)+SUMIFS(TableTime[Duration],TableTime[Date],B121,TableTime[Activity],Projects!$C$11)=0,"",SUMIFS(TableTime[Duration],TableTime[Date],B121,TableTime[Activity],Projects!$C$9)+SUMIFS(TableTime[Duration],TableTime[Date],B121,TableTime[Activity],Projects!$C$10)+SUMIFS(TableTime[Duration],TableTime[Date],B121,TableTime[Activity],Projects!$C$11))</f>
        <v/>
      </c>
      <c r="M121" s="4" t="str" cm="1">
        <f t="array" ref="M121">IFERROR(LOOKUP(2,1/(TableTime[Date]=B121),TableTime[Time]),"")</f>
        <v/>
      </c>
      <c r="N121" s="38" t="str">
        <f>IF(SUMIFS(TableTime[[Duration]:[Duration]],TableTime[[Date]:[Date]],$B121,TableTime[[Activity]:[Activity]],N$1)=0,"",SUMIFS(TableTime[[Duration]:[Duration]],TableTime[[Date]:[Date]],$B121,TableTime[[Activity]:[Activity]],N$1))</f>
        <v/>
      </c>
      <c r="O121" s="4" t="str">
        <f>IF(SUMIFS(TableTime[[Duration]:[Duration]],TableTime[[Date]:[Date]],$B121,TableTime[[Activity]:[Activity]],O$1)=0,"",SUMIFS(TableTime[[Duration]:[Duration]],TableTime[[Date]:[Date]],$B121,TableTime[[Activity]:[Activity]],O$1))</f>
        <v/>
      </c>
      <c r="P121" s="4" t="str">
        <f>IF(SUMIFS(TableTime[[Duration]:[Duration]],TableTime[[Date]:[Date]],$B121,TableTime[[Activity]:[Activity]],P$1)=0,"",SUMIFS(TableTime[[Duration]:[Duration]],TableTime[[Date]:[Date]],$B121,TableTime[[Activity]:[Activity]],P$1))</f>
        <v/>
      </c>
      <c r="Q121" s="4" t="str">
        <f>IF(SUMIFS(TableTime[[Duration]:[Duration]],TableTime[[Date]:[Date]],$B121,TableTime[[Activity]:[Activity]],Q$1)=0,"",SUMIFS(TableTime[[Duration]:[Duration]],TableTime[[Date]:[Date]],$B121,TableTime[[Activity]:[Activity]],Q$1))</f>
        <v/>
      </c>
      <c r="R121" s="4" t="str">
        <f>IF(SUMIFS(TableTime[[Duration]:[Duration]],TableTime[[Date]:[Date]],$B121,TableTime[[Activity]:[Activity]],R$1)=0,"",SUMIFS(TableTime[[Duration]:[Duration]],TableTime[[Date]:[Date]],$B121,TableTime[[Activity]:[Activity]],R$1))</f>
        <v/>
      </c>
      <c r="S121" s="130" t="str">
        <f>IF(SUMIFS(TableTime[[Duration]:[Duration]],TableTime[[Date]:[Date]],$B121,TableTime[[Activity]:[Activity]],S$1)=0,"",SUMIFS(TableTime[[Duration]:[Duration]],TableTime[[Date]:[Date]],$B121,TableTime[[Activity]:[Activity]],S$1))</f>
        <v/>
      </c>
      <c r="T121" s="4" t="str">
        <f>IF(SUMIFS(TableTime[[Duration]:[Duration]],TableTime[[Date]:[Date]],$B121,TableTime[[Activity]:[Activity]],T$1)=0,"",SUMIFS(TableTime[[Duration]:[Duration]],TableTime[[Date]:[Date]],$B121,TableTime[[Activity]:[Activity]],T$1))</f>
        <v/>
      </c>
      <c r="U121" s="39" t="str">
        <f>IF(SUMIFS(TableTime[[Duration]:[Duration]],TableTime[[Date]:[Date]],$B121,TableTime[[Activity]:[Activity]],U$1)=0,"",SUMIFS(TableTime[[Duration]:[Duration]],TableTime[[Date]:[Date]],$B121,TableTime[[Activity]:[Activity]],U$1))</f>
        <v/>
      </c>
    </row>
    <row r="122" spans="1:21" x14ac:dyDescent="0.35">
      <c r="A122" s="59" t="str">
        <f t="shared" si="6"/>
        <v>Mon</v>
      </c>
      <c r="B122" s="91">
        <f t="shared" si="8"/>
        <v>45047</v>
      </c>
      <c r="C122" s="60">
        <f t="shared" si="9"/>
        <v>5</v>
      </c>
      <c r="D122" s="61">
        <f t="shared" si="7"/>
        <v>18</v>
      </c>
      <c r="E122" s="103"/>
      <c r="F122" s="60" t="str">
        <f>IFERROR(IF(OR(WEEKDAY(B122,2)=6,WEEKDAY(B122,2)=7),'Month summary'!$D$11,IF(E122="",'Month summary'!$C$11,E122)),"")</f>
        <v>W</v>
      </c>
      <c r="G122" s="62">
        <f>IF(B122&lt;Time!$B$2,"",IF(F122='Month summary'!$C$11,'Month summary'!$F$2/24,IF(F122="H/2",'Month summary'!$F$2/24/2,0)))</f>
        <v>0.33333333333333331</v>
      </c>
      <c r="H122" s="62">
        <f t="shared" si="10"/>
        <v>0</v>
      </c>
      <c r="I122" s="62" t="str">
        <f t="shared" si="11"/>
        <v/>
      </c>
      <c r="J122" s="108"/>
      <c r="K122" s="63" t="str">
        <f>IFERROR(INDEX(TableTime[Time],MATCH(B122,TableTime[Date],0)),"")</f>
        <v/>
      </c>
      <c r="L122" s="62" t="str">
        <f>IF(SUMIFS(TableTime[Duration],TableTime[Date],B122,TableTime[Activity],Projects!$C$9)+SUMIFS(TableTime[Duration],TableTime[Date],B122,TableTime[Activity],Projects!$C$10)+SUMIFS(TableTime[Duration],TableTime[Date],B122,TableTime[Activity],Projects!$C$11)=0,"",SUMIFS(TableTime[Duration],TableTime[Date],B122,TableTime[Activity],Projects!$C$9)+SUMIFS(TableTime[Duration],TableTime[Date],B122,TableTime[Activity],Projects!$C$10)+SUMIFS(TableTime[Duration],TableTime[Date],B122,TableTime[Activity],Projects!$C$11))</f>
        <v/>
      </c>
      <c r="M122" s="62" t="str" cm="1">
        <f t="array" ref="M122">IFERROR(LOOKUP(2,1/(TableTime[Date]=B122),TableTime[Time]),"")</f>
        <v/>
      </c>
      <c r="N122" s="63" t="str">
        <f>IF(SUMIFS(TableTime[[Duration]:[Duration]],TableTime[[Date]:[Date]],$B122,TableTime[[Activity]:[Activity]],N$1)=0,"",SUMIFS(TableTime[[Duration]:[Duration]],TableTime[[Date]:[Date]],$B122,TableTime[[Activity]:[Activity]],N$1))</f>
        <v/>
      </c>
      <c r="O122" s="62" t="str">
        <f>IF(SUMIFS(TableTime[[Duration]:[Duration]],TableTime[[Date]:[Date]],$B122,TableTime[[Activity]:[Activity]],O$1)=0,"",SUMIFS(TableTime[[Duration]:[Duration]],TableTime[[Date]:[Date]],$B122,TableTime[[Activity]:[Activity]],O$1))</f>
        <v/>
      </c>
      <c r="P122" s="62" t="str">
        <f>IF(SUMIFS(TableTime[[Duration]:[Duration]],TableTime[[Date]:[Date]],$B122,TableTime[[Activity]:[Activity]],P$1)=0,"",SUMIFS(TableTime[[Duration]:[Duration]],TableTime[[Date]:[Date]],$B122,TableTime[[Activity]:[Activity]],P$1))</f>
        <v/>
      </c>
      <c r="Q122" s="62" t="str">
        <f>IF(SUMIFS(TableTime[[Duration]:[Duration]],TableTime[[Date]:[Date]],$B122,TableTime[[Activity]:[Activity]],Q$1)=0,"",SUMIFS(TableTime[[Duration]:[Duration]],TableTime[[Date]:[Date]],$B122,TableTime[[Activity]:[Activity]],Q$1))</f>
        <v/>
      </c>
      <c r="R122" s="62" t="str">
        <f>IF(SUMIFS(TableTime[[Duration]:[Duration]],TableTime[[Date]:[Date]],$B122,TableTime[[Activity]:[Activity]],R$1)=0,"",SUMIFS(TableTime[[Duration]:[Duration]],TableTime[[Date]:[Date]],$B122,TableTime[[Activity]:[Activity]],R$1))</f>
        <v/>
      </c>
      <c r="S122" s="131" t="str">
        <f>IF(SUMIFS(TableTime[[Duration]:[Duration]],TableTime[[Date]:[Date]],$B122,TableTime[[Activity]:[Activity]],S$1)=0,"",SUMIFS(TableTime[[Duration]:[Duration]],TableTime[[Date]:[Date]],$B122,TableTime[[Activity]:[Activity]],S$1))</f>
        <v/>
      </c>
      <c r="T122" s="62" t="str">
        <f>IF(SUMIFS(TableTime[[Duration]:[Duration]],TableTime[[Date]:[Date]],$B122,TableTime[[Activity]:[Activity]],T$1)=0,"",SUMIFS(TableTime[[Duration]:[Duration]],TableTime[[Date]:[Date]],$B122,TableTime[[Activity]:[Activity]],T$1))</f>
        <v/>
      </c>
      <c r="U122" s="64" t="str">
        <f>IF(SUMIFS(TableTime[[Duration]:[Duration]],TableTime[[Date]:[Date]],$B122,TableTime[[Activity]:[Activity]],U$1)=0,"",SUMIFS(TableTime[[Duration]:[Duration]],TableTime[[Date]:[Date]],$B122,TableTime[[Activity]:[Activity]],U$1))</f>
        <v/>
      </c>
    </row>
    <row r="123" spans="1:21" x14ac:dyDescent="0.35">
      <c r="A123" s="35" t="str">
        <f t="shared" si="6"/>
        <v>Tue</v>
      </c>
      <c r="B123" s="5">
        <f t="shared" si="8"/>
        <v>45048</v>
      </c>
      <c r="C123" s="1">
        <f t="shared" si="9"/>
        <v>5</v>
      </c>
      <c r="D123" s="2">
        <f t="shared" si="7"/>
        <v>18</v>
      </c>
      <c r="E123" s="102"/>
      <c r="F123" s="1" t="str">
        <f>IFERROR(IF(OR(WEEKDAY(B123,2)=6,WEEKDAY(B123,2)=7),'Month summary'!$D$11,IF(E123="",'Month summary'!$C$11,E123)),"")</f>
        <v>W</v>
      </c>
      <c r="G123" s="4">
        <f>IF(B123&lt;Time!$B$2,"",IF(F123='Month summary'!$C$11,'Month summary'!$F$2/24,IF(F123="H/2",'Month summary'!$F$2/24/2,0)))</f>
        <v>0.33333333333333331</v>
      </c>
      <c r="H123" s="4">
        <f t="shared" si="10"/>
        <v>0</v>
      </c>
      <c r="I123" s="4" t="str">
        <f t="shared" si="11"/>
        <v/>
      </c>
      <c r="J123" s="107"/>
      <c r="K123" s="38" t="str">
        <f>IFERROR(INDEX(TableTime[Time],MATCH(B123,TableTime[Date],0)),"")</f>
        <v/>
      </c>
      <c r="L123" s="4" t="str">
        <f>IF(SUMIFS(TableTime[Duration],TableTime[Date],B123,TableTime[Activity],Projects!$C$9)+SUMIFS(TableTime[Duration],TableTime[Date],B123,TableTime[Activity],Projects!$C$10)+SUMIFS(TableTime[Duration],TableTime[Date],B123,TableTime[Activity],Projects!$C$11)=0,"",SUMIFS(TableTime[Duration],TableTime[Date],B123,TableTime[Activity],Projects!$C$9)+SUMIFS(TableTime[Duration],TableTime[Date],B123,TableTime[Activity],Projects!$C$10)+SUMIFS(TableTime[Duration],TableTime[Date],B123,TableTime[Activity],Projects!$C$11))</f>
        <v/>
      </c>
      <c r="M123" s="4" t="str" cm="1">
        <f t="array" ref="M123">IFERROR(LOOKUP(2,1/(TableTime[Date]=B123),TableTime[Time]),"")</f>
        <v/>
      </c>
      <c r="N123" s="38" t="str">
        <f>IF(SUMIFS(TableTime[[Duration]:[Duration]],TableTime[[Date]:[Date]],$B123,TableTime[[Activity]:[Activity]],N$1)=0,"",SUMIFS(TableTime[[Duration]:[Duration]],TableTime[[Date]:[Date]],$B123,TableTime[[Activity]:[Activity]],N$1))</f>
        <v/>
      </c>
      <c r="O123" s="4" t="str">
        <f>IF(SUMIFS(TableTime[[Duration]:[Duration]],TableTime[[Date]:[Date]],$B123,TableTime[[Activity]:[Activity]],O$1)=0,"",SUMIFS(TableTime[[Duration]:[Duration]],TableTime[[Date]:[Date]],$B123,TableTime[[Activity]:[Activity]],O$1))</f>
        <v/>
      </c>
      <c r="P123" s="4" t="str">
        <f>IF(SUMIFS(TableTime[[Duration]:[Duration]],TableTime[[Date]:[Date]],$B123,TableTime[[Activity]:[Activity]],P$1)=0,"",SUMIFS(TableTime[[Duration]:[Duration]],TableTime[[Date]:[Date]],$B123,TableTime[[Activity]:[Activity]],P$1))</f>
        <v/>
      </c>
      <c r="Q123" s="4" t="str">
        <f>IF(SUMIFS(TableTime[[Duration]:[Duration]],TableTime[[Date]:[Date]],$B123,TableTime[[Activity]:[Activity]],Q$1)=0,"",SUMIFS(TableTime[[Duration]:[Duration]],TableTime[[Date]:[Date]],$B123,TableTime[[Activity]:[Activity]],Q$1))</f>
        <v/>
      </c>
      <c r="R123" s="4" t="str">
        <f>IF(SUMIFS(TableTime[[Duration]:[Duration]],TableTime[[Date]:[Date]],$B123,TableTime[[Activity]:[Activity]],R$1)=0,"",SUMIFS(TableTime[[Duration]:[Duration]],TableTime[[Date]:[Date]],$B123,TableTime[[Activity]:[Activity]],R$1))</f>
        <v/>
      </c>
      <c r="S123" s="130" t="str">
        <f>IF(SUMIFS(TableTime[[Duration]:[Duration]],TableTime[[Date]:[Date]],$B123,TableTime[[Activity]:[Activity]],S$1)=0,"",SUMIFS(TableTime[[Duration]:[Duration]],TableTime[[Date]:[Date]],$B123,TableTime[[Activity]:[Activity]],S$1))</f>
        <v/>
      </c>
      <c r="T123" s="4" t="str">
        <f>IF(SUMIFS(TableTime[[Duration]:[Duration]],TableTime[[Date]:[Date]],$B123,TableTime[[Activity]:[Activity]],T$1)=0,"",SUMIFS(TableTime[[Duration]:[Duration]],TableTime[[Date]:[Date]],$B123,TableTime[[Activity]:[Activity]],T$1))</f>
        <v/>
      </c>
      <c r="U123" s="39" t="str">
        <f>IF(SUMIFS(TableTime[[Duration]:[Duration]],TableTime[[Date]:[Date]],$B123,TableTime[[Activity]:[Activity]],U$1)=0,"",SUMIFS(TableTime[[Duration]:[Duration]],TableTime[[Date]:[Date]],$B123,TableTime[[Activity]:[Activity]],U$1))</f>
        <v/>
      </c>
    </row>
    <row r="124" spans="1:21" x14ac:dyDescent="0.35">
      <c r="A124" s="59" t="str">
        <f t="shared" si="6"/>
        <v>Wed</v>
      </c>
      <c r="B124" s="91">
        <f t="shared" si="8"/>
        <v>45049</v>
      </c>
      <c r="C124" s="60">
        <f t="shared" si="9"/>
        <v>5</v>
      </c>
      <c r="D124" s="61">
        <f t="shared" si="7"/>
        <v>18</v>
      </c>
      <c r="E124" s="103"/>
      <c r="F124" s="60" t="str">
        <f>IFERROR(IF(OR(WEEKDAY(B124,2)=6,WEEKDAY(B124,2)=7),'Month summary'!$D$11,IF(E124="",'Month summary'!$C$11,E124)),"")</f>
        <v>W</v>
      </c>
      <c r="G124" s="62">
        <f>IF(B124&lt;Time!$B$2,"",IF(F124='Month summary'!$C$11,'Month summary'!$F$2/24,IF(F124="H/2",'Month summary'!$F$2/24/2,0)))</f>
        <v>0.33333333333333331</v>
      </c>
      <c r="H124" s="62">
        <f t="shared" si="10"/>
        <v>0</v>
      </c>
      <c r="I124" s="62" t="str">
        <f t="shared" si="11"/>
        <v/>
      </c>
      <c r="J124" s="108"/>
      <c r="K124" s="63" t="str">
        <f>IFERROR(INDEX(TableTime[Time],MATCH(B124,TableTime[Date],0)),"")</f>
        <v/>
      </c>
      <c r="L124" s="62" t="str">
        <f>IF(SUMIFS(TableTime[Duration],TableTime[Date],B124,TableTime[Activity],Projects!$C$9)+SUMIFS(TableTime[Duration],TableTime[Date],B124,TableTime[Activity],Projects!$C$10)+SUMIFS(TableTime[Duration],TableTime[Date],B124,TableTime[Activity],Projects!$C$11)=0,"",SUMIFS(TableTime[Duration],TableTime[Date],B124,TableTime[Activity],Projects!$C$9)+SUMIFS(TableTime[Duration],TableTime[Date],B124,TableTime[Activity],Projects!$C$10)+SUMIFS(TableTime[Duration],TableTime[Date],B124,TableTime[Activity],Projects!$C$11))</f>
        <v/>
      </c>
      <c r="M124" s="62" t="str" cm="1">
        <f t="array" ref="M124">IFERROR(LOOKUP(2,1/(TableTime[Date]=B124),TableTime[Time]),"")</f>
        <v/>
      </c>
      <c r="N124" s="63" t="str">
        <f>IF(SUMIFS(TableTime[[Duration]:[Duration]],TableTime[[Date]:[Date]],$B124,TableTime[[Activity]:[Activity]],N$1)=0,"",SUMIFS(TableTime[[Duration]:[Duration]],TableTime[[Date]:[Date]],$B124,TableTime[[Activity]:[Activity]],N$1))</f>
        <v/>
      </c>
      <c r="O124" s="62" t="str">
        <f>IF(SUMIFS(TableTime[[Duration]:[Duration]],TableTime[[Date]:[Date]],$B124,TableTime[[Activity]:[Activity]],O$1)=0,"",SUMIFS(TableTime[[Duration]:[Duration]],TableTime[[Date]:[Date]],$B124,TableTime[[Activity]:[Activity]],O$1))</f>
        <v/>
      </c>
      <c r="P124" s="62" t="str">
        <f>IF(SUMIFS(TableTime[[Duration]:[Duration]],TableTime[[Date]:[Date]],$B124,TableTime[[Activity]:[Activity]],P$1)=0,"",SUMIFS(TableTime[[Duration]:[Duration]],TableTime[[Date]:[Date]],$B124,TableTime[[Activity]:[Activity]],P$1))</f>
        <v/>
      </c>
      <c r="Q124" s="62" t="str">
        <f>IF(SUMIFS(TableTime[[Duration]:[Duration]],TableTime[[Date]:[Date]],$B124,TableTime[[Activity]:[Activity]],Q$1)=0,"",SUMIFS(TableTime[[Duration]:[Duration]],TableTime[[Date]:[Date]],$B124,TableTime[[Activity]:[Activity]],Q$1))</f>
        <v/>
      </c>
      <c r="R124" s="62" t="str">
        <f>IF(SUMIFS(TableTime[[Duration]:[Duration]],TableTime[[Date]:[Date]],$B124,TableTime[[Activity]:[Activity]],R$1)=0,"",SUMIFS(TableTime[[Duration]:[Duration]],TableTime[[Date]:[Date]],$B124,TableTime[[Activity]:[Activity]],R$1))</f>
        <v/>
      </c>
      <c r="S124" s="131" t="str">
        <f>IF(SUMIFS(TableTime[[Duration]:[Duration]],TableTime[[Date]:[Date]],$B124,TableTime[[Activity]:[Activity]],S$1)=0,"",SUMIFS(TableTime[[Duration]:[Duration]],TableTime[[Date]:[Date]],$B124,TableTime[[Activity]:[Activity]],S$1))</f>
        <v/>
      </c>
      <c r="T124" s="62" t="str">
        <f>IF(SUMIFS(TableTime[[Duration]:[Duration]],TableTime[[Date]:[Date]],$B124,TableTime[[Activity]:[Activity]],T$1)=0,"",SUMIFS(TableTime[[Duration]:[Duration]],TableTime[[Date]:[Date]],$B124,TableTime[[Activity]:[Activity]],T$1))</f>
        <v/>
      </c>
      <c r="U124" s="64" t="str">
        <f>IF(SUMIFS(TableTime[[Duration]:[Duration]],TableTime[[Date]:[Date]],$B124,TableTime[[Activity]:[Activity]],U$1)=0,"",SUMIFS(TableTime[[Duration]:[Duration]],TableTime[[Date]:[Date]],$B124,TableTime[[Activity]:[Activity]],U$1))</f>
        <v/>
      </c>
    </row>
    <row r="125" spans="1:21" x14ac:dyDescent="0.35">
      <c r="A125" s="35" t="str">
        <f t="shared" si="6"/>
        <v>Thr</v>
      </c>
      <c r="B125" s="5">
        <f t="shared" si="8"/>
        <v>45050</v>
      </c>
      <c r="C125" s="1">
        <f t="shared" si="9"/>
        <v>5</v>
      </c>
      <c r="D125" s="2">
        <f t="shared" si="7"/>
        <v>18</v>
      </c>
      <c r="E125" s="102"/>
      <c r="F125" s="1" t="str">
        <f>IFERROR(IF(OR(WEEKDAY(B125,2)=6,WEEKDAY(B125,2)=7),'Month summary'!$D$11,IF(E125="",'Month summary'!$C$11,E125)),"")</f>
        <v>W</v>
      </c>
      <c r="G125" s="4">
        <f>IF(B125&lt;Time!$B$2,"",IF(F125='Month summary'!$C$11,'Month summary'!$F$2/24,IF(F125="H/2",'Month summary'!$F$2/24/2,0)))</f>
        <v>0.33333333333333331</v>
      </c>
      <c r="H125" s="4">
        <f t="shared" si="10"/>
        <v>0</v>
      </c>
      <c r="I125" s="4" t="str">
        <f t="shared" si="11"/>
        <v/>
      </c>
      <c r="J125" s="107"/>
      <c r="K125" s="38" t="str">
        <f>IFERROR(INDEX(TableTime[Time],MATCH(B125,TableTime[Date],0)),"")</f>
        <v/>
      </c>
      <c r="L125" s="4" t="str">
        <f>IF(SUMIFS(TableTime[Duration],TableTime[Date],B125,TableTime[Activity],Projects!$C$9)+SUMIFS(TableTime[Duration],TableTime[Date],B125,TableTime[Activity],Projects!$C$10)+SUMIFS(TableTime[Duration],TableTime[Date],B125,TableTime[Activity],Projects!$C$11)=0,"",SUMIFS(TableTime[Duration],TableTime[Date],B125,TableTime[Activity],Projects!$C$9)+SUMIFS(TableTime[Duration],TableTime[Date],B125,TableTime[Activity],Projects!$C$10)+SUMIFS(TableTime[Duration],TableTime[Date],B125,TableTime[Activity],Projects!$C$11))</f>
        <v/>
      </c>
      <c r="M125" s="4" t="str" cm="1">
        <f t="array" ref="M125">IFERROR(LOOKUP(2,1/(TableTime[Date]=B125),TableTime[Time]),"")</f>
        <v/>
      </c>
      <c r="N125" s="38" t="str">
        <f>IF(SUMIFS(TableTime[[Duration]:[Duration]],TableTime[[Date]:[Date]],$B125,TableTime[[Activity]:[Activity]],N$1)=0,"",SUMIFS(TableTime[[Duration]:[Duration]],TableTime[[Date]:[Date]],$B125,TableTime[[Activity]:[Activity]],N$1))</f>
        <v/>
      </c>
      <c r="O125" s="4" t="str">
        <f>IF(SUMIFS(TableTime[[Duration]:[Duration]],TableTime[[Date]:[Date]],$B125,TableTime[[Activity]:[Activity]],O$1)=0,"",SUMIFS(TableTime[[Duration]:[Duration]],TableTime[[Date]:[Date]],$B125,TableTime[[Activity]:[Activity]],O$1))</f>
        <v/>
      </c>
      <c r="P125" s="4" t="str">
        <f>IF(SUMIFS(TableTime[[Duration]:[Duration]],TableTime[[Date]:[Date]],$B125,TableTime[[Activity]:[Activity]],P$1)=0,"",SUMIFS(TableTime[[Duration]:[Duration]],TableTime[[Date]:[Date]],$B125,TableTime[[Activity]:[Activity]],P$1))</f>
        <v/>
      </c>
      <c r="Q125" s="4" t="str">
        <f>IF(SUMIFS(TableTime[[Duration]:[Duration]],TableTime[[Date]:[Date]],$B125,TableTime[[Activity]:[Activity]],Q$1)=0,"",SUMIFS(TableTime[[Duration]:[Duration]],TableTime[[Date]:[Date]],$B125,TableTime[[Activity]:[Activity]],Q$1))</f>
        <v/>
      </c>
      <c r="R125" s="4" t="str">
        <f>IF(SUMIFS(TableTime[[Duration]:[Duration]],TableTime[[Date]:[Date]],$B125,TableTime[[Activity]:[Activity]],R$1)=0,"",SUMIFS(TableTime[[Duration]:[Duration]],TableTime[[Date]:[Date]],$B125,TableTime[[Activity]:[Activity]],R$1))</f>
        <v/>
      </c>
      <c r="S125" s="130" t="str">
        <f>IF(SUMIFS(TableTime[[Duration]:[Duration]],TableTime[[Date]:[Date]],$B125,TableTime[[Activity]:[Activity]],S$1)=0,"",SUMIFS(TableTime[[Duration]:[Duration]],TableTime[[Date]:[Date]],$B125,TableTime[[Activity]:[Activity]],S$1))</f>
        <v/>
      </c>
      <c r="T125" s="4" t="str">
        <f>IF(SUMIFS(TableTime[[Duration]:[Duration]],TableTime[[Date]:[Date]],$B125,TableTime[[Activity]:[Activity]],T$1)=0,"",SUMIFS(TableTime[[Duration]:[Duration]],TableTime[[Date]:[Date]],$B125,TableTime[[Activity]:[Activity]],T$1))</f>
        <v/>
      </c>
      <c r="U125" s="39" t="str">
        <f>IF(SUMIFS(TableTime[[Duration]:[Duration]],TableTime[[Date]:[Date]],$B125,TableTime[[Activity]:[Activity]],U$1)=0,"",SUMIFS(TableTime[[Duration]:[Duration]],TableTime[[Date]:[Date]],$B125,TableTime[[Activity]:[Activity]],U$1))</f>
        <v/>
      </c>
    </row>
    <row r="126" spans="1:21" x14ac:dyDescent="0.35">
      <c r="A126" s="59" t="str">
        <f t="shared" si="6"/>
        <v>Fri</v>
      </c>
      <c r="B126" s="91">
        <f t="shared" si="8"/>
        <v>45051</v>
      </c>
      <c r="C126" s="60">
        <f t="shared" si="9"/>
        <v>5</v>
      </c>
      <c r="D126" s="61">
        <f t="shared" si="7"/>
        <v>18</v>
      </c>
      <c r="E126" s="103"/>
      <c r="F126" s="60" t="str">
        <f>IFERROR(IF(OR(WEEKDAY(B126,2)=6,WEEKDAY(B126,2)=7),'Month summary'!$D$11,IF(E126="",'Month summary'!$C$11,E126)),"")</f>
        <v>W</v>
      </c>
      <c r="G126" s="62">
        <f>IF(B126&lt;Time!$B$2,"",IF(F126='Month summary'!$C$11,'Month summary'!$F$2/24,IF(F126="H/2",'Month summary'!$F$2/24/2,0)))</f>
        <v>0.33333333333333331</v>
      </c>
      <c r="H126" s="62">
        <f t="shared" si="10"/>
        <v>0</v>
      </c>
      <c r="I126" s="62" t="str">
        <f t="shared" si="11"/>
        <v/>
      </c>
      <c r="J126" s="108"/>
      <c r="K126" s="63" t="str">
        <f>IFERROR(INDEX(TableTime[Time],MATCH(B126,TableTime[Date],0)),"")</f>
        <v/>
      </c>
      <c r="L126" s="62" t="str">
        <f>IF(SUMIFS(TableTime[Duration],TableTime[Date],B126,TableTime[Activity],Projects!$C$9)+SUMIFS(TableTime[Duration],TableTime[Date],B126,TableTime[Activity],Projects!$C$10)+SUMIFS(TableTime[Duration],TableTime[Date],B126,TableTime[Activity],Projects!$C$11)=0,"",SUMIFS(TableTime[Duration],TableTime[Date],B126,TableTime[Activity],Projects!$C$9)+SUMIFS(TableTime[Duration],TableTime[Date],B126,TableTime[Activity],Projects!$C$10)+SUMIFS(TableTime[Duration],TableTime[Date],B126,TableTime[Activity],Projects!$C$11))</f>
        <v/>
      </c>
      <c r="M126" s="62" t="str" cm="1">
        <f t="array" ref="M126">IFERROR(LOOKUP(2,1/(TableTime[Date]=B126),TableTime[Time]),"")</f>
        <v/>
      </c>
      <c r="N126" s="63" t="str">
        <f>IF(SUMIFS(TableTime[[Duration]:[Duration]],TableTime[[Date]:[Date]],$B126,TableTime[[Activity]:[Activity]],N$1)=0,"",SUMIFS(TableTime[[Duration]:[Duration]],TableTime[[Date]:[Date]],$B126,TableTime[[Activity]:[Activity]],N$1))</f>
        <v/>
      </c>
      <c r="O126" s="62" t="str">
        <f>IF(SUMIFS(TableTime[[Duration]:[Duration]],TableTime[[Date]:[Date]],$B126,TableTime[[Activity]:[Activity]],O$1)=0,"",SUMIFS(TableTime[[Duration]:[Duration]],TableTime[[Date]:[Date]],$B126,TableTime[[Activity]:[Activity]],O$1))</f>
        <v/>
      </c>
      <c r="P126" s="62" t="str">
        <f>IF(SUMIFS(TableTime[[Duration]:[Duration]],TableTime[[Date]:[Date]],$B126,TableTime[[Activity]:[Activity]],P$1)=0,"",SUMIFS(TableTime[[Duration]:[Duration]],TableTime[[Date]:[Date]],$B126,TableTime[[Activity]:[Activity]],P$1))</f>
        <v/>
      </c>
      <c r="Q126" s="62" t="str">
        <f>IF(SUMIFS(TableTime[[Duration]:[Duration]],TableTime[[Date]:[Date]],$B126,TableTime[[Activity]:[Activity]],Q$1)=0,"",SUMIFS(TableTime[[Duration]:[Duration]],TableTime[[Date]:[Date]],$B126,TableTime[[Activity]:[Activity]],Q$1))</f>
        <v/>
      </c>
      <c r="R126" s="62" t="str">
        <f>IF(SUMIFS(TableTime[[Duration]:[Duration]],TableTime[[Date]:[Date]],$B126,TableTime[[Activity]:[Activity]],R$1)=0,"",SUMIFS(TableTime[[Duration]:[Duration]],TableTime[[Date]:[Date]],$B126,TableTime[[Activity]:[Activity]],R$1))</f>
        <v/>
      </c>
      <c r="S126" s="131" t="str">
        <f>IF(SUMIFS(TableTime[[Duration]:[Duration]],TableTime[[Date]:[Date]],$B126,TableTime[[Activity]:[Activity]],S$1)=0,"",SUMIFS(TableTime[[Duration]:[Duration]],TableTime[[Date]:[Date]],$B126,TableTime[[Activity]:[Activity]],S$1))</f>
        <v/>
      </c>
      <c r="T126" s="62" t="str">
        <f>IF(SUMIFS(TableTime[[Duration]:[Duration]],TableTime[[Date]:[Date]],$B126,TableTime[[Activity]:[Activity]],T$1)=0,"",SUMIFS(TableTime[[Duration]:[Duration]],TableTime[[Date]:[Date]],$B126,TableTime[[Activity]:[Activity]],T$1))</f>
        <v/>
      </c>
      <c r="U126" s="64" t="str">
        <f>IF(SUMIFS(TableTime[[Duration]:[Duration]],TableTime[[Date]:[Date]],$B126,TableTime[[Activity]:[Activity]],U$1)=0,"",SUMIFS(TableTime[[Duration]:[Duration]],TableTime[[Date]:[Date]],$B126,TableTime[[Activity]:[Activity]],U$1))</f>
        <v/>
      </c>
    </row>
    <row r="127" spans="1:21" x14ac:dyDescent="0.35">
      <c r="A127" s="35" t="str">
        <f t="shared" si="6"/>
        <v>Sat</v>
      </c>
      <c r="B127" s="5">
        <f t="shared" si="8"/>
        <v>45052</v>
      </c>
      <c r="C127" s="1">
        <f t="shared" si="9"/>
        <v>5</v>
      </c>
      <c r="D127" s="2">
        <f t="shared" si="7"/>
        <v>18</v>
      </c>
      <c r="E127" s="102"/>
      <c r="F127" s="1" t="str">
        <f>IFERROR(IF(OR(WEEKDAY(B127,2)=6,WEEKDAY(B127,2)=7),'Month summary'!$D$11,IF(E127="",'Month summary'!$C$11,E127)),"")</f>
        <v>WE</v>
      </c>
      <c r="G127" s="4">
        <f>IF(B127&lt;Time!$B$2,"",IF(F127='Month summary'!$C$11,'Month summary'!$F$2/24,IF(F127="H/2",'Month summary'!$F$2/24/2,0)))</f>
        <v>0</v>
      </c>
      <c r="H127" s="4">
        <f t="shared" si="10"/>
        <v>0</v>
      </c>
      <c r="I127" s="4" t="str">
        <f t="shared" si="11"/>
        <v/>
      </c>
      <c r="J127" s="107"/>
      <c r="K127" s="38" t="str">
        <f>IFERROR(INDEX(TableTime[Time],MATCH(B127,TableTime[Date],0)),"")</f>
        <v/>
      </c>
      <c r="L127" s="4" t="str">
        <f>IF(SUMIFS(TableTime[Duration],TableTime[Date],B127,TableTime[Activity],Projects!$C$9)+SUMIFS(TableTime[Duration],TableTime[Date],B127,TableTime[Activity],Projects!$C$10)+SUMIFS(TableTime[Duration],TableTime[Date],B127,TableTime[Activity],Projects!$C$11)=0,"",SUMIFS(TableTime[Duration],TableTime[Date],B127,TableTime[Activity],Projects!$C$9)+SUMIFS(TableTime[Duration],TableTime[Date],B127,TableTime[Activity],Projects!$C$10)+SUMIFS(TableTime[Duration],TableTime[Date],B127,TableTime[Activity],Projects!$C$11))</f>
        <v/>
      </c>
      <c r="M127" s="4" t="str" cm="1">
        <f t="array" ref="M127">IFERROR(LOOKUP(2,1/(TableTime[Date]=B127),TableTime[Time]),"")</f>
        <v/>
      </c>
      <c r="N127" s="38" t="str">
        <f>IF(SUMIFS(TableTime[[Duration]:[Duration]],TableTime[[Date]:[Date]],$B127,TableTime[[Activity]:[Activity]],N$1)=0,"",SUMIFS(TableTime[[Duration]:[Duration]],TableTime[[Date]:[Date]],$B127,TableTime[[Activity]:[Activity]],N$1))</f>
        <v/>
      </c>
      <c r="O127" s="4" t="str">
        <f>IF(SUMIFS(TableTime[[Duration]:[Duration]],TableTime[[Date]:[Date]],$B127,TableTime[[Activity]:[Activity]],O$1)=0,"",SUMIFS(TableTime[[Duration]:[Duration]],TableTime[[Date]:[Date]],$B127,TableTime[[Activity]:[Activity]],O$1))</f>
        <v/>
      </c>
      <c r="P127" s="4" t="str">
        <f>IF(SUMIFS(TableTime[[Duration]:[Duration]],TableTime[[Date]:[Date]],$B127,TableTime[[Activity]:[Activity]],P$1)=0,"",SUMIFS(TableTime[[Duration]:[Duration]],TableTime[[Date]:[Date]],$B127,TableTime[[Activity]:[Activity]],P$1))</f>
        <v/>
      </c>
      <c r="Q127" s="4" t="str">
        <f>IF(SUMIFS(TableTime[[Duration]:[Duration]],TableTime[[Date]:[Date]],$B127,TableTime[[Activity]:[Activity]],Q$1)=0,"",SUMIFS(TableTime[[Duration]:[Duration]],TableTime[[Date]:[Date]],$B127,TableTime[[Activity]:[Activity]],Q$1))</f>
        <v/>
      </c>
      <c r="R127" s="4" t="str">
        <f>IF(SUMIFS(TableTime[[Duration]:[Duration]],TableTime[[Date]:[Date]],$B127,TableTime[[Activity]:[Activity]],R$1)=0,"",SUMIFS(TableTime[[Duration]:[Duration]],TableTime[[Date]:[Date]],$B127,TableTime[[Activity]:[Activity]],R$1))</f>
        <v/>
      </c>
      <c r="S127" s="130" t="str">
        <f>IF(SUMIFS(TableTime[[Duration]:[Duration]],TableTime[[Date]:[Date]],$B127,TableTime[[Activity]:[Activity]],S$1)=0,"",SUMIFS(TableTime[[Duration]:[Duration]],TableTime[[Date]:[Date]],$B127,TableTime[[Activity]:[Activity]],S$1))</f>
        <v/>
      </c>
      <c r="T127" s="4" t="str">
        <f>IF(SUMIFS(TableTime[[Duration]:[Duration]],TableTime[[Date]:[Date]],$B127,TableTime[[Activity]:[Activity]],T$1)=0,"",SUMIFS(TableTime[[Duration]:[Duration]],TableTime[[Date]:[Date]],$B127,TableTime[[Activity]:[Activity]],T$1))</f>
        <v/>
      </c>
      <c r="U127" s="39" t="str">
        <f>IF(SUMIFS(TableTime[[Duration]:[Duration]],TableTime[[Date]:[Date]],$B127,TableTime[[Activity]:[Activity]],U$1)=0,"",SUMIFS(TableTime[[Duration]:[Duration]],TableTime[[Date]:[Date]],$B127,TableTime[[Activity]:[Activity]],U$1))</f>
        <v/>
      </c>
    </row>
    <row r="128" spans="1:21" x14ac:dyDescent="0.35">
      <c r="A128" s="59" t="str">
        <f t="shared" si="6"/>
        <v>Sun</v>
      </c>
      <c r="B128" s="91">
        <f t="shared" si="8"/>
        <v>45053</v>
      </c>
      <c r="C128" s="60">
        <f t="shared" si="9"/>
        <v>5</v>
      </c>
      <c r="D128" s="61">
        <f t="shared" si="7"/>
        <v>18</v>
      </c>
      <c r="E128" s="103"/>
      <c r="F128" s="60" t="str">
        <f>IFERROR(IF(OR(WEEKDAY(B128,2)=6,WEEKDAY(B128,2)=7),'Month summary'!$D$11,IF(E128="",'Month summary'!$C$11,E128)),"")</f>
        <v>WE</v>
      </c>
      <c r="G128" s="62">
        <f>IF(B128&lt;Time!$B$2,"",IF(F128='Month summary'!$C$11,'Month summary'!$F$2/24,IF(F128="H/2",'Month summary'!$F$2/24/2,0)))</f>
        <v>0</v>
      </c>
      <c r="H128" s="62">
        <f t="shared" si="10"/>
        <v>0</v>
      </c>
      <c r="I128" s="62" t="str">
        <f t="shared" si="11"/>
        <v/>
      </c>
      <c r="J128" s="108"/>
      <c r="K128" s="63" t="str">
        <f>IFERROR(INDEX(TableTime[Time],MATCH(B128,TableTime[Date],0)),"")</f>
        <v/>
      </c>
      <c r="L128" s="62" t="str">
        <f>IF(SUMIFS(TableTime[Duration],TableTime[Date],B128,TableTime[Activity],Projects!$C$9)+SUMIFS(TableTime[Duration],TableTime[Date],B128,TableTime[Activity],Projects!$C$10)+SUMIFS(TableTime[Duration],TableTime[Date],B128,TableTime[Activity],Projects!$C$11)=0,"",SUMIFS(TableTime[Duration],TableTime[Date],B128,TableTime[Activity],Projects!$C$9)+SUMIFS(TableTime[Duration],TableTime[Date],B128,TableTime[Activity],Projects!$C$10)+SUMIFS(TableTime[Duration],TableTime[Date],B128,TableTime[Activity],Projects!$C$11))</f>
        <v/>
      </c>
      <c r="M128" s="62" t="str" cm="1">
        <f t="array" ref="M128">IFERROR(LOOKUP(2,1/(TableTime[Date]=B128),TableTime[Time]),"")</f>
        <v/>
      </c>
      <c r="N128" s="63" t="str">
        <f>IF(SUMIFS(TableTime[[Duration]:[Duration]],TableTime[[Date]:[Date]],$B128,TableTime[[Activity]:[Activity]],N$1)=0,"",SUMIFS(TableTime[[Duration]:[Duration]],TableTime[[Date]:[Date]],$B128,TableTime[[Activity]:[Activity]],N$1))</f>
        <v/>
      </c>
      <c r="O128" s="62" t="str">
        <f>IF(SUMIFS(TableTime[[Duration]:[Duration]],TableTime[[Date]:[Date]],$B128,TableTime[[Activity]:[Activity]],O$1)=0,"",SUMIFS(TableTime[[Duration]:[Duration]],TableTime[[Date]:[Date]],$B128,TableTime[[Activity]:[Activity]],O$1))</f>
        <v/>
      </c>
      <c r="P128" s="62" t="str">
        <f>IF(SUMIFS(TableTime[[Duration]:[Duration]],TableTime[[Date]:[Date]],$B128,TableTime[[Activity]:[Activity]],P$1)=0,"",SUMIFS(TableTime[[Duration]:[Duration]],TableTime[[Date]:[Date]],$B128,TableTime[[Activity]:[Activity]],P$1))</f>
        <v/>
      </c>
      <c r="Q128" s="62" t="str">
        <f>IF(SUMIFS(TableTime[[Duration]:[Duration]],TableTime[[Date]:[Date]],$B128,TableTime[[Activity]:[Activity]],Q$1)=0,"",SUMIFS(TableTime[[Duration]:[Duration]],TableTime[[Date]:[Date]],$B128,TableTime[[Activity]:[Activity]],Q$1))</f>
        <v/>
      </c>
      <c r="R128" s="62" t="str">
        <f>IF(SUMIFS(TableTime[[Duration]:[Duration]],TableTime[[Date]:[Date]],$B128,TableTime[[Activity]:[Activity]],R$1)=0,"",SUMIFS(TableTime[[Duration]:[Duration]],TableTime[[Date]:[Date]],$B128,TableTime[[Activity]:[Activity]],R$1))</f>
        <v/>
      </c>
      <c r="S128" s="131" t="str">
        <f>IF(SUMIFS(TableTime[[Duration]:[Duration]],TableTime[[Date]:[Date]],$B128,TableTime[[Activity]:[Activity]],S$1)=0,"",SUMIFS(TableTime[[Duration]:[Duration]],TableTime[[Date]:[Date]],$B128,TableTime[[Activity]:[Activity]],S$1))</f>
        <v/>
      </c>
      <c r="T128" s="62" t="str">
        <f>IF(SUMIFS(TableTime[[Duration]:[Duration]],TableTime[[Date]:[Date]],$B128,TableTime[[Activity]:[Activity]],T$1)=0,"",SUMIFS(TableTime[[Duration]:[Duration]],TableTime[[Date]:[Date]],$B128,TableTime[[Activity]:[Activity]],T$1))</f>
        <v/>
      </c>
      <c r="U128" s="64" t="str">
        <f>IF(SUMIFS(TableTime[[Duration]:[Duration]],TableTime[[Date]:[Date]],$B128,TableTime[[Activity]:[Activity]],U$1)=0,"",SUMIFS(TableTime[[Duration]:[Duration]],TableTime[[Date]:[Date]],$B128,TableTime[[Activity]:[Activity]],U$1))</f>
        <v/>
      </c>
    </row>
    <row r="129" spans="1:21" x14ac:dyDescent="0.35">
      <c r="A129" s="35" t="str">
        <f t="shared" si="6"/>
        <v>Mon</v>
      </c>
      <c r="B129" s="5">
        <f t="shared" si="8"/>
        <v>45054</v>
      </c>
      <c r="C129" s="1">
        <f t="shared" si="9"/>
        <v>5</v>
      </c>
      <c r="D129" s="2">
        <f t="shared" si="7"/>
        <v>19</v>
      </c>
      <c r="E129" s="102"/>
      <c r="F129" s="1" t="str">
        <f>IFERROR(IF(OR(WEEKDAY(B129,2)=6,WEEKDAY(B129,2)=7),'Month summary'!$D$11,IF(E129="",'Month summary'!$C$11,E129)),"")</f>
        <v>W</v>
      </c>
      <c r="G129" s="4">
        <f>IF(B129&lt;Time!$B$2,"",IF(F129='Month summary'!$C$11,'Month summary'!$F$2/24,IF(F129="H/2",'Month summary'!$F$2/24/2,0)))</f>
        <v>0.33333333333333331</v>
      </c>
      <c r="H129" s="4">
        <f t="shared" si="10"/>
        <v>0</v>
      </c>
      <c r="I129" s="4" t="str">
        <f t="shared" si="11"/>
        <v/>
      </c>
      <c r="J129" s="107"/>
      <c r="K129" s="38" t="str">
        <f>IFERROR(INDEX(TableTime[Time],MATCH(B129,TableTime[Date],0)),"")</f>
        <v/>
      </c>
      <c r="L129" s="4" t="str">
        <f>IF(SUMIFS(TableTime[Duration],TableTime[Date],B129,TableTime[Activity],Projects!$C$9)+SUMIFS(TableTime[Duration],TableTime[Date],B129,TableTime[Activity],Projects!$C$10)+SUMIFS(TableTime[Duration],TableTime[Date],B129,TableTime[Activity],Projects!$C$11)=0,"",SUMIFS(TableTime[Duration],TableTime[Date],B129,TableTime[Activity],Projects!$C$9)+SUMIFS(TableTime[Duration],TableTime[Date],B129,TableTime[Activity],Projects!$C$10)+SUMIFS(TableTime[Duration],TableTime[Date],B129,TableTime[Activity],Projects!$C$11))</f>
        <v/>
      </c>
      <c r="M129" s="4" t="str" cm="1">
        <f t="array" ref="M129">IFERROR(LOOKUP(2,1/(TableTime[Date]=B129),TableTime[Time]),"")</f>
        <v/>
      </c>
      <c r="N129" s="38" t="str">
        <f>IF(SUMIFS(TableTime[[Duration]:[Duration]],TableTime[[Date]:[Date]],$B129,TableTime[[Activity]:[Activity]],N$1)=0,"",SUMIFS(TableTime[[Duration]:[Duration]],TableTime[[Date]:[Date]],$B129,TableTime[[Activity]:[Activity]],N$1))</f>
        <v/>
      </c>
      <c r="O129" s="4" t="str">
        <f>IF(SUMIFS(TableTime[[Duration]:[Duration]],TableTime[[Date]:[Date]],$B129,TableTime[[Activity]:[Activity]],O$1)=0,"",SUMIFS(TableTime[[Duration]:[Duration]],TableTime[[Date]:[Date]],$B129,TableTime[[Activity]:[Activity]],O$1))</f>
        <v/>
      </c>
      <c r="P129" s="4" t="str">
        <f>IF(SUMIFS(TableTime[[Duration]:[Duration]],TableTime[[Date]:[Date]],$B129,TableTime[[Activity]:[Activity]],P$1)=0,"",SUMIFS(TableTime[[Duration]:[Duration]],TableTime[[Date]:[Date]],$B129,TableTime[[Activity]:[Activity]],P$1))</f>
        <v/>
      </c>
      <c r="Q129" s="4" t="str">
        <f>IF(SUMIFS(TableTime[[Duration]:[Duration]],TableTime[[Date]:[Date]],$B129,TableTime[[Activity]:[Activity]],Q$1)=0,"",SUMIFS(TableTime[[Duration]:[Duration]],TableTime[[Date]:[Date]],$B129,TableTime[[Activity]:[Activity]],Q$1))</f>
        <v/>
      </c>
      <c r="R129" s="4" t="str">
        <f>IF(SUMIFS(TableTime[[Duration]:[Duration]],TableTime[[Date]:[Date]],$B129,TableTime[[Activity]:[Activity]],R$1)=0,"",SUMIFS(TableTime[[Duration]:[Duration]],TableTime[[Date]:[Date]],$B129,TableTime[[Activity]:[Activity]],R$1))</f>
        <v/>
      </c>
      <c r="S129" s="130" t="str">
        <f>IF(SUMIFS(TableTime[[Duration]:[Duration]],TableTime[[Date]:[Date]],$B129,TableTime[[Activity]:[Activity]],S$1)=0,"",SUMIFS(TableTime[[Duration]:[Duration]],TableTime[[Date]:[Date]],$B129,TableTime[[Activity]:[Activity]],S$1))</f>
        <v/>
      </c>
      <c r="T129" s="4" t="str">
        <f>IF(SUMIFS(TableTime[[Duration]:[Duration]],TableTime[[Date]:[Date]],$B129,TableTime[[Activity]:[Activity]],T$1)=0,"",SUMIFS(TableTime[[Duration]:[Duration]],TableTime[[Date]:[Date]],$B129,TableTime[[Activity]:[Activity]],T$1))</f>
        <v/>
      </c>
      <c r="U129" s="39" t="str">
        <f>IF(SUMIFS(TableTime[[Duration]:[Duration]],TableTime[[Date]:[Date]],$B129,TableTime[[Activity]:[Activity]],U$1)=0,"",SUMIFS(TableTime[[Duration]:[Duration]],TableTime[[Date]:[Date]],$B129,TableTime[[Activity]:[Activity]],U$1))</f>
        <v/>
      </c>
    </row>
    <row r="130" spans="1:21" x14ac:dyDescent="0.35">
      <c r="A130" s="59" t="str">
        <f t="shared" ref="A130:A193" si="12">IFERROR(CHOOSE(WEEKDAY(B130,2),"Mon","Tue","Wed","Thr","Fri","Sat","Sun"),"")</f>
        <v>Tue</v>
      </c>
      <c r="B130" s="91">
        <f t="shared" si="8"/>
        <v>45055</v>
      </c>
      <c r="C130" s="60">
        <f t="shared" si="9"/>
        <v>5</v>
      </c>
      <c r="D130" s="61">
        <f t="shared" ref="D130:D193" si="13">IFERROR(WEEKNUM(B130,21),"")</f>
        <v>19</v>
      </c>
      <c r="E130" s="103"/>
      <c r="F130" s="60" t="str">
        <f>IFERROR(IF(OR(WEEKDAY(B130,2)=6,WEEKDAY(B130,2)=7),'Month summary'!$D$11,IF(E130="",'Month summary'!$C$11,E130)),"")</f>
        <v>W</v>
      </c>
      <c r="G130" s="62">
        <f>IF(B130&lt;Time!$B$2,"",IF(F130='Month summary'!$C$11,'Month summary'!$F$2/24,IF(F130="H/2",'Month summary'!$F$2/24/2,0)))</f>
        <v>0.33333333333333331</v>
      </c>
      <c r="H130" s="62">
        <f t="shared" si="10"/>
        <v>0</v>
      </c>
      <c r="I130" s="62" t="str">
        <f t="shared" si="11"/>
        <v/>
      </c>
      <c r="J130" s="108"/>
      <c r="K130" s="63" t="str">
        <f>IFERROR(INDEX(TableTime[Time],MATCH(B130,TableTime[Date],0)),"")</f>
        <v/>
      </c>
      <c r="L130" s="62" t="str">
        <f>IF(SUMIFS(TableTime[Duration],TableTime[Date],B130,TableTime[Activity],Projects!$C$9)+SUMIFS(TableTime[Duration],TableTime[Date],B130,TableTime[Activity],Projects!$C$10)+SUMIFS(TableTime[Duration],TableTime[Date],B130,TableTime[Activity],Projects!$C$11)=0,"",SUMIFS(TableTime[Duration],TableTime[Date],B130,TableTime[Activity],Projects!$C$9)+SUMIFS(TableTime[Duration],TableTime[Date],B130,TableTime[Activity],Projects!$C$10)+SUMIFS(TableTime[Duration],TableTime[Date],B130,TableTime[Activity],Projects!$C$11))</f>
        <v/>
      </c>
      <c r="M130" s="62" t="str" cm="1">
        <f t="array" ref="M130">IFERROR(LOOKUP(2,1/(TableTime[Date]=B130),TableTime[Time]),"")</f>
        <v/>
      </c>
      <c r="N130" s="63" t="str">
        <f>IF(SUMIFS(TableTime[[Duration]:[Duration]],TableTime[[Date]:[Date]],$B130,TableTime[[Activity]:[Activity]],N$1)=0,"",SUMIFS(TableTime[[Duration]:[Duration]],TableTime[[Date]:[Date]],$B130,TableTime[[Activity]:[Activity]],N$1))</f>
        <v/>
      </c>
      <c r="O130" s="62" t="str">
        <f>IF(SUMIFS(TableTime[[Duration]:[Duration]],TableTime[[Date]:[Date]],$B130,TableTime[[Activity]:[Activity]],O$1)=0,"",SUMIFS(TableTime[[Duration]:[Duration]],TableTime[[Date]:[Date]],$B130,TableTime[[Activity]:[Activity]],O$1))</f>
        <v/>
      </c>
      <c r="P130" s="62" t="str">
        <f>IF(SUMIFS(TableTime[[Duration]:[Duration]],TableTime[[Date]:[Date]],$B130,TableTime[[Activity]:[Activity]],P$1)=0,"",SUMIFS(TableTime[[Duration]:[Duration]],TableTime[[Date]:[Date]],$B130,TableTime[[Activity]:[Activity]],P$1))</f>
        <v/>
      </c>
      <c r="Q130" s="62" t="str">
        <f>IF(SUMIFS(TableTime[[Duration]:[Duration]],TableTime[[Date]:[Date]],$B130,TableTime[[Activity]:[Activity]],Q$1)=0,"",SUMIFS(TableTime[[Duration]:[Duration]],TableTime[[Date]:[Date]],$B130,TableTime[[Activity]:[Activity]],Q$1))</f>
        <v/>
      </c>
      <c r="R130" s="62" t="str">
        <f>IF(SUMIFS(TableTime[[Duration]:[Duration]],TableTime[[Date]:[Date]],$B130,TableTime[[Activity]:[Activity]],R$1)=0,"",SUMIFS(TableTime[[Duration]:[Duration]],TableTime[[Date]:[Date]],$B130,TableTime[[Activity]:[Activity]],R$1))</f>
        <v/>
      </c>
      <c r="S130" s="131" t="str">
        <f>IF(SUMIFS(TableTime[[Duration]:[Duration]],TableTime[[Date]:[Date]],$B130,TableTime[[Activity]:[Activity]],S$1)=0,"",SUMIFS(TableTime[[Duration]:[Duration]],TableTime[[Date]:[Date]],$B130,TableTime[[Activity]:[Activity]],S$1))</f>
        <v/>
      </c>
      <c r="T130" s="62" t="str">
        <f>IF(SUMIFS(TableTime[[Duration]:[Duration]],TableTime[[Date]:[Date]],$B130,TableTime[[Activity]:[Activity]],T$1)=0,"",SUMIFS(TableTime[[Duration]:[Duration]],TableTime[[Date]:[Date]],$B130,TableTime[[Activity]:[Activity]],T$1))</f>
        <v/>
      </c>
      <c r="U130" s="64" t="str">
        <f>IF(SUMIFS(TableTime[[Duration]:[Duration]],TableTime[[Date]:[Date]],$B130,TableTime[[Activity]:[Activity]],U$1)=0,"",SUMIFS(TableTime[[Duration]:[Duration]],TableTime[[Date]:[Date]],$B130,TableTime[[Activity]:[Activity]],U$1))</f>
        <v/>
      </c>
    </row>
    <row r="131" spans="1:21" x14ac:dyDescent="0.35">
      <c r="A131" s="35" t="str">
        <f t="shared" si="12"/>
        <v>Wed</v>
      </c>
      <c r="B131" s="5">
        <f t="shared" ref="B131:B194" si="14">IF(YEAR(B130+1)=Year,B130+1,"")</f>
        <v>45056</v>
      </c>
      <c r="C131" s="1">
        <f t="shared" ref="C131:C194" si="15">MONTH(B131)</f>
        <v>5</v>
      </c>
      <c r="D131" s="2">
        <f t="shared" si="13"/>
        <v>19</v>
      </c>
      <c r="E131" s="102"/>
      <c r="F131" s="1" t="str">
        <f>IFERROR(IF(OR(WEEKDAY(B131,2)=6,WEEKDAY(B131,2)=7),'Month summary'!$D$11,IF(E131="",'Month summary'!$C$11,E131)),"")</f>
        <v>W</v>
      </c>
      <c r="G131" s="4">
        <f>IF(B131&lt;Time!$B$2,"",IF(F131='Month summary'!$C$11,'Month summary'!$F$2/24,IF(F131="H/2",'Month summary'!$F$2/24/2,0)))</f>
        <v>0.33333333333333331</v>
      </c>
      <c r="H131" s="4">
        <f t="shared" ref="H131:H194" si="16">SUM(N131:S131)</f>
        <v>0</v>
      </c>
      <c r="I131" s="4" t="str">
        <f t="shared" ref="I131:I194" si="17">IF(ROUND(H131,2)=0,"",H131)</f>
        <v/>
      </c>
      <c r="J131" s="107"/>
      <c r="K131" s="38" t="str">
        <f>IFERROR(INDEX(TableTime[Time],MATCH(B131,TableTime[Date],0)),"")</f>
        <v/>
      </c>
      <c r="L131" s="4" t="str">
        <f>IF(SUMIFS(TableTime[Duration],TableTime[Date],B131,TableTime[Activity],Projects!$C$9)+SUMIFS(TableTime[Duration],TableTime[Date],B131,TableTime[Activity],Projects!$C$10)+SUMIFS(TableTime[Duration],TableTime[Date],B131,TableTime[Activity],Projects!$C$11)=0,"",SUMIFS(TableTime[Duration],TableTime[Date],B131,TableTime[Activity],Projects!$C$9)+SUMIFS(TableTime[Duration],TableTime[Date],B131,TableTime[Activity],Projects!$C$10)+SUMIFS(TableTime[Duration],TableTime[Date],B131,TableTime[Activity],Projects!$C$11))</f>
        <v/>
      </c>
      <c r="M131" s="4" t="str" cm="1">
        <f t="array" ref="M131">IFERROR(LOOKUP(2,1/(TableTime[Date]=B131),TableTime[Time]),"")</f>
        <v/>
      </c>
      <c r="N131" s="38" t="str">
        <f>IF(SUMIFS(TableTime[[Duration]:[Duration]],TableTime[[Date]:[Date]],$B131,TableTime[[Activity]:[Activity]],N$1)=0,"",SUMIFS(TableTime[[Duration]:[Duration]],TableTime[[Date]:[Date]],$B131,TableTime[[Activity]:[Activity]],N$1))</f>
        <v/>
      </c>
      <c r="O131" s="4" t="str">
        <f>IF(SUMIFS(TableTime[[Duration]:[Duration]],TableTime[[Date]:[Date]],$B131,TableTime[[Activity]:[Activity]],O$1)=0,"",SUMIFS(TableTime[[Duration]:[Duration]],TableTime[[Date]:[Date]],$B131,TableTime[[Activity]:[Activity]],O$1))</f>
        <v/>
      </c>
      <c r="P131" s="4" t="str">
        <f>IF(SUMIFS(TableTime[[Duration]:[Duration]],TableTime[[Date]:[Date]],$B131,TableTime[[Activity]:[Activity]],P$1)=0,"",SUMIFS(TableTime[[Duration]:[Duration]],TableTime[[Date]:[Date]],$B131,TableTime[[Activity]:[Activity]],P$1))</f>
        <v/>
      </c>
      <c r="Q131" s="4" t="str">
        <f>IF(SUMIFS(TableTime[[Duration]:[Duration]],TableTime[[Date]:[Date]],$B131,TableTime[[Activity]:[Activity]],Q$1)=0,"",SUMIFS(TableTime[[Duration]:[Duration]],TableTime[[Date]:[Date]],$B131,TableTime[[Activity]:[Activity]],Q$1))</f>
        <v/>
      </c>
      <c r="R131" s="4" t="str">
        <f>IF(SUMIFS(TableTime[[Duration]:[Duration]],TableTime[[Date]:[Date]],$B131,TableTime[[Activity]:[Activity]],R$1)=0,"",SUMIFS(TableTime[[Duration]:[Duration]],TableTime[[Date]:[Date]],$B131,TableTime[[Activity]:[Activity]],R$1))</f>
        <v/>
      </c>
      <c r="S131" s="130" t="str">
        <f>IF(SUMIFS(TableTime[[Duration]:[Duration]],TableTime[[Date]:[Date]],$B131,TableTime[[Activity]:[Activity]],S$1)=0,"",SUMIFS(TableTime[[Duration]:[Duration]],TableTime[[Date]:[Date]],$B131,TableTime[[Activity]:[Activity]],S$1))</f>
        <v/>
      </c>
      <c r="T131" s="4" t="str">
        <f>IF(SUMIFS(TableTime[[Duration]:[Duration]],TableTime[[Date]:[Date]],$B131,TableTime[[Activity]:[Activity]],T$1)=0,"",SUMIFS(TableTime[[Duration]:[Duration]],TableTime[[Date]:[Date]],$B131,TableTime[[Activity]:[Activity]],T$1))</f>
        <v/>
      </c>
      <c r="U131" s="39" t="str">
        <f>IF(SUMIFS(TableTime[[Duration]:[Duration]],TableTime[[Date]:[Date]],$B131,TableTime[[Activity]:[Activity]],U$1)=0,"",SUMIFS(TableTime[[Duration]:[Duration]],TableTime[[Date]:[Date]],$B131,TableTime[[Activity]:[Activity]],U$1))</f>
        <v/>
      </c>
    </row>
    <row r="132" spans="1:21" x14ac:dyDescent="0.35">
      <c r="A132" s="59" t="str">
        <f t="shared" si="12"/>
        <v>Thr</v>
      </c>
      <c r="B132" s="91">
        <f t="shared" si="14"/>
        <v>45057</v>
      </c>
      <c r="C132" s="60">
        <f t="shared" si="15"/>
        <v>5</v>
      </c>
      <c r="D132" s="61">
        <f t="shared" si="13"/>
        <v>19</v>
      </c>
      <c r="E132" s="103"/>
      <c r="F132" s="60" t="str">
        <f>IFERROR(IF(OR(WEEKDAY(B132,2)=6,WEEKDAY(B132,2)=7),'Month summary'!$D$11,IF(E132="",'Month summary'!$C$11,E132)),"")</f>
        <v>W</v>
      </c>
      <c r="G132" s="62">
        <f>IF(B132&lt;Time!$B$2,"",IF(F132='Month summary'!$C$11,'Month summary'!$F$2/24,IF(F132="H/2",'Month summary'!$F$2/24/2,0)))</f>
        <v>0.33333333333333331</v>
      </c>
      <c r="H132" s="62">
        <f t="shared" si="16"/>
        <v>0</v>
      </c>
      <c r="I132" s="62" t="str">
        <f t="shared" si="17"/>
        <v/>
      </c>
      <c r="J132" s="108"/>
      <c r="K132" s="63" t="str">
        <f>IFERROR(INDEX(TableTime[Time],MATCH(B132,TableTime[Date],0)),"")</f>
        <v/>
      </c>
      <c r="L132" s="62" t="str">
        <f>IF(SUMIFS(TableTime[Duration],TableTime[Date],B132,TableTime[Activity],Projects!$C$9)+SUMIFS(TableTime[Duration],TableTime[Date],B132,TableTime[Activity],Projects!$C$10)+SUMIFS(TableTime[Duration],TableTime[Date],B132,TableTime[Activity],Projects!$C$11)=0,"",SUMIFS(TableTime[Duration],TableTime[Date],B132,TableTime[Activity],Projects!$C$9)+SUMIFS(TableTime[Duration],TableTime[Date],B132,TableTime[Activity],Projects!$C$10)+SUMIFS(TableTime[Duration],TableTime[Date],B132,TableTime[Activity],Projects!$C$11))</f>
        <v/>
      </c>
      <c r="M132" s="62" t="str" cm="1">
        <f t="array" ref="M132">IFERROR(LOOKUP(2,1/(TableTime[Date]=B132),TableTime[Time]),"")</f>
        <v/>
      </c>
      <c r="N132" s="63" t="str">
        <f>IF(SUMIFS(TableTime[[Duration]:[Duration]],TableTime[[Date]:[Date]],$B132,TableTime[[Activity]:[Activity]],N$1)=0,"",SUMIFS(TableTime[[Duration]:[Duration]],TableTime[[Date]:[Date]],$B132,TableTime[[Activity]:[Activity]],N$1))</f>
        <v/>
      </c>
      <c r="O132" s="62" t="str">
        <f>IF(SUMIFS(TableTime[[Duration]:[Duration]],TableTime[[Date]:[Date]],$B132,TableTime[[Activity]:[Activity]],O$1)=0,"",SUMIFS(TableTime[[Duration]:[Duration]],TableTime[[Date]:[Date]],$B132,TableTime[[Activity]:[Activity]],O$1))</f>
        <v/>
      </c>
      <c r="P132" s="62" t="str">
        <f>IF(SUMIFS(TableTime[[Duration]:[Duration]],TableTime[[Date]:[Date]],$B132,TableTime[[Activity]:[Activity]],P$1)=0,"",SUMIFS(TableTime[[Duration]:[Duration]],TableTime[[Date]:[Date]],$B132,TableTime[[Activity]:[Activity]],P$1))</f>
        <v/>
      </c>
      <c r="Q132" s="62" t="str">
        <f>IF(SUMIFS(TableTime[[Duration]:[Duration]],TableTime[[Date]:[Date]],$B132,TableTime[[Activity]:[Activity]],Q$1)=0,"",SUMIFS(TableTime[[Duration]:[Duration]],TableTime[[Date]:[Date]],$B132,TableTime[[Activity]:[Activity]],Q$1))</f>
        <v/>
      </c>
      <c r="R132" s="62" t="str">
        <f>IF(SUMIFS(TableTime[[Duration]:[Duration]],TableTime[[Date]:[Date]],$B132,TableTime[[Activity]:[Activity]],R$1)=0,"",SUMIFS(TableTime[[Duration]:[Duration]],TableTime[[Date]:[Date]],$B132,TableTime[[Activity]:[Activity]],R$1))</f>
        <v/>
      </c>
      <c r="S132" s="131" t="str">
        <f>IF(SUMIFS(TableTime[[Duration]:[Duration]],TableTime[[Date]:[Date]],$B132,TableTime[[Activity]:[Activity]],S$1)=0,"",SUMIFS(TableTime[[Duration]:[Duration]],TableTime[[Date]:[Date]],$B132,TableTime[[Activity]:[Activity]],S$1))</f>
        <v/>
      </c>
      <c r="T132" s="62" t="str">
        <f>IF(SUMIFS(TableTime[[Duration]:[Duration]],TableTime[[Date]:[Date]],$B132,TableTime[[Activity]:[Activity]],T$1)=0,"",SUMIFS(TableTime[[Duration]:[Duration]],TableTime[[Date]:[Date]],$B132,TableTime[[Activity]:[Activity]],T$1))</f>
        <v/>
      </c>
      <c r="U132" s="64" t="str">
        <f>IF(SUMIFS(TableTime[[Duration]:[Duration]],TableTime[[Date]:[Date]],$B132,TableTime[[Activity]:[Activity]],U$1)=0,"",SUMIFS(TableTime[[Duration]:[Duration]],TableTime[[Date]:[Date]],$B132,TableTime[[Activity]:[Activity]],U$1))</f>
        <v/>
      </c>
    </row>
    <row r="133" spans="1:21" x14ac:dyDescent="0.35">
      <c r="A133" s="35" t="str">
        <f t="shared" si="12"/>
        <v>Fri</v>
      </c>
      <c r="B133" s="5">
        <f t="shared" si="14"/>
        <v>45058</v>
      </c>
      <c r="C133" s="1">
        <f t="shared" si="15"/>
        <v>5</v>
      </c>
      <c r="D133" s="2">
        <f t="shared" si="13"/>
        <v>19</v>
      </c>
      <c r="E133" s="102"/>
      <c r="F133" s="1" t="str">
        <f>IFERROR(IF(OR(WEEKDAY(B133,2)=6,WEEKDAY(B133,2)=7),'Month summary'!$D$11,IF(E133="",'Month summary'!$C$11,E133)),"")</f>
        <v>W</v>
      </c>
      <c r="G133" s="4">
        <f>IF(B133&lt;Time!$B$2,"",IF(F133='Month summary'!$C$11,'Month summary'!$F$2/24,IF(F133="H/2",'Month summary'!$F$2/24/2,0)))</f>
        <v>0.33333333333333331</v>
      </c>
      <c r="H133" s="4">
        <f t="shared" si="16"/>
        <v>0</v>
      </c>
      <c r="I133" s="4" t="str">
        <f t="shared" si="17"/>
        <v/>
      </c>
      <c r="J133" s="107"/>
      <c r="K133" s="38" t="str">
        <f>IFERROR(INDEX(TableTime[Time],MATCH(B133,TableTime[Date],0)),"")</f>
        <v/>
      </c>
      <c r="L133" s="4" t="str">
        <f>IF(SUMIFS(TableTime[Duration],TableTime[Date],B133,TableTime[Activity],Projects!$C$9)+SUMIFS(TableTime[Duration],TableTime[Date],B133,TableTime[Activity],Projects!$C$10)+SUMIFS(TableTime[Duration],TableTime[Date],B133,TableTime[Activity],Projects!$C$11)=0,"",SUMIFS(TableTime[Duration],TableTime[Date],B133,TableTime[Activity],Projects!$C$9)+SUMIFS(TableTime[Duration],TableTime[Date],B133,TableTime[Activity],Projects!$C$10)+SUMIFS(TableTime[Duration],TableTime[Date],B133,TableTime[Activity],Projects!$C$11))</f>
        <v/>
      </c>
      <c r="M133" s="4" t="str" cm="1">
        <f t="array" ref="M133">IFERROR(LOOKUP(2,1/(TableTime[Date]=B133),TableTime[Time]),"")</f>
        <v/>
      </c>
      <c r="N133" s="38" t="str">
        <f>IF(SUMIFS(TableTime[[Duration]:[Duration]],TableTime[[Date]:[Date]],$B133,TableTime[[Activity]:[Activity]],N$1)=0,"",SUMIFS(TableTime[[Duration]:[Duration]],TableTime[[Date]:[Date]],$B133,TableTime[[Activity]:[Activity]],N$1))</f>
        <v/>
      </c>
      <c r="O133" s="4" t="str">
        <f>IF(SUMIFS(TableTime[[Duration]:[Duration]],TableTime[[Date]:[Date]],$B133,TableTime[[Activity]:[Activity]],O$1)=0,"",SUMIFS(TableTime[[Duration]:[Duration]],TableTime[[Date]:[Date]],$B133,TableTime[[Activity]:[Activity]],O$1))</f>
        <v/>
      </c>
      <c r="P133" s="4" t="str">
        <f>IF(SUMIFS(TableTime[[Duration]:[Duration]],TableTime[[Date]:[Date]],$B133,TableTime[[Activity]:[Activity]],P$1)=0,"",SUMIFS(TableTime[[Duration]:[Duration]],TableTime[[Date]:[Date]],$B133,TableTime[[Activity]:[Activity]],P$1))</f>
        <v/>
      </c>
      <c r="Q133" s="4" t="str">
        <f>IF(SUMIFS(TableTime[[Duration]:[Duration]],TableTime[[Date]:[Date]],$B133,TableTime[[Activity]:[Activity]],Q$1)=0,"",SUMIFS(TableTime[[Duration]:[Duration]],TableTime[[Date]:[Date]],$B133,TableTime[[Activity]:[Activity]],Q$1))</f>
        <v/>
      </c>
      <c r="R133" s="4" t="str">
        <f>IF(SUMIFS(TableTime[[Duration]:[Duration]],TableTime[[Date]:[Date]],$B133,TableTime[[Activity]:[Activity]],R$1)=0,"",SUMIFS(TableTime[[Duration]:[Duration]],TableTime[[Date]:[Date]],$B133,TableTime[[Activity]:[Activity]],R$1))</f>
        <v/>
      </c>
      <c r="S133" s="130" t="str">
        <f>IF(SUMIFS(TableTime[[Duration]:[Duration]],TableTime[[Date]:[Date]],$B133,TableTime[[Activity]:[Activity]],S$1)=0,"",SUMIFS(TableTime[[Duration]:[Duration]],TableTime[[Date]:[Date]],$B133,TableTime[[Activity]:[Activity]],S$1))</f>
        <v/>
      </c>
      <c r="T133" s="4" t="str">
        <f>IF(SUMIFS(TableTime[[Duration]:[Duration]],TableTime[[Date]:[Date]],$B133,TableTime[[Activity]:[Activity]],T$1)=0,"",SUMIFS(TableTime[[Duration]:[Duration]],TableTime[[Date]:[Date]],$B133,TableTime[[Activity]:[Activity]],T$1))</f>
        <v/>
      </c>
      <c r="U133" s="39" t="str">
        <f>IF(SUMIFS(TableTime[[Duration]:[Duration]],TableTime[[Date]:[Date]],$B133,TableTime[[Activity]:[Activity]],U$1)=0,"",SUMIFS(TableTime[[Duration]:[Duration]],TableTime[[Date]:[Date]],$B133,TableTime[[Activity]:[Activity]],U$1))</f>
        <v/>
      </c>
    </row>
    <row r="134" spans="1:21" x14ac:dyDescent="0.35">
      <c r="A134" s="59" t="str">
        <f t="shared" si="12"/>
        <v>Sat</v>
      </c>
      <c r="B134" s="91">
        <f t="shared" si="14"/>
        <v>45059</v>
      </c>
      <c r="C134" s="60">
        <f t="shared" si="15"/>
        <v>5</v>
      </c>
      <c r="D134" s="61">
        <f t="shared" si="13"/>
        <v>19</v>
      </c>
      <c r="E134" s="103"/>
      <c r="F134" s="60" t="str">
        <f>IFERROR(IF(OR(WEEKDAY(B134,2)=6,WEEKDAY(B134,2)=7),'Month summary'!$D$11,IF(E134="",'Month summary'!$C$11,E134)),"")</f>
        <v>WE</v>
      </c>
      <c r="G134" s="62">
        <f>IF(B134&lt;Time!$B$2,"",IF(F134='Month summary'!$C$11,'Month summary'!$F$2/24,IF(F134="H/2",'Month summary'!$F$2/24/2,0)))</f>
        <v>0</v>
      </c>
      <c r="H134" s="62">
        <f t="shared" si="16"/>
        <v>0</v>
      </c>
      <c r="I134" s="62" t="str">
        <f t="shared" si="17"/>
        <v/>
      </c>
      <c r="J134" s="108"/>
      <c r="K134" s="63" t="str">
        <f>IFERROR(INDEX(TableTime[Time],MATCH(B134,TableTime[Date],0)),"")</f>
        <v/>
      </c>
      <c r="L134" s="62" t="str">
        <f>IF(SUMIFS(TableTime[Duration],TableTime[Date],B134,TableTime[Activity],Projects!$C$9)+SUMIFS(TableTime[Duration],TableTime[Date],B134,TableTime[Activity],Projects!$C$10)+SUMIFS(TableTime[Duration],TableTime[Date],B134,TableTime[Activity],Projects!$C$11)=0,"",SUMIFS(TableTime[Duration],TableTime[Date],B134,TableTime[Activity],Projects!$C$9)+SUMIFS(TableTime[Duration],TableTime[Date],B134,TableTime[Activity],Projects!$C$10)+SUMIFS(TableTime[Duration],TableTime[Date],B134,TableTime[Activity],Projects!$C$11))</f>
        <v/>
      </c>
      <c r="M134" s="62" t="str" cm="1">
        <f t="array" ref="M134">IFERROR(LOOKUP(2,1/(TableTime[Date]=B134),TableTime[Time]),"")</f>
        <v/>
      </c>
      <c r="N134" s="63" t="str">
        <f>IF(SUMIFS(TableTime[[Duration]:[Duration]],TableTime[[Date]:[Date]],$B134,TableTime[[Activity]:[Activity]],N$1)=0,"",SUMIFS(TableTime[[Duration]:[Duration]],TableTime[[Date]:[Date]],$B134,TableTime[[Activity]:[Activity]],N$1))</f>
        <v/>
      </c>
      <c r="O134" s="62" t="str">
        <f>IF(SUMIFS(TableTime[[Duration]:[Duration]],TableTime[[Date]:[Date]],$B134,TableTime[[Activity]:[Activity]],O$1)=0,"",SUMIFS(TableTime[[Duration]:[Duration]],TableTime[[Date]:[Date]],$B134,TableTime[[Activity]:[Activity]],O$1))</f>
        <v/>
      </c>
      <c r="P134" s="62" t="str">
        <f>IF(SUMIFS(TableTime[[Duration]:[Duration]],TableTime[[Date]:[Date]],$B134,TableTime[[Activity]:[Activity]],P$1)=0,"",SUMIFS(TableTime[[Duration]:[Duration]],TableTime[[Date]:[Date]],$B134,TableTime[[Activity]:[Activity]],P$1))</f>
        <v/>
      </c>
      <c r="Q134" s="62" t="str">
        <f>IF(SUMIFS(TableTime[[Duration]:[Duration]],TableTime[[Date]:[Date]],$B134,TableTime[[Activity]:[Activity]],Q$1)=0,"",SUMIFS(TableTime[[Duration]:[Duration]],TableTime[[Date]:[Date]],$B134,TableTime[[Activity]:[Activity]],Q$1))</f>
        <v/>
      </c>
      <c r="R134" s="62" t="str">
        <f>IF(SUMIFS(TableTime[[Duration]:[Duration]],TableTime[[Date]:[Date]],$B134,TableTime[[Activity]:[Activity]],R$1)=0,"",SUMIFS(TableTime[[Duration]:[Duration]],TableTime[[Date]:[Date]],$B134,TableTime[[Activity]:[Activity]],R$1))</f>
        <v/>
      </c>
      <c r="S134" s="131" t="str">
        <f>IF(SUMIFS(TableTime[[Duration]:[Duration]],TableTime[[Date]:[Date]],$B134,TableTime[[Activity]:[Activity]],S$1)=0,"",SUMIFS(TableTime[[Duration]:[Duration]],TableTime[[Date]:[Date]],$B134,TableTime[[Activity]:[Activity]],S$1))</f>
        <v/>
      </c>
      <c r="T134" s="62" t="str">
        <f>IF(SUMIFS(TableTime[[Duration]:[Duration]],TableTime[[Date]:[Date]],$B134,TableTime[[Activity]:[Activity]],T$1)=0,"",SUMIFS(TableTime[[Duration]:[Duration]],TableTime[[Date]:[Date]],$B134,TableTime[[Activity]:[Activity]],T$1))</f>
        <v/>
      </c>
      <c r="U134" s="64" t="str">
        <f>IF(SUMIFS(TableTime[[Duration]:[Duration]],TableTime[[Date]:[Date]],$B134,TableTime[[Activity]:[Activity]],U$1)=0,"",SUMIFS(TableTime[[Duration]:[Duration]],TableTime[[Date]:[Date]],$B134,TableTime[[Activity]:[Activity]],U$1))</f>
        <v/>
      </c>
    </row>
    <row r="135" spans="1:21" x14ac:dyDescent="0.35">
      <c r="A135" s="35" t="str">
        <f t="shared" si="12"/>
        <v>Sun</v>
      </c>
      <c r="B135" s="5">
        <f t="shared" si="14"/>
        <v>45060</v>
      </c>
      <c r="C135" s="1">
        <f t="shared" si="15"/>
        <v>5</v>
      </c>
      <c r="D135" s="2">
        <f t="shared" si="13"/>
        <v>19</v>
      </c>
      <c r="E135" s="102"/>
      <c r="F135" s="1" t="str">
        <f>IFERROR(IF(OR(WEEKDAY(B135,2)=6,WEEKDAY(B135,2)=7),'Month summary'!$D$11,IF(E135="",'Month summary'!$C$11,E135)),"")</f>
        <v>WE</v>
      </c>
      <c r="G135" s="4">
        <f>IF(B135&lt;Time!$B$2,"",IF(F135='Month summary'!$C$11,'Month summary'!$F$2/24,IF(F135="H/2",'Month summary'!$F$2/24/2,0)))</f>
        <v>0</v>
      </c>
      <c r="H135" s="4">
        <f t="shared" si="16"/>
        <v>0</v>
      </c>
      <c r="I135" s="4" t="str">
        <f t="shared" si="17"/>
        <v/>
      </c>
      <c r="J135" s="107"/>
      <c r="K135" s="38" t="str">
        <f>IFERROR(INDEX(TableTime[Time],MATCH(B135,TableTime[Date],0)),"")</f>
        <v/>
      </c>
      <c r="L135" s="4" t="str">
        <f>IF(SUMIFS(TableTime[Duration],TableTime[Date],B135,TableTime[Activity],Projects!$C$9)+SUMIFS(TableTime[Duration],TableTime[Date],B135,TableTime[Activity],Projects!$C$10)+SUMIFS(TableTime[Duration],TableTime[Date],B135,TableTime[Activity],Projects!$C$11)=0,"",SUMIFS(TableTime[Duration],TableTime[Date],B135,TableTime[Activity],Projects!$C$9)+SUMIFS(TableTime[Duration],TableTime[Date],B135,TableTime[Activity],Projects!$C$10)+SUMIFS(TableTime[Duration],TableTime[Date],B135,TableTime[Activity],Projects!$C$11))</f>
        <v/>
      </c>
      <c r="M135" s="4" t="str" cm="1">
        <f t="array" ref="M135">IFERROR(LOOKUP(2,1/(TableTime[Date]=B135),TableTime[Time]),"")</f>
        <v/>
      </c>
      <c r="N135" s="38" t="str">
        <f>IF(SUMIFS(TableTime[[Duration]:[Duration]],TableTime[[Date]:[Date]],$B135,TableTime[[Activity]:[Activity]],N$1)=0,"",SUMIFS(TableTime[[Duration]:[Duration]],TableTime[[Date]:[Date]],$B135,TableTime[[Activity]:[Activity]],N$1))</f>
        <v/>
      </c>
      <c r="O135" s="4" t="str">
        <f>IF(SUMIFS(TableTime[[Duration]:[Duration]],TableTime[[Date]:[Date]],$B135,TableTime[[Activity]:[Activity]],O$1)=0,"",SUMIFS(TableTime[[Duration]:[Duration]],TableTime[[Date]:[Date]],$B135,TableTime[[Activity]:[Activity]],O$1))</f>
        <v/>
      </c>
      <c r="P135" s="4" t="str">
        <f>IF(SUMIFS(TableTime[[Duration]:[Duration]],TableTime[[Date]:[Date]],$B135,TableTime[[Activity]:[Activity]],P$1)=0,"",SUMIFS(TableTime[[Duration]:[Duration]],TableTime[[Date]:[Date]],$B135,TableTime[[Activity]:[Activity]],P$1))</f>
        <v/>
      </c>
      <c r="Q135" s="4" t="str">
        <f>IF(SUMIFS(TableTime[[Duration]:[Duration]],TableTime[[Date]:[Date]],$B135,TableTime[[Activity]:[Activity]],Q$1)=0,"",SUMIFS(TableTime[[Duration]:[Duration]],TableTime[[Date]:[Date]],$B135,TableTime[[Activity]:[Activity]],Q$1))</f>
        <v/>
      </c>
      <c r="R135" s="4" t="str">
        <f>IF(SUMIFS(TableTime[[Duration]:[Duration]],TableTime[[Date]:[Date]],$B135,TableTime[[Activity]:[Activity]],R$1)=0,"",SUMIFS(TableTime[[Duration]:[Duration]],TableTime[[Date]:[Date]],$B135,TableTime[[Activity]:[Activity]],R$1))</f>
        <v/>
      </c>
      <c r="S135" s="130" t="str">
        <f>IF(SUMIFS(TableTime[[Duration]:[Duration]],TableTime[[Date]:[Date]],$B135,TableTime[[Activity]:[Activity]],S$1)=0,"",SUMIFS(TableTime[[Duration]:[Duration]],TableTime[[Date]:[Date]],$B135,TableTime[[Activity]:[Activity]],S$1))</f>
        <v/>
      </c>
      <c r="T135" s="4" t="str">
        <f>IF(SUMIFS(TableTime[[Duration]:[Duration]],TableTime[[Date]:[Date]],$B135,TableTime[[Activity]:[Activity]],T$1)=0,"",SUMIFS(TableTime[[Duration]:[Duration]],TableTime[[Date]:[Date]],$B135,TableTime[[Activity]:[Activity]],T$1))</f>
        <v/>
      </c>
      <c r="U135" s="39" t="str">
        <f>IF(SUMIFS(TableTime[[Duration]:[Duration]],TableTime[[Date]:[Date]],$B135,TableTime[[Activity]:[Activity]],U$1)=0,"",SUMIFS(TableTime[[Duration]:[Duration]],TableTime[[Date]:[Date]],$B135,TableTime[[Activity]:[Activity]],U$1))</f>
        <v/>
      </c>
    </row>
    <row r="136" spans="1:21" x14ac:dyDescent="0.35">
      <c r="A136" s="59" t="str">
        <f t="shared" si="12"/>
        <v>Mon</v>
      </c>
      <c r="B136" s="91">
        <f t="shared" si="14"/>
        <v>45061</v>
      </c>
      <c r="C136" s="60">
        <f t="shared" si="15"/>
        <v>5</v>
      </c>
      <c r="D136" s="61">
        <f t="shared" si="13"/>
        <v>20</v>
      </c>
      <c r="E136" s="103"/>
      <c r="F136" s="60" t="str">
        <f>IFERROR(IF(OR(WEEKDAY(B136,2)=6,WEEKDAY(B136,2)=7),'Month summary'!$D$11,IF(E136="",'Month summary'!$C$11,E136)),"")</f>
        <v>W</v>
      </c>
      <c r="G136" s="62">
        <f>IF(B136&lt;Time!$B$2,"",IF(F136='Month summary'!$C$11,'Month summary'!$F$2/24,IF(F136="H/2",'Month summary'!$F$2/24/2,0)))</f>
        <v>0.33333333333333331</v>
      </c>
      <c r="H136" s="62">
        <f t="shared" si="16"/>
        <v>0</v>
      </c>
      <c r="I136" s="62" t="str">
        <f t="shared" si="17"/>
        <v/>
      </c>
      <c r="J136" s="108"/>
      <c r="K136" s="63" t="str">
        <f>IFERROR(INDEX(TableTime[Time],MATCH(B136,TableTime[Date],0)),"")</f>
        <v/>
      </c>
      <c r="L136" s="62" t="str">
        <f>IF(SUMIFS(TableTime[Duration],TableTime[Date],B136,TableTime[Activity],Projects!$C$9)+SUMIFS(TableTime[Duration],TableTime[Date],B136,TableTime[Activity],Projects!$C$10)+SUMIFS(TableTime[Duration],TableTime[Date],B136,TableTime[Activity],Projects!$C$11)=0,"",SUMIFS(TableTime[Duration],TableTime[Date],B136,TableTime[Activity],Projects!$C$9)+SUMIFS(TableTime[Duration],TableTime[Date],B136,TableTime[Activity],Projects!$C$10)+SUMIFS(TableTime[Duration],TableTime[Date],B136,TableTime[Activity],Projects!$C$11))</f>
        <v/>
      </c>
      <c r="M136" s="62" t="str" cm="1">
        <f t="array" ref="M136">IFERROR(LOOKUP(2,1/(TableTime[Date]=B136),TableTime[Time]),"")</f>
        <v/>
      </c>
      <c r="N136" s="63" t="str">
        <f>IF(SUMIFS(TableTime[[Duration]:[Duration]],TableTime[[Date]:[Date]],$B136,TableTime[[Activity]:[Activity]],N$1)=0,"",SUMIFS(TableTime[[Duration]:[Duration]],TableTime[[Date]:[Date]],$B136,TableTime[[Activity]:[Activity]],N$1))</f>
        <v/>
      </c>
      <c r="O136" s="62" t="str">
        <f>IF(SUMIFS(TableTime[[Duration]:[Duration]],TableTime[[Date]:[Date]],$B136,TableTime[[Activity]:[Activity]],O$1)=0,"",SUMIFS(TableTime[[Duration]:[Duration]],TableTime[[Date]:[Date]],$B136,TableTime[[Activity]:[Activity]],O$1))</f>
        <v/>
      </c>
      <c r="P136" s="62" t="str">
        <f>IF(SUMIFS(TableTime[[Duration]:[Duration]],TableTime[[Date]:[Date]],$B136,TableTime[[Activity]:[Activity]],P$1)=0,"",SUMIFS(TableTime[[Duration]:[Duration]],TableTime[[Date]:[Date]],$B136,TableTime[[Activity]:[Activity]],P$1))</f>
        <v/>
      </c>
      <c r="Q136" s="62" t="str">
        <f>IF(SUMIFS(TableTime[[Duration]:[Duration]],TableTime[[Date]:[Date]],$B136,TableTime[[Activity]:[Activity]],Q$1)=0,"",SUMIFS(TableTime[[Duration]:[Duration]],TableTime[[Date]:[Date]],$B136,TableTime[[Activity]:[Activity]],Q$1))</f>
        <v/>
      </c>
      <c r="R136" s="62" t="str">
        <f>IF(SUMIFS(TableTime[[Duration]:[Duration]],TableTime[[Date]:[Date]],$B136,TableTime[[Activity]:[Activity]],R$1)=0,"",SUMIFS(TableTime[[Duration]:[Duration]],TableTime[[Date]:[Date]],$B136,TableTime[[Activity]:[Activity]],R$1))</f>
        <v/>
      </c>
      <c r="S136" s="131" t="str">
        <f>IF(SUMIFS(TableTime[[Duration]:[Duration]],TableTime[[Date]:[Date]],$B136,TableTime[[Activity]:[Activity]],S$1)=0,"",SUMIFS(TableTime[[Duration]:[Duration]],TableTime[[Date]:[Date]],$B136,TableTime[[Activity]:[Activity]],S$1))</f>
        <v/>
      </c>
      <c r="T136" s="62" t="str">
        <f>IF(SUMIFS(TableTime[[Duration]:[Duration]],TableTime[[Date]:[Date]],$B136,TableTime[[Activity]:[Activity]],T$1)=0,"",SUMIFS(TableTime[[Duration]:[Duration]],TableTime[[Date]:[Date]],$B136,TableTime[[Activity]:[Activity]],T$1))</f>
        <v/>
      </c>
      <c r="U136" s="64" t="str">
        <f>IF(SUMIFS(TableTime[[Duration]:[Duration]],TableTime[[Date]:[Date]],$B136,TableTime[[Activity]:[Activity]],U$1)=0,"",SUMIFS(TableTime[[Duration]:[Duration]],TableTime[[Date]:[Date]],$B136,TableTime[[Activity]:[Activity]],U$1))</f>
        <v/>
      </c>
    </row>
    <row r="137" spans="1:21" x14ac:dyDescent="0.35">
      <c r="A137" s="35" t="str">
        <f t="shared" si="12"/>
        <v>Tue</v>
      </c>
      <c r="B137" s="5">
        <f t="shared" si="14"/>
        <v>45062</v>
      </c>
      <c r="C137" s="1">
        <f t="shared" si="15"/>
        <v>5</v>
      </c>
      <c r="D137" s="2">
        <f t="shared" si="13"/>
        <v>20</v>
      </c>
      <c r="E137" s="102"/>
      <c r="F137" s="1" t="str">
        <f>IFERROR(IF(OR(WEEKDAY(B137,2)=6,WEEKDAY(B137,2)=7),'Month summary'!$D$11,IF(E137="",'Month summary'!$C$11,E137)),"")</f>
        <v>W</v>
      </c>
      <c r="G137" s="4">
        <f>IF(B137&lt;Time!$B$2,"",IF(F137='Month summary'!$C$11,'Month summary'!$F$2/24,IF(F137="H/2",'Month summary'!$F$2/24/2,0)))</f>
        <v>0.33333333333333331</v>
      </c>
      <c r="H137" s="4">
        <f t="shared" si="16"/>
        <v>0</v>
      </c>
      <c r="I137" s="4" t="str">
        <f t="shared" si="17"/>
        <v/>
      </c>
      <c r="J137" s="107"/>
      <c r="K137" s="38" t="str">
        <f>IFERROR(INDEX(TableTime[Time],MATCH(B137,TableTime[Date],0)),"")</f>
        <v/>
      </c>
      <c r="L137" s="4" t="str">
        <f>IF(SUMIFS(TableTime[Duration],TableTime[Date],B137,TableTime[Activity],Projects!$C$9)+SUMIFS(TableTime[Duration],TableTime[Date],B137,TableTime[Activity],Projects!$C$10)+SUMIFS(TableTime[Duration],TableTime[Date],B137,TableTime[Activity],Projects!$C$11)=0,"",SUMIFS(TableTime[Duration],TableTime[Date],B137,TableTime[Activity],Projects!$C$9)+SUMIFS(TableTime[Duration],TableTime[Date],B137,TableTime[Activity],Projects!$C$10)+SUMIFS(TableTime[Duration],TableTime[Date],B137,TableTime[Activity],Projects!$C$11))</f>
        <v/>
      </c>
      <c r="M137" s="4" t="str" cm="1">
        <f t="array" ref="M137">IFERROR(LOOKUP(2,1/(TableTime[Date]=B137),TableTime[Time]),"")</f>
        <v/>
      </c>
      <c r="N137" s="38" t="str">
        <f>IF(SUMIFS(TableTime[[Duration]:[Duration]],TableTime[[Date]:[Date]],$B137,TableTime[[Activity]:[Activity]],N$1)=0,"",SUMIFS(TableTime[[Duration]:[Duration]],TableTime[[Date]:[Date]],$B137,TableTime[[Activity]:[Activity]],N$1))</f>
        <v/>
      </c>
      <c r="O137" s="4" t="str">
        <f>IF(SUMIFS(TableTime[[Duration]:[Duration]],TableTime[[Date]:[Date]],$B137,TableTime[[Activity]:[Activity]],O$1)=0,"",SUMIFS(TableTime[[Duration]:[Duration]],TableTime[[Date]:[Date]],$B137,TableTime[[Activity]:[Activity]],O$1))</f>
        <v/>
      </c>
      <c r="P137" s="4" t="str">
        <f>IF(SUMIFS(TableTime[[Duration]:[Duration]],TableTime[[Date]:[Date]],$B137,TableTime[[Activity]:[Activity]],P$1)=0,"",SUMIFS(TableTime[[Duration]:[Duration]],TableTime[[Date]:[Date]],$B137,TableTime[[Activity]:[Activity]],P$1))</f>
        <v/>
      </c>
      <c r="Q137" s="4" t="str">
        <f>IF(SUMIFS(TableTime[[Duration]:[Duration]],TableTime[[Date]:[Date]],$B137,TableTime[[Activity]:[Activity]],Q$1)=0,"",SUMIFS(TableTime[[Duration]:[Duration]],TableTime[[Date]:[Date]],$B137,TableTime[[Activity]:[Activity]],Q$1))</f>
        <v/>
      </c>
      <c r="R137" s="4" t="str">
        <f>IF(SUMIFS(TableTime[[Duration]:[Duration]],TableTime[[Date]:[Date]],$B137,TableTime[[Activity]:[Activity]],R$1)=0,"",SUMIFS(TableTime[[Duration]:[Duration]],TableTime[[Date]:[Date]],$B137,TableTime[[Activity]:[Activity]],R$1))</f>
        <v/>
      </c>
      <c r="S137" s="130" t="str">
        <f>IF(SUMIFS(TableTime[[Duration]:[Duration]],TableTime[[Date]:[Date]],$B137,TableTime[[Activity]:[Activity]],S$1)=0,"",SUMIFS(TableTime[[Duration]:[Duration]],TableTime[[Date]:[Date]],$B137,TableTime[[Activity]:[Activity]],S$1))</f>
        <v/>
      </c>
      <c r="T137" s="4" t="str">
        <f>IF(SUMIFS(TableTime[[Duration]:[Duration]],TableTime[[Date]:[Date]],$B137,TableTime[[Activity]:[Activity]],T$1)=0,"",SUMIFS(TableTime[[Duration]:[Duration]],TableTime[[Date]:[Date]],$B137,TableTime[[Activity]:[Activity]],T$1))</f>
        <v/>
      </c>
      <c r="U137" s="39" t="str">
        <f>IF(SUMIFS(TableTime[[Duration]:[Duration]],TableTime[[Date]:[Date]],$B137,TableTime[[Activity]:[Activity]],U$1)=0,"",SUMIFS(TableTime[[Duration]:[Duration]],TableTime[[Date]:[Date]],$B137,TableTime[[Activity]:[Activity]],U$1))</f>
        <v/>
      </c>
    </row>
    <row r="138" spans="1:21" x14ac:dyDescent="0.35">
      <c r="A138" s="59" t="str">
        <f t="shared" si="12"/>
        <v>Wed</v>
      </c>
      <c r="B138" s="91">
        <f t="shared" si="14"/>
        <v>45063</v>
      </c>
      <c r="C138" s="60">
        <f t="shared" si="15"/>
        <v>5</v>
      </c>
      <c r="D138" s="61">
        <f t="shared" si="13"/>
        <v>20</v>
      </c>
      <c r="E138" s="103"/>
      <c r="F138" s="60" t="str">
        <f>IFERROR(IF(OR(WEEKDAY(B138,2)=6,WEEKDAY(B138,2)=7),'Month summary'!$D$11,IF(E138="",'Month summary'!$C$11,E138)),"")</f>
        <v>W</v>
      </c>
      <c r="G138" s="62">
        <f>IF(B138&lt;Time!$B$2,"",IF(F138='Month summary'!$C$11,'Month summary'!$F$2/24,IF(F138="H/2",'Month summary'!$F$2/24/2,0)))</f>
        <v>0.33333333333333331</v>
      </c>
      <c r="H138" s="62">
        <f t="shared" si="16"/>
        <v>0</v>
      </c>
      <c r="I138" s="62" t="str">
        <f t="shared" si="17"/>
        <v/>
      </c>
      <c r="J138" s="108"/>
      <c r="K138" s="63" t="str">
        <f>IFERROR(INDEX(TableTime[Time],MATCH(B138,TableTime[Date],0)),"")</f>
        <v/>
      </c>
      <c r="L138" s="62" t="str">
        <f>IF(SUMIFS(TableTime[Duration],TableTime[Date],B138,TableTime[Activity],Projects!$C$9)+SUMIFS(TableTime[Duration],TableTime[Date],B138,TableTime[Activity],Projects!$C$10)+SUMIFS(TableTime[Duration],TableTime[Date],B138,TableTime[Activity],Projects!$C$11)=0,"",SUMIFS(TableTime[Duration],TableTime[Date],B138,TableTime[Activity],Projects!$C$9)+SUMIFS(TableTime[Duration],TableTime[Date],B138,TableTime[Activity],Projects!$C$10)+SUMIFS(TableTime[Duration],TableTime[Date],B138,TableTime[Activity],Projects!$C$11))</f>
        <v/>
      </c>
      <c r="M138" s="62" t="str" cm="1">
        <f t="array" ref="M138">IFERROR(LOOKUP(2,1/(TableTime[Date]=B138),TableTime[Time]),"")</f>
        <v/>
      </c>
      <c r="N138" s="63" t="str">
        <f>IF(SUMIFS(TableTime[[Duration]:[Duration]],TableTime[[Date]:[Date]],$B138,TableTime[[Activity]:[Activity]],N$1)=0,"",SUMIFS(TableTime[[Duration]:[Duration]],TableTime[[Date]:[Date]],$B138,TableTime[[Activity]:[Activity]],N$1))</f>
        <v/>
      </c>
      <c r="O138" s="62" t="str">
        <f>IF(SUMIFS(TableTime[[Duration]:[Duration]],TableTime[[Date]:[Date]],$B138,TableTime[[Activity]:[Activity]],O$1)=0,"",SUMIFS(TableTime[[Duration]:[Duration]],TableTime[[Date]:[Date]],$B138,TableTime[[Activity]:[Activity]],O$1))</f>
        <v/>
      </c>
      <c r="P138" s="62" t="str">
        <f>IF(SUMIFS(TableTime[[Duration]:[Duration]],TableTime[[Date]:[Date]],$B138,TableTime[[Activity]:[Activity]],P$1)=0,"",SUMIFS(TableTime[[Duration]:[Duration]],TableTime[[Date]:[Date]],$B138,TableTime[[Activity]:[Activity]],P$1))</f>
        <v/>
      </c>
      <c r="Q138" s="62" t="str">
        <f>IF(SUMIFS(TableTime[[Duration]:[Duration]],TableTime[[Date]:[Date]],$B138,TableTime[[Activity]:[Activity]],Q$1)=0,"",SUMIFS(TableTime[[Duration]:[Duration]],TableTime[[Date]:[Date]],$B138,TableTime[[Activity]:[Activity]],Q$1))</f>
        <v/>
      </c>
      <c r="R138" s="62" t="str">
        <f>IF(SUMIFS(TableTime[[Duration]:[Duration]],TableTime[[Date]:[Date]],$B138,TableTime[[Activity]:[Activity]],R$1)=0,"",SUMIFS(TableTime[[Duration]:[Duration]],TableTime[[Date]:[Date]],$B138,TableTime[[Activity]:[Activity]],R$1))</f>
        <v/>
      </c>
      <c r="S138" s="131" t="str">
        <f>IF(SUMIFS(TableTime[[Duration]:[Duration]],TableTime[[Date]:[Date]],$B138,TableTime[[Activity]:[Activity]],S$1)=0,"",SUMIFS(TableTime[[Duration]:[Duration]],TableTime[[Date]:[Date]],$B138,TableTime[[Activity]:[Activity]],S$1))</f>
        <v/>
      </c>
      <c r="T138" s="62" t="str">
        <f>IF(SUMIFS(TableTime[[Duration]:[Duration]],TableTime[[Date]:[Date]],$B138,TableTime[[Activity]:[Activity]],T$1)=0,"",SUMIFS(TableTime[[Duration]:[Duration]],TableTime[[Date]:[Date]],$B138,TableTime[[Activity]:[Activity]],T$1))</f>
        <v/>
      </c>
      <c r="U138" s="64" t="str">
        <f>IF(SUMIFS(TableTime[[Duration]:[Duration]],TableTime[[Date]:[Date]],$B138,TableTime[[Activity]:[Activity]],U$1)=0,"",SUMIFS(TableTime[[Duration]:[Duration]],TableTime[[Date]:[Date]],$B138,TableTime[[Activity]:[Activity]],U$1))</f>
        <v/>
      </c>
    </row>
    <row r="139" spans="1:21" x14ac:dyDescent="0.35">
      <c r="A139" s="35" t="str">
        <f t="shared" si="12"/>
        <v>Thr</v>
      </c>
      <c r="B139" s="5">
        <f t="shared" si="14"/>
        <v>45064</v>
      </c>
      <c r="C139" s="1">
        <f t="shared" si="15"/>
        <v>5</v>
      </c>
      <c r="D139" s="2">
        <f t="shared" si="13"/>
        <v>20</v>
      </c>
      <c r="E139" s="102" t="s">
        <v>19</v>
      </c>
      <c r="F139" s="1" t="str">
        <f>IFERROR(IF(OR(WEEKDAY(B139,2)=6,WEEKDAY(B139,2)=7),'Month summary'!$D$11,IF(E139="",'Month summary'!$C$11,E139)),"")</f>
        <v>PH</v>
      </c>
      <c r="G139" s="4">
        <f>IF(B139&lt;Time!$B$2,"",IF(F139='Month summary'!$C$11,'Month summary'!$F$2/24,IF(F139="H/2",'Month summary'!$F$2/24/2,0)))</f>
        <v>0</v>
      </c>
      <c r="H139" s="4">
        <f t="shared" si="16"/>
        <v>0</v>
      </c>
      <c r="I139" s="4" t="str">
        <f t="shared" si="17"/>
        <v/>
      </c>
      <c r="J139" s="107" t="s">
        <v>20</v>
      </c>
      <c r="K139" s="38" t="str">
        <f>IFERROR(INDEX(TableTime[Time],MATCH(B139,TableTime[Date],0)),"")</f>
        <v/>
      </c>
      <c r="L139" s="4" t="str">
        <f>IF(SUMIFS(TableTime[Duration],TableTime[Date],B139,TableTime[Activity],Projects!$C$9)+SUMIFS(TableTime[Duration],TableTime[Date],B139,TableTime[Activity],Projects!$C$10)+SUMIFS(TableTime[Duration],TableTime[Date],B139,TableTime[Activity],Projects!$C$11)=0,"",SUMIFS(TableTime[Duration],TableTime[Date],B139,TableTime[Activity],Projects!$C$9)+SUMIFS(TableTime[Duration],TableTime[Date],B139,TableTime[Activity],Projects!$C$10)+SUMIFS(TableTime[Duration],TableTime[Date],B139,TableTime[Activity],Projects!$C$11))</f>
        <v/>
      </c>
      <c r="M139" s="4" t="str" cm="1">
        <f t="array" ref="M139">IFERROR(LOOKUP(2,1/(TableTime[Date]=B139),TableTime[Time]),"")</f>
        <v/>
      </c>
      <c r="N139" s="38" t="str">
        <f>IF(SUMIFS(TableTime[[Duration]:[Duration]],TableTime[[Date]:[Date]],$B139,TableTime[[Activity]:[Activity]],N$1)=0,"",SUMIFS(TableTime[[Duration]:[Duration]],TableTime[[Date]:[Date]],$B139,TableTime[[Activity]:[Activity]],N$1))</f>
        <v/>
      </c>
      <c r="O139" s="4" t="str">
        <f>IF(SUMIFS(TableTime[[Duration]:[Duration]],TableTime[[Date]:[Date]],$B139,TableTime[[Activity]:[Activity]],O$1)=0,"",SUMIFS(TableTime[[Duration]:[Duration]],TableTime[[Date]:[Date]],$B139,TableTime[[Activity]:[Activity]],O$1))</f>
        <v/>
      </c>
      <c r="P139" s="4" t="str">
        <f>IF(SUMIFS(TableTime[[Duration]:[Duration]],TableTime[[Date]:[Date]],$B139,TableTime[[Activity]:[Activity]],P$1)=0,"",SUMIFS(TableTime[[Duration]:[Duration]],TableTime[[Date]:[Date]],$B139,TableTime[[Activity]:[Activity]],P$1))</f>
        <v/>
      </c>
      <c r="Q139" s="4" t="str">
        <f>IF(SUMIFS(TableTime[[Duration]:[Duration]],TableTime[[Date]:[Date]],$B139,TableTime[[Activity]:[Activity]],Q$1)=0,"",SUMIFS(TableTime[[Duration]:[Duration]],TableTime[[Date]:[Date]],$B139,TableTime[[Activity]:[Activity]],Q$1))</f>
        <v/>
      </c>
      <c r="R139" s="4" t="str">
        <f>IF(SUMIFS(TableTime[[Duration]:[Duration]],TableTime[[Date]:[Date]],$B139,TableTime[[Activity]:[Activity]],R$1)=0,"",SUMIFS(TableTime[[Duration]:[Duration]],TableTime[[Date]:[Date]],$B139,TableTime[[Activity]:[Activity]],R$1))</f>
        <v/>
      </c>
      <c r="S139" s="130" t="str">
        <f>IF(SUMIFS(TableTime[[Duration]:[Duration]],TableTime[[Date]:[Date]],$B139,TableTime[[Activity]:[Activity]],S$1)=0,"",SUMIFS(TableTime[[Duration]:[Duration]],TableTime[[Date]:[Date]],$B139,TableTime[[Activity]:[Activity]],S$1))</f>
        <v/>
      </c>
      <c r="T139" s="4" t="str">
        <f>IF(SUMIFS(TableTime[[Duration]:[Duration]],TableTime[[Date]:[Date]],$B139,TableTime[[Activity]:[Activity]],T$1)=0,"",SUMIFS(TableTime[[Duration]:[Duration]],TableTime[[Date]:[Date]],$B139,TableTime[[Activity]:[Activity]],T$1))</f>
        <v/>
      </c>
      <c r="U139" s="39" t="str">
        <f>IF(SUMIFS(TableTime[[Duration]:[Duration]],TableTime[[Date]:[Date]],$B139,TableTime[[Activity]:[Activity]],U$1)=0,"",SUMIFS(TableTime[[Duration]:[Duration]],TableTime[[Date]:[Date]],$B139,TableTime[[Activity]:[Activity]],U$1))</f>
        <v/>
      </c>
    </row>
    <row r="140" spans="1:21" x14ac:dyDescent="0.35">
      <c r="A140" s="59" t="str">
        <f t="shared" si="12"/>
        <v>Fri</v>
      </c>
      <c r="B140" s="91">
        <f t="shared" si="14"/>
        <v>45065</v>
      </c>
      <c r="C140" s="60">
        <f t="shared" si="15"/>
        <v>5</v>
      </c>
      <c r="D140" s="61">
        <f t="shared" si="13"/>
        <v>20</v>
      </c>
      <c r="E140" s="103" t="s">
        <v>19</v>
      </c>
      <c r="F140" s="60" t="str">
        <f>IFERROR(IF(OR(WEEKDAY(B140,2)=6,WEEKDAY(B140,2)=7),'Month summary'!$D$11,IF(E140="",'Month summary'!$C$11,E140)),"")</f>
        <v>PH</v>
      </c>
      <c r="G140" s="62">
        <f>IF(B140&lt;Time!$B$2,"",IF(F140='Month summary'!$C$11,'Month summary'!$F$2/24,IF(F140="H/2",'Month summary'!$F$2/24/2,0)))</f>
        <v>0</v>
      </c>
      <c r="H140" s="62">
        <f t="shared" si="16"/>
        <v>0</v>
      </c>
      <c r="I140" s="62" t="str">
        <f t="shared" si="17"/>
        <v/>
      </c>
      <c r="J140" s="108" t="s">
        <v>20</v>
      </c>
      <c r="K140" s="63" t="str">
        <f>IFERROR(INDEX(TableTime[Time],MATCH(B140,TableTime[Date],0)),"")</f>
        <v/>
      </c>
      <c r="L140" s="62" t="str">
        <f>IF(SUMIFS(TableTime[Duration],TableTime[Date],B140,TableTime[Activity],Projects!$C$9)+SUMIFS(TableTime[Duration],TableTime[Date],B140,TableTime[Activity],Projects!$C$10)+SUMIFS(TableTime[Duration],TableTime[Date],B140,TableTime[Activity],Projects!$C$11)=0,"",SUMIFS(TableTime[Duration],TableTime[Date],B140,TableTime[Activity],Projects!$C$9)+SUMIFS(TableTime[Duration],TableTime[Date],B140,TableTime[Activity],Projects!$C$10)+SUMIFS(TableTime[Duration],TableTime[Date],B140,TableTime[Activity],Projects!$C$11))</f>
        <v/>
      </c>
      <c r="M140" s="62" t="str" cm="1">
        <f t="array" ref="M140">IFERROR(LOOKUP(2,1/(TableTime[Date]=B140),TableTime[Time]),"")</f>
        <v/>
      </c>
      <c r="N140" s="63" t="str">
        <f>IF(SUMIFS(TableTime[[Duration]:[Duration]],TableTime[[Date]:[Date]],$B140,TableTime[[Activity]:[Activity]],N$1)=0,"",SUMIFS(TableTime[[Duration]:[Duration]],TableTime[[Date]:[Date]],$B140,TableTime[[Activity]:[Activity]],N$1))</f>
        <v/>
      </c>
      <c r="O140" s="62" t="str">
        <f>IF(SUMIFS(TableTime[[Duration]:[Duration]],TableTime[[Date]:[Date]],$B140,TableTime[[Activity]:[Activity]],O$1)=0,"",SUMIFS(TableTime[[Duration]:[Duration]],TableTime[[Date]:[Date]],$B140,TableTime[[Activity]:[Activity]],O$1))</f>
        <v/>
      </c>
      <c r="P140" s="62" t="str">
        <f>IF(SUMIFS(TableTime[[Duration]:[Duration]],TableTime[[Date]:[Date]],$B140,TableTime[[Activity]:[Activity]],P$1)=0,"",SUMIFS(TableTime[[Duration]:[Duration]],TableTime[[Date]:[Date]],$B140,TableTime[[Activity]:[Activity]],P$1))</f>
        <v/>
      </c>
      <c r="Q140" s="62" t="str">
        <f>IF(SUMIFS(TableTime[[Duration]:[Duration]],TableTime[[Date]:[Date]],$B140,TableTime[[Activity]:[Activity]],Q$1)=0,"",SUMIFS(TableTime[[Duration]:[Duration]],TableTime[[Date]:[Date]],$B140,TableTime[[Activity]:[Activity]],Q$1))</f>
        <v/>
      </c>
      <c r="R140" s="62" t="str">
        <f>IF(SUMIFS(TableTime[[Duration]:[Duration]],TableTime[[Date]:[Date]],$B140,TableTime[[Activity]:[Activity]],R$1)=0,"",SUMIFS(TableTime[[Duration]:[Duration]],TableTime[[Date]:[Date]],$B140,TableTime[[Activity]:[Activity]],R$1))</f>
        <v/>
      </c>
      <c r="S140" s="131" t="str">
        <f>IF(SUMIFS(TableTime[[Duration]:[Duration]],TableTime[[Date]:[Date]],$B140,TableTime[[Activity]:[Activity]],S$1)=0,"",SUMIFS(TableTime[[Duration]:[Duration]],TableTime[[Date]:[Date]],$B140,TableTime[[Activity]:[Activity]],S$1))</f>
        <v/>
      </c>
      <c r="T140" s="62" t="str">
        <f>IF(SUMIFS(TableTime[[Duration]:[Duration]],TableTime[[Date]:[Date]],$B140,TableTime[[Activity]:[Activity]],T$1)=0,"",SUMIFS(TableTime[[Duration]:[Duration]],TableTime[[Date]:[Date]],$B140,TableTime[[Activity]:[Activity]],T$1))</f>
        <v/>
      </c>
      <c r="U140" s="64" t="str">
        <f>IF(SUMIFS(TableTime[[Duration]:[Duration]],TableTime[[Date]:[Date]],$B140,TableTime[[Activity]:[Activity]],U$1)=0,"",SUMIFS(TableTime[[Duration]:[Duration]],TableTime[[Date]:[Date]],$B140,TableTime[[Activity]:[Activity]],U$1))</f>
        <v/>
      </c>
    </row>
    <row r="141" spans="1:21" x14ac:dyDescent="0.35">
      <c r="A141" s="35" t="str">
        <f t="shared" si="12"/>
        <v>Sat</v>
      </c>
      <c r="B141" s="5">
        <f t="shared" si="14"/>
        <v>45066</v>
      </c>
      <c r="C141" s="1">
        <f t="shared" si="15"/>
        <v>5</v>
      </c>
      <c r="D141" s="2">
        <f t="shared" si="13"/>
        <v>20</v>
      </c>
      <c r="E141" s="102"/>
      <c r="F141" s="1" t="str">
        <f>IFERROR(IF(OR(WEEKDAY(B141,2)=6,WEEKDAY(B141,2)=7),'Month summary'!$D$11,IF(E141="",'Month summary'!$C$11,E141)),"")</f>
        <v>WE</v>
      </c>
      <c r="G141" s="4">
        <f>IF(B141&lt;Time!$B$2,"",IF(F141='Month summary'!$C$11,'Month summary'!$F$2/24,IF(F141="H/2",'Month summary'!$F$2/24/2,0)))</f>
        <v>0</v>
      </c>
      <c r="H141" s="4">
        <f t="shared" si="16"/>
        <v>0</v>
      </c>
      <c r="I141" s="4" t="str">
        <f t="shared" si="17"/>
        <v/>
      </c>
      <c r="J141" s="107"/>
      <c r="K141" s="38" t="str">
        <f>IFERROR(INDEX(TableTime[Time],MATCH(B141,TableTime[Date],0)),"")</f>
        <v/>
      </c>
      <c r="L141" s="4" t="str">
        <f>IF(SUMIFS(TableTime[Duration],TableTime[Date],B141,TableTime[Activity],Projects!$C$9)+SUMIFS(TableTime[Duration],TableTime[Date],B141,TableTime[Activity],Projects!$C$10)+SUMIFS(TableTime[Duration],TableTime[Date],B141,TableTime[Activity],Projects!$C$11)=0,"",SUMIFS(TableTime[Duration],TableTime[Date],B141,TableTime[Activity],Projects!$C$9)+SUMIFS(TableTime[Duration],TableTime[Date],B141,TableTime[Activity],Projects!$C$10)+SUMIFS(TableTime[Duration],TableTime[Date],B141,TableTime[Activity],Projects!$C$11))</f>
        <v/>
      </c>
      <c r="M141" s="4" t="str" cm="1">
        <f t="array" ref="M141">IFERROR(LOOKUP(2,1/(TableTime[Date]=B141),TableTime[Time]),"")</f>
        <v/>
      </c>
      <c r="N141" s="38" t="str">
        <f>IF(SUMIFS(TableTime[[Duration]:[Duration]],TableTime[[Date]:[Date]],$B141,TableTime[[Activity]:[Activity]],N$1)=0,"",SUMIFS(TableTime[[Duration]:[Duration]],TableTime[[Date]:[Date]],$B141,TableTime[[Activity]:[Activity]],N$1))</f>
        <v/>
      </c>
      <c r="O141" s="4" t="str">
        <f>IF(SUMIFS(TableTime[[Duration]:[Duration]],TableTime[[Date]:[Date]],$B141,TableTime[[Activity]:[Activity]],O$1)=0,"",SUMIFS(TableTime[[Duration]:[Duration]],TableTime[[Date]:[Date]],$B141,TableTime[[Activity]:[Activity]],O$1))</f>
        <v/>
      </c>
      <c r="P141" s="4" t="str">
        <f>IF(SUMIFS(TableTime[[Duration]:[Duration]],TableTime[[Date]:[Date]],$B141,TableTime[[Activity]:[Activity]],P$1)=0,"",SUMIFS(TableTime[[Duration]:[Duration]],TableTime[[Date]:[Date]],$B141,TableTime[[Activity]:[Activity]],P$1))</f>
        <v/>
      </c>
      <c r="Q141" s="4" t="str">
        <f>IF(SUMIFS(TableTime[[Duration]:[Duration]],TableTime[[Date]:[Date]],$B141,TableTime[[Activity]:[Activity]],Q$1)=0,"",SUMIFS(TableTime[[Duration]:[Duration]],TableTime[[Date]:[Date]],$B141,TableTime[[Activity]:[Activity]],Q$1))</f>
        <v/>
      </c>
      <c r="R141" s="4" t="str">
        <f>IF(SUMIFS(TableTime[[Duration]:[Duration]],TableTime[[Date]:[Date]],$B141,TableTime[[Activity]:[Activity]],R$1)=0,"",SUMIFS(TableTime[[Duration]:[Duration]],TableTime[[Date]:[Date]],$B141,TableTime[[Activity]:[Activity]],R$1))</f>
        <v/>
      </c>
      <c r="S141" s="130" t="str">
        <f>IF(SUMIFS(TableTime[[Duration]:[Duration]],TableTime[[Date]:[Date]],$B141,TableTime[[Activity]:[Activity]],S$1)=0,"",SUMIFS(TableTime[[Duration]:[Duration]],TableTime[[Date]:[Date]],$B141,TableTime[[Activity]:[Activity]],S$1))</f>
        <v/>
      </c>
      <c r="T141" s="4" t="str">
        <f>IF(SUMIFS(TableTime[[Duration]:[Duration]],TableTime[[Date]:[Date]],$B141,TableTime[[Activity]:[Activity]],T$1)=0,"",SUMIFS(TableTime[[Duration]:[Duration]],TableTime[[Date]:[Date]],$B141,TableTime[[Activity]:[Activity]],T$1))</f>
        <v/>
      </c>
      <c r="U141" s="39" t="str">
        <f>IF(SUMIFS(TableTime[[Duration]:[Duration]],TableTime[[Date]:[Date]],$B141,TableTime[[Activity]:[Activity]],U$1)=0,"",SUMIFS(TableTime[[Duration]:[Duration]],TableTime[[Date]:[Date]],$B141,TableTime[[Activity]:[Activity]],U$1))</f>
        <v/>
      </c>
    </row>
    <row r="142" spans="1:21" x14ac:dyDescent="0.35">
      <c r="A142" s="59" t="str">
        <f t="shared" si="12"/>
        <v>Sun</v>
      </c>
      <c r="B142" s="91">
        <f t="shared" si="14"/>
        <v>45067</v>
      </c>
      <c r="C142" s="60">
        <f t="shared" si="15"/>
        <v>5</v>
      </c>
      <c r="D142" s="61">
        <f t="shared" si="13"/>
        <v>20</v>
      </c>
      <c r="E142" s="103"/>
      <c r="F142" s="60" t="str">
        <f>IFERROR(IF(OR(WEEKDAY(B142,2)=6,WEEKDAY(B142,2)=7),'Month summary'!$D$11,IF(E142="",'Month summary'!$C$11,E142)),"")</f>
        <v>WE</v>
      </c>
      <c r="G142" s="62">
        <f>IF(B142&lt;Time!$B$2,"",IF(F142='Month summary'!$C$11,'Month summary'!$F$2/24,IF(F142="H/2",'Month summary'!$F$2/24/2,0)))</f>
        <v>0</v>
      </c>
      <c r="H142" s="62">
        <f t="shared" si="16"/>
        <v>0</v>
      </c>
      <c r="I142" s="62" t="str">
        <f t="shared" si="17"/>
        <v/>
      </c>
      <c r="J142" s="108"/>
      <c r="K142" s="63" t="str">
        <f>IFERROR(INDEX(TableTime[Time],MATCH(B142,TableTime[Date],0)),"")</f>
        <v/>
      </c>
      <c r="L142" s="62" t="str">
        <f>IF(SUMIFS(TableTime[Duration],TableTime[Date],B142,TableTime[Activity],Projects!$C$9)+SUMIFS(TableTime[Duration],TableTime[Date],B142,TableTime[Activity],Projects!$C$10)+SUMIFS(TableTime[Duration],TableTime[Date],B142,TableTime[Activity],Projects!$C$11)=0,"",SUMIFS(TableTime[Duration],TableTime[Date],B142,TableTime[Activity],Projects!$C$9)+SUMIFS(TableTime[Duration],TableTime[Date],B142,TableTime[Activity],Projects!$C$10)+SUMIFS(TableTime[Duration],TableTime[Date],B142,TableTime[Activity],Projects!$C$11))</f>
        <v/>
      </c>
      <c r="M142" s="62" t="str" cm="1">
        <f t="array" ref="M142">IFERROR(LOOKUP(2,1/(TableTime[Date]=B142),TableTime[Time]),"")</f>
        <v/>
      </c>
      <c r="N142" s="63" t="str">
        <f>IF(SUMIFS(TableTime[[Duration]:[Duration]],TableTime[[Date]:[Date]],$B142,TableTime[[Activity]:[Activity]],N$1)=0,"",SUMIFS(TableTime[[Duration]:[Duration]],TableTime[[Date]:[Date]],$B142,TableTime[[Activity]:[Activity]],N$1))</f>
        <v/>
      </c>
      <c r="O142" s="62" t="str">
        <f>IF(SUMIFS(TableTime[[Duration]:[Duration]],TableTime[[Date]:[Date]],$B142,TableTime[[Activity]:[Activity]],O$1)=0,"",SUMIFS(TableTime[[Duration]:[Duration]],TableTime[[Date]:[Date]],$B142,TableTime[[Activity]:[Activity]],O$1))</f>
        <v/>
      </c>
      <c r="P142" s="62" t="str">
        <f>IF(SUMIFS(TableTime[[Duration]:[Duration]],TableTime[[Date]:[Date]],$B142,TableTime[[Activity]:[Activity]],P$1)=0,"",SUMIFS(TableTime[[Duration]:[Duration]],TableTime[[Date]:[Date]],$B142,TableTime[[Activity]:[Activity]],P$1))</f>
        <v/>
      </c>
      <c r="Q142" s="62" t="str">
        <f>IF(SUMIFS(TableTime[[Duration]:[Duration]],TableTime[[Date]:[Date]],$B142,TableTime[[Activity]:[Activity]],Q$1)=0,"",SUMIFS(TableTime[[Duration]:[Duration]],TableTime[[Date]:[Date]],$B142,TableTime[[Activity]:[Activity]],Q$1))</f>
        <v/>
      </c>
      <c r="R142" s="62" t="str">
        <f>IF(SUMIFS(TableTime[[Duration]:[Duration]],TableTime[[Date]:[Date]],$B142,TableTime[[Activity]:[Activity]],R$1)=0,"",SUMIFS(TableTime[[Duration]:[Duration]],TableTime[[Date]:[Date]],$B142,TableTime[[Activity]:[Activity]],R$1))</f>
        <v/>
      </c>
      <c r="S142" s="131" t="str">
        <f>IF(SUMIFS(TableTime[[Duration]:[Duration]],TableTime[[Date]:[Date]],$B142,TableTime[[Activity]:[Activity]],S$1)=0,"",SUMIFS(TableTime[[Duration]:[Duration]],TableTime[[Date]:[Date]],$B142,TableTime[[Activity]:[Activity]],S$1))</f>
        <v/>
      </c>
      <c r="T142" s="62" t="str">
        <f>IF(SUMIFS(TableTime[[Duration]:[Duration]],TableTime[[Date]:[Date]],$B142,TableTime[[Activity]:[Activity]],T$1)=0,"",SUMIFS(TableTime[[Duration]:[Duration]],TableTime[[Date]:[Date]],$B142,TableTime[[Activity]:[Activity]],T$1))</f>
        <v/>
      </c>
      <c r="U142" s="64" t="str">
        <f>IF(SUMIFS(TableTime[[Duration]:[Duration]],TableTime[[Date]:[Date]],$B142,TableTime[[Activity]:[Activity]],U$1)=0,"",SUMIFS(TableTime[[Duration]:[Duration]],TableTime[[Date]:[Date]],$B142,TableTime[[Activity]:[Activity]],U$1))</f>
        <v/>
      </c>
    </row>
    <row r="143" spans="1:21" x14ac:dyDescent="0.35">
      <c r="A143" s="35" t="str">
        <f t="shared" si="12"/>
        <v>Mon</v>
      </c>
      <c r="B143" s="5">
        <f t="shared" si="14"/>
        <v>45068</v>
      </c>
      <c r="C143" s="1">
        <f t="shared" si="15"/>
        <v>5</v>
      </c>
      <c r="D143" s="2">
        <f t="shared" si="13"/>
        <v>21</v>
      </c>
      <c r="E143" s="102"/>
      <c r="F143" s="1" t="str">
        <f>IFERROR(IF(OR(WEEKDAY(B143,2)=6,WEEKDAY(B143,2)=7),'Month summary'!$D$11,IF(E143="",'Month summary'!$C$11,E143)),"")</f>
        <v>W</v>
      </c>
      <c r="G143" s="4">
        <f>IF(B143&lt;Time!$B$2,"",IF(F143='Month summary'!$C$11,'Month summary'!$F$2/24,IF(F143="H/2",'Month summary'!$F$2/24/2,0)))</f>
        <v>0.33333333333333331</v>
      </c>
      <c r="H143" s="4">
        <f t="shared" si="16"/>
        <v>0</v>
      </c>
      <c r="I143" s="4" t="str">
        <f t="shared" si="17"/>
        <v/>
      </c>
      <c r="J143" s="107"/>
      <c r="K143" s="38" t="str">
        <f>IFERROR(INDEX(TableTime[Time],MATCH(B143,TableTime[Date],0)),"")</f>
        <v/>
      </c>
      <c r="L143" s="4" t="str">
        <f>IF(SUMIFS(TableTime[Duration],TableTime[Date],B143,TableTime[Activity],Projects!$C$9)+SUMIFS(TableTime[Duration],TableTime[Date],B143,TableTime[Activity],Projects!$C$10)+SUMIFS(TableTime[Duration],TableTime[Date],B143,TableTime[Activity],Projects!$C$11)=0,"",SUMIFS(TableTime[Duration],TableTime[Date],B143,TableTime[Activity],Projects!$C$9)+SUMIFS(TableTime[Duration],TableTime[Date],B143,TableTime[Activity],Projects!$C$10)+SUMIFS(TableTime[Duration],TableTime[Date],B143,TableTime[Activity],Projects!$C$11))</f>
        <v/>
      </c>
      <c r="M143" s="4" t="str" cm="1">
        <f t="array" ref="M143">IFERROR(LOOKUP(2,1/(TableTime[Date]=B143),TableTime[Time]),"")</f>
        <v/>
      </c>
      <c r="N143" s="38" t="str">
        <f>IF(SUMIFS(TableTime[[Duration]:[Duration]],TableTime[[Date]:[Date]],$B143,TableTime[[Activity]:[Activity]],N$1)=0,"",SUMIFS(TableTime[[Duration]:[Duration]],TableTime[[Date]:[Date]],$B143,TableTime[[Activity]:[Activity]],N$1))</f>
        <v/>
      </c>
      <c r="O143" s="4" t="str">
        <f>IF(SUMIFS(TableTime[[Duration]:[Duration]],TableTime[[Date]:[Date]],$B143,TableTime[[Activity]:[Activity]],O$1)=0,"",SUMIFS(TableTime[[Duration]:[Duration]],TableTime[[Date]:[Date]],$B143,TableTime[[Activity]:[Activity]],O$1))</f>
        <v/>
      </c>
      <c r="P143" s="4" t="str">
        <f>IF(SUMIFS(TableTime[[Duration]:[Duration]],TableTime[[Date]:[Date]],$B143,TableTime[[Activity]:[Activity]],P$1)=0,"",SUMIFS(TableTime[[Duration]:[Duration]],TableTime[[Date]:[Date]],$B143,TableTime[[Activity]:[Activity]],P$1))</f>
        <v/>
      </c>
      <c r="Q143" s="4" t="str">
        <f>IF(SUMIFS(TableTime[[Duration]:[Duration]],TableTime[[Date]:[Date]],$B143,TableTime[[Activity]:[Activity]],Q$1)=0,"",SUMIFS(TableTime[[Duration]:[Duration]],TableTime[[Date]:[Date]],$B143,TableTime[[Activity]:[Activity]],Q$1))</f>
        <v/>
      </c>
      <c r="R143" s="4" t="str">
        <f>IF(SUMIFS(TableTime[[Duration]:[Duration]],TableTime[[Date]:[Date]],$B143,TableTime[[Activity]:[Activity]],R$1)=0,"",SUMIFS(TableTime[[Duration]:[Duration]],TableTime[[Date]:[Date]],$B143,TableTime[[Activity]:[Activity]],R$1))</f>
        <v/>
      </c>
      <c r="S143" s="130" t="str">
        <f>IF(SUMIFS(TableTime[[Duration]:[Duration]],TableTime[[Date]:[Date]],$B143,TableTime[[Activity]:[Activity]],S$1)=0,"",SUMIFS(TableTime[[Duration]:[Duration]],TableTime[[Date]:[Date]],$B143,TableTime[[Activity]:[Activity]],S$1))</f>
        <v/>
      </c>
      <c r="T143" s="4" t="str">
        <f>IF(SUMIFS(TableTime[[Duration]:[Duration]],TableTime[[Date]:[Date]],$B143,TableTime[[Activity]:[Activity]],T$1)=0,"",SUMIFS(TableTime[[Duration]:[Duration]],TableTime[[Date]:[Date]],$B143,TableTime[[Activity]:[Activity]],T$1))</f>
        <v/>
      </c>
      <c r="U143" s="39" t="str">
        <f>IF(SUMIFS(TableTime[[Duration]:[Duration]],TableTime[[Date]:[Date]],$B143,TableTime[[Activity]:[Activity]],U$1)=0,"",SUMIFS(TableTime[[Duration]:[Duration]],TableTime[[Date]:[Date]],$B143,TableTime[[Activity]:[Activity]],U$1))</f>
        <v/>
      </c>
    </row>
    <row r="144" spans="1:21" x14ac:dyDescent="0.35">
      <c r="A144" s="59" t="str">
        <f t="shared" si="12"/>
        <v>Tue</v>
      </c>
      <c r="B144" s="91">
        <f t="shared" si="14"/>
        <v>45069</v>
      </c>
      <c r="C144" s="60">
        <f t="shared" si="15"/>
        <v>5</v>
      </c>
      <c r="D144" s="61">
        <f t="shared" si="13"/>
        <v>21</v>
      </c>
      <c r="E144" s="103"/>
      <c r="F144" s="60" t="str">
        <f>IFERROR(IF(OR(WEEKDAY(B144,2)=6,WEEKDAY(B144,2)=7),'Month summary'!$D$11,IF(E144="",'Month summary'!$C$11,E144)),"")</f>
        <v>W</v>
      </c>
      <c r="G144" s="62">
        <f>IF(B144&lt;Time!$B$2,"",IF(F144='Month summary'!$C$11,'Month summary'!$F$2/24,IF(F144="H/2",'Month summary'!$F$2/24/2,0)))</f>
        <v>0.33333333333333331</v>
      </c>
      <c r="H144" s="62">
        <f t="shared" si="16"/>
        <v>0</v>
      </c>
      <c r="I144" s="62" t="str">
        <f t="shared" si="17"/>
        <v/>
      </c>
      <c r="J144" s="108"/>
      <c r="K144" s="63" t="str">
        <f>IFERROR(INDEX(TableTime[Time],MATCH(B144,TableTime[Date],0)),"")</f>
        <v/>
      </c>
      <c r="L144" s="62" t="str">
        <f>IF(SUMIFS(TableTime[Duration],TableTime[Date],B144,TableTime[Activity],Projects!$C$9)+SUMIFS(TableTime[Duration],TableTime[Date],B144,TableTime[Activity],Projects!$C$10)+SUMIFS(TableTime[Duration],TableTime[Date],B144,TableTime[Activity],Projects!$C$11)=0,"",SUMIFS(TableTime[Duration],TableTime[Date],B144,TableTime[Activity],Projects!$C$9)+SUMIFS(TableTime[Duration],TableTime[Date],B144,TableTime[Activity],Projects!$C$10)+SUMIFS(TableTime[Duration],TableTime[Date],B144,TableTime[Activity],Projects!$C$11))</f>
        <v/>
      </c>
      <c r="M144" s="62" t="str" cm="1">
        <f t="array" ref="M144">IFERROR(LOOKUP(2,1/(TableTime[Date]=B144),TableTime[Time]),"")</f>
        <v/>
      </c>
      <c r="N144" s="63" t="str">
        <f>IF(SUMIFS(TableTime[[Duration]:[Duration]],TableTime[[Date]:[Date]],$B144,TableTime[[Activity]:[Activity]],N$1)=0,"",SUMIFS(TableTime[[Duration]:[Duration]],TableTime[[Date]:[Date]],$B144,TableTime[[Activity]:[Activity]],N$1))</f>
        <v/>
      </c>
      <c r="O144" s="62" t="str">
        <f>IF(SUMIFS(TableTime[[Duration]:[Duration]],TableTime[[Date]:[Date]],$B144,TableTime[[Activity]:[Activity]],O$1)=0,"",SUMIFS(TableTime[[Duration]:[Duration]],TableTime[[Date]:[Date]],$B144,TableTime[[Activity]:[Activity]],O$1))</f>
        <v/>
      </c>
      <c r="P144" s="62" t="str">
        <f>IF(SUMIFS(TableTime[[Duration]:[Duration]],TableTime[[Date]:[Date]],$B144,TableTime[[Activity]:[Activity]],P$1)=0,"",SUMIFS(TableTime[[Duration]:[Duration]],TableTime[[Date]:[Date]],$B144,TableTime[[Activity]:[Activity]],P$1))</f>
        <v/>
      </c>
      <c r="Q144" s="62" t="str">
        <f>IF(SUMIFS(TableTime[[Duration]:[Duration]],TableTime[[Date]:[Date]],$B144,TableTime[[Activity]:[Activity]],Q$1)=0,"",SUMIFS(TableTime[[Duration]:[Duration]],TableTime[[Date]:[Date]],$B144,TableTime[[Activity]:[Activity]],Q$1))</f>
        <v/>
      </c>
      <c r="R144" s="62" t="str">
        <f>IF(SUMIFS(TableTime[[Duration]:[Duration]],TableTime[[Date]:[Date]],$B144,TableTime[[Activity]:[Activity]],R$1)=0,"",SUMIFS(TableTime[[Duration]:[Duration]],TableTime[[Date]:[Date]],$B144,TableTime[[Activity]:[Activity]],R$1))</f>
        <v/>
      </c>
      <c r="S144" s="131" t="str">
        <f>IF(SUMIFS(TableTime[[Duration]:[Duration]],TableTime[[Date]:[Date]],$B144,TableTime[[Activity]:[Activity]],S$1)=0,"",SUMIFS(TableTime[[Duration]:[Duration]],TableTime[[Date]:[Date]],$B144,TableTime[[Activity]:[Activity]],S$1))</f>
        <v/>
      </c>
      <c r="T144" s="62" t="str">
        <f>IF(SUMIFS(TableTime[[Duration]:[Duration]],TableTime[[Date]:[Date]],$B144,TableTime[[Activity]:[Activity]],T$1)=0,"",SUMIFS(TableTime[[Duration]:[Duration]],TableTime[[Date]:[Date]],$B144,TableTime[[Activity]:[Activity]],T$1))</f>
        <v/>
      </c>
      <c r="U144" s="64" t="str">
        <f>IF(SUMIFS(TableTime[[Duration]:[Duration]],TableTime[[Date]:[Date]],$B144,TableTime[[Activity]:[Activity]],U$1)=0,"",SUMIFS(TableTime[[Duration]:[Duration]],TableTime[[Date]:[Date]],$B144,TableTime[[Activity]:[Activity]],U$1))</f>
        <v/>
      </c>
    </row>
    <row r="145" spans="1:21" x14ac:dyDescent="0.35">
      <c r="A145" s="35" t="str">
        <f t="shared" si="12"/>
        <v>Wed</v>
      </c>
      <c r="B145" s="5">
        <f t="shared" si="14"/>
        <v>45070</v>
      </c>
      <c r="C145" s="1">
        <f t="shared" si="15"/>
        <v>5</v>
      </c>
      <c r="D145" s="2">
        <f t="shared" si="13"/>
        <v>21</v>
      </c>
      <c r="E145" s="102"/>
      <c r="F145" s="1" t="str">
        <f>IFERROR(IF(OR(WEEKDAY(B145,2)=6,WEEKDAY(B145,2)=7),'Month summary'!$D$11,IF(E145="",'Month summary'!$C$11,E145)),"")</f>
        <v>W</v>
      </c>
      <c r="G145" s="4">
        <f>IF(B145&lt;Time!$B$2,"",IF(F145='Month summary'!$C$11,'Month summary'!$F$2/24,IF(F145="H/2",'Month summary'!$F$2/24/2,0)))</f>
        <v>0.33333333333333331</v>
      </c>
      <c r="H145" s="4">
        <f t="shared" si="16"/>
        <v>0</v>
      </c>
      <c r="I145" s="4" t="str">
        <f t="shared" si="17"/>
        <v/>
      </c>
      <c r="J145" s="107"/>
      <c r="K145" s="38" t="str">
        <f>IFERROR(INDEX(TableTime[Time],MATCH(B145,TableTime[Date],0)),"")</f>
        <v/>
      </c>
      <c r="L145" s="4" t="str">
        <f>IF(SUMIFS(TableTime[Duration],TableTime[Date],B145,TableTime[Activity],Projects!$C$9)+SUMIFS(TableTime[Duration],TableTime[Date],B145,TableTime[Activity],Projects!$C$10)+SUMIFS(TableTime[Duration],TableTime[Date],B145,TableTime[Activity],Projects!$C$11)=0,"",SUMIFS(TableTime[Duration],TableTime[Date],B145,TableTime[Activity],Projects!$C$9)+SUMIFS(TableTime[Duration],TableTime[Date],B145,TableTime[Activity],Projects!$C$10)+SUMIFS(TableTime[Duration],TableTime[Date],B145,TableTime[Activity],Projects!$C$11))</f>
        <v/>
      </c>
      <c r="M145" s="4" t="str" cm="1">
        <f t="array" ref="M145">IFERROR(LOOKUP(2,1/(TableTime[Date]=B145),TableTime[Time]),"")</f>
        <v/>
      </c>
      <c r="N145" s="38" t="str">
        <f>IF(SUMIFS(TableTime[[Duration]:[Duration]],TableTime[[Date]:[Date]],$B145,TableTime[[Activity]:[Activity]],N$1)=0,"",SUMIFS(TableTime[[Duration]:[Duration]],TableTime[[Date]:[Date]],$B145,TableTime[[Activity]:[Activity]],N$1))</f>
        <v/>
      </c>
      <c r="O145" s="4" t="str">
        <f>IF(SUMIFS(TableTime[[Duration]:[Duration]],TableTime[[Date]:[Date]],$B145,TableTime[[Activity]:[Activity]],O$1)=0,"",SUMIFS(TableTime[[Duration]:[Duration]],TableTime[[Date]:[Date]],$B145,TableTime[[Activity]:[Activity]],O$1))</f>
        <v/>
      </c>
      <c r="P145" s="4" t="str">
        <f>IF(SUMIFS(TableTime[[Duration]:[Duration]],TableTime[[Date]:[Date]],$B145,TableTime[[Activity]:[Activity]],P$1)=0,"",SUMIFS(TableTime[[Duration]:[Duration]],TableTime[[Date]:[Date]],$B145,TableTime[[Activity]:[Activity]],P$1))</f>
        <v/>
      </c>
      <c r="Q145" s="4" t="str">
        <f>IF(SUMIFS(TableTime[[Duration]:[Duration]],TableTime[[Date]:[Date]],$B145,TableTime[[Activity]:[Activity]],Q$1)=0,"",SUMIFS(TableTime[[Duration]:[Duration]],TableTime[[Date]:[Date]],$B145,TableTime[[Activity]:[Activity]],Q$1))</f>
        <v/>
      </c>
      <c r="R145" s="4" t="str">
        <f>IF(SUMIFS(TableTime[[Duration]:[Duration]],TableTime[[Date]:[Date]],$B145,TableTime[[Activity]:[Activity]],R$1)=0,"",SUMIFS(TableTime[[Duration]:[Duration]],TableTime[[Date]:[Date]],$B145,TableTime[[Activity]:[Activity]],R$1))</f>
        <v/>
      </c>
      <c r="S145" s="130" t="str">
        <f>IF(SUMIFS(TableTime[[Duration]:[Duration]],TableTime[[Date]:[Date]],$B145,TableTime[[Activity]:[Activity]],S$1)=0,"",SUMIFS(TableTime[[Duration]:[Duration]],TableTime[[Date]:[Date]],$B145,TableTime[[Activity]:[Activity]],S$1))</f>
        <v/>
      </c>
      <c r="T145" s="4" t="str">
        <f>IF(SUMIFS(TableTime[[Duration]:[Duration]],TableTime[[Date]:[Date]],$B145,TableTime[[Activity]:[Activity]],T$1)=0,"",SUMIFS(TableTime[[Duration]:[Duration]],TableTime[[Date]:[Date]],$B145,TableTime[[Activity]:[Activity]],T$1))</f>
        <v/>
      </c>
      <c r="U145" s="39" t="str">
        <f>IF(SUMIFS(TableTime[[Duration]:[Duration]],TableTime[[Date]:[Date]],$B145,TableTime[[Activity]:[Activity]],U$1)=0,"",SUMIFS(TableTime[[Duration]:[Duration]],TableTime[[Date]:[Date]],$B145,TableTime[[Activity]:[Activity]],U$1))</f>
        <v/>
      </c>
    </row>
    <row r="146" spans="1:21" x14ac:dyDescent="0.35">
      <c r="A146" s="59" t="str">
        <f t="shared" si="12"/>
        <v>Thr</v>
      </c>
      <c r="B146" s="91">
        <f t="shared" si="14"/>
        <v>45071</v>
      </c>
      <c r="C146" s="60">
        <f t="shared" si="15"/>
        <v>5</v>
      </c>
      <c r="D146" s="61">
        <f t="shared" si="13"/>
        <v>21</v>
      </c>
      <c r="E146" s="103"/>
      <c r="F146" s="60" t="str">
        <f>IFERROR(IF(OR(WEEKDAY(B146,2)=6,WEEKDAY(B146,2)=7),'Month summary'!$D$11,IF(E146="",'Month summary'!$C$11,E146)),"")</f>
        <v>W</v>
      </c>
      <c r="G146" s="62">
        <f>IF(B146&lt;Time!$B$2,"",IF(F146='Month summary'!$C$11,'Month summary'!$F$2/24,IF(F146="H/2",'Month summary'!$F$2/24/2,0)))</f>
        <v>0.33333333333333331</v>
      </c>
      <c r="H146" s="62">
        <f t="shared" si="16"/>
        <v>0</v>
      </c>
      <c r="I146" s="62" t="str">
        <f t="shared" si="17"/>
        <v/>
      </c>
      <c r="J146" s="108"/>
      <c r="K146" s="63" t="str">
        <f>IFERROR(INDEX(TableTime[Time],MATCH(B146,TableTime[Date],0)),"")</f>
        <v/>
      </c>
      <c r="L146" s="62" t="str">
        <f>IF(SUMIFS(TableTime[Duration],TableTime[Date],B146,TableTime[Activity],Projects!$C$9)+SUMIFS(TableTime[Duration],TableTime[Date],B146,TableTime[Activity],Projects!$C$10)+SUMIFS(TableTime[Duration],TableTime[Date],B146,TableTime[Activity],Projects!$C$11)=0,"",SUMIFS(TableTime[Duration],TableTime[Date],B146,TableTime[Activity],Projects!$C$9)+SUMIFS(TableTime[Duration],TableTime[Date],B146,TableTime[Activity],Projects!$C$10)+SUMIFS(TableTime[Duration],TableTime[Date],B146,TableTime[Activity],Projects!$C$11))</f>
        <v/>
      </c>
      <c r="M146" s="62" t="str" cm="1">
        <f t="array" ref="M146">IFERROR(LOOKUP(2,1/(TableTime[Date]=B146),TableTime[Time]),"")</f>
        <v/>
      </c>
      <c r="N146" s="63" t="str">
        <f>IF(SUMIFS(TableTime[[Duration]:[Duration]],TableTime[[Date]:[Date]],$B146,TableTime[[Activity]:[Activity]],N$1)=0,"",SUMIFS(TableTime[[Duration]:[Duration]],TableTime[[Date]:[Date]],$B146,TableTime[[Activity]:[Activity]],N$1))</f>
        <v/>
      </c>
      <c r="O146" s="62" t="str">
        <f>IF(SUMIFS(TableTime[[Duration]:[Duration]],TableTime[[Date]:[Date]],$B146,TableTime[[Activity]:[Activity]],O$1)=0,"",SUMIFS(TableTime[[Duration]:[Duration]],TableTime[[Date]:[Date]],$B146,TableTime[[Activity]:[Activity]],O$1))</f>
        <v/>
      </c>
      <c r="P146" s="62" t="str">
        <f>IF(SUMIFS(TableTime[[Duration]:[Duration]],TableTime[[Date]:[Date]],$B146,TableTime[[Activity]:[Activity]],P$1)=0,"",SUMIFS(TableTime[[Duration]:[Duration]],TableTime[[Date]:[Date]],$B146,TableTime[[Activity]:[Activity]],P$1))</f>
        <v/>
      </c>
      <c r="Q146" s="62" t="str">
        <f>IF(SUMIFS(TableTime[[Duration]:[Duration]],TableTime[[Date]:[Date]],$B146,TableTime[[Activity]:[Activity]],Q$1)=0,"",SUMIFS(TableTime[[Duration]:[Duration]],TableTime[[Date]:[Date]],$B146,TableTime[[Activity]:[Activity]],Q$1))</f>
        <v/>
      </c>
      <c r="R146" s="62" t="str">
        <f>IF(SUMIFS(TableTime[[Duration]:[Duration]],TableTime[[Date]:[Date]],$B146,TableTime[[Activity]:[Activity]],R$1)=0,"",SUMIFS(TableTime[[Duration]:[Duration]],TableTime[[Date]:[Date]],$B146,TableTime[[Activity]:[Activity]],R$1))</f>
        <v/>
      </c>
      <c r="S146" s="131" t="str">
        <f>IF(SUMIFS(TableTime[[Duration]:[Duration]],TableTime[[Date]:[Date]],$B146,TableTime[[Activity]:[Activity]],S$1)=0,"",SUMIFS(TableTime[[Duration]:[Duration]],TableTime[[Date]:[Date]],$B146,TableTime[[Activity]:[Activity]],S$1))</f>
        <v/>
      </c>
      <c r="T146" s="62" t="str">
        <f>IF(SUMIFS(TableTime[[Duration]:[Duration]],TableTime[[Date]:[Date]],$B146,TableTime[[Activity]:[Activity]],T$1)=0,"",SUMIFS(TableTime[[Duration]:[Duration]],TableTime[[Date]:[Date]],$B146,TableTime[[Activity]:[Activity]],T$1))</f>
        <v/>
      </c>
      <c r="U146" s="64" t="str">
        <f>IF(SUMIFS(TableTime[[Duration]:[Duration]],TableTime[[Date]:[Date]],$B146,TableTime[[Activity]:[Activity]],U$1)=0,"",SUMIFS(TableTime[[Duration]:[Duration]],TableTime[[Date]:[Date]],$B146,TableTime[[Activity]:[Activity]],U$1))</f>
        <v/>
      </c>
    </row>
    <row r="147" spans="1:21" x14ac:dyDescent="0.35">
      <c r="A147" s="35" t="str">
        <f t="shared" si="12"/>
        <v>Fri</v>
      </c>
      <c r="B147" s="5">
        <f t="shared" si="14"/>
        <v>45072</v>
      </c>
      <c r="C147" s="1">
        <f t="shared" si="15"/>
        <v>5</v>
      </c>
      <c r="D147" s="2">
        <f t="shared" si="13"/>
        <v>21</v>
      </c>
      <c r="E147" s="102"/>
      <c r="F147" s="1" t="str">
        <f>IFERROR(IF(OR(WEEKDAY(B147,2)=6,WEEKDAY(B147,2)=7),'Month summary'!$D$11,IF(E147="",'Month summary'!$C$11,E147)),"")</f>
        <v>W</v>
      </c>
      <c r="G147" s="4">
        <f>IF(B147&lt;Time!$B$2,"",IF(F147='Month summary'!$C$11,'Month summary'!$F$2/24,IF(F147="H/2",'Month summary'!$F$2/24/2,0)))</f>
        <v>0.33333333333333331</v>
      </c>
      <c r="H147" s="4">
        <f t="shared" si="16"/>
        <v>0</v>
      </c>
      <c r="I147" s="4" t="str">
        <f t="shared" si="17"/>
        <v/>
      </c>
      <c r="J147" s="107"/>
      <c r="K147" s="38" t="str">
        <f>IFERROR(INDEX(TableTime[Time],MATCH(B147,TableTime[Date],0)),"")</f>
        <v/>
      </c>
      <c r="L147" s="4" t="str">
        <f>IF(SUMIFS(TableTime[Duration],TableTime[Date],B147,TableTime[Activity],Projects!$C$9)+SUMIFS(TableTime[Duration],TableTime[Date],B147,TableTime[Activity],Projects!$C$10)+SUMIFS(TableTime[Duration],TableTime[Date],B147,TableTime[Activity],Projects!$C$11)=0,"",SUMIFS(TableTime[Duration],TableTime[Date],B147,TableTime[Activity],Projects!$C$9)+SUMIFS(TableTime[Duration],TableTime[Date],B147,TableTime[Activity],Projects!$C$10)+SUMIFS(TableTime[Duration],TableTime[Date],B147,TableTime[Activity],Projects!$C$11))</f>
        <v/>
      </c>
      <c r="M147" s="4" t="str" cm="1">
        <f t="array" ref="M147">IFERROR(LOOKUP(2,1/(TableTime[Date]=B147),TableTime[Time]),"")</f>
        <v/>
      </c>
      <c r="N147" s="38" t="str">
        <f>IF(SUMIFS(TableTime[[Duration]:[Duration]],TableTime[[Date]:[Date]],$B147,TableTime[[Activity]:[Activity]],N$1)=0,"",SUMIFS(TableTime[[Duration]:[Duration]],TableTime[[Date]:[Date]],$B147,TableTime[[Activity]:[Activity]],N$1))</f>
        <v/>
      </c>
      <c r="O147" s="4" t="str">
        <f>IF(SUMIFS(TableTime[[Duration]:[Duration]],TableTime[[Date]:[Date]],$B147,TableTime[[Activity]:[Activity]],O$1)=0,"",SUMIFS(TableTime[[Duration]:[Duration]],TableTime[[Date]:[Date]],$B147,TableTime[[Activity]:[Activity]],O$1))</f>
        <v/>
      </c>
      <c r="P147" s="4" t="str">
        <f>IF(SUMIFS(TableTime[[Duration]:[Duration]],TableTime[[Date]:[Date]],$B147,TableTime[[Activity]:[Activity]],P$1)=0,"",SUMIFS(TableTime[[Duration]:[Duration]],TableTime[[Date]:[Date]],$B147,TableTime[[Activity]:[Activity]],P$1))</f>
        <v/>
      </c>
      <c r="Q147" s="4" t="str">
        <f>IF(SUMIFS(TableTime[[Duration]:[Duration]],TableTime[[Date]:[Date]],$B147,TableTime[[Activity]:[Activity]],Q$1)=0,"",SUMIFS(TableTime[[Duration]:[Duration]],TableTime[[Date]:[Date]],$B147,TableTime[[Activity]:[Activity]],Q$1))</f>
        <v/>
      </c>
      <c r="R147" s="4" t="str">
        <f>IF(SUMIFS(TableTime[[Duration]:[Duration]],TableTime[[Date]:[Date]],$B147,TableTime[[Activity]:[Activity]],R$1)=0,"",SUMIFS(TableTime[[Duration]:[Duration]],TableTime[[Date]:[Date]],$B147,TableTime[[Activity]:[Activity]],R$1))</f>
        <v/>
      </c>
      <c r="S147" s="130" t="str">
        <f>IF(SUMIFS(TableTime[[Duration]:[Duration]],TableTime[[Date]:[Date]],$B147,TableTime[[Activity]:[Activity]],S$1)=0,"",SUMIFS(TableTime[[Duration]:[Duration]],TableTime[[Date]:[Date]],$B147,TableTime[[Activity]:[Activity]],S$1))</f>
        <v/>
      </c>
      <c r="T147" s="4" t="str">
        <f>IF(SUMIFS(TableTime[[Duration]:[Duration]],TableTime[[Date]:[Date]],$B147,TableTime[[Activity]:[Activity]],T$1)=0,"",SUMIFS(TableTime[[Duration]:[Duration]],TableTime[[Date]:[Date]],$B147,TableTime[[Activity]:[Activity]],T$1))</f>
        <v/>
      </c>
      <c r="U147" s="39" t="str">
        <f>IF(SUMIFS(TableTime[[Duration]:[Duration]],TableTime[[Date]:[Date]],$B147,TableTime[[Activity]:[Activity]],U$1)=0,"",SUMIFS(TableTime[[Duration]:[Duration]],TableTime[[Date]:[Date]],$B147,TableTime[[Activity]:[Activity]],U$1))</f>
        <v/>
      </c>
    </row>
    <row r="148" spans="1:21" x14ac:dyDescent="0.35">
      <c r="A148" s="59" t="str">
        <f t="shared" si="12"/>
        <v>Sat</v>
      </c>
      <c r="B148" s="91">
        <f t="shared" si="14"/>
        <v>45073</v>
      </c>
      <c r="C148" s="60">
        <f t="shared" si="15"/>
        <v>5</v>
      </c>
      <c r="D148" s="61">
        <f t="shared" si="13"/>
        <v>21</v>
      </c>
      <c r="E148" s="103"/>
      <c r="F148" s="60" t="str">
        <f>IFERROR(IF(OR(WEEKDAY(B148,2)=6,WEEKDAY(B148,2)=7),'Month summary'!$D$11,IF(E148="",'Month summary'!$C$11,E148)),"")</f>
        <v>WE</v>
      </c>
      <c r="G148" s="62">
        <f>IF(B148&lt;Time!$B$2,"",IF(F148='Month summary'!$C$11,'Month summary'!$F$2/24,IF(F148="H/2",'Month summary'!$F$2/24/2,0)))</f>
        <v>0</v>
      </c>
      <c r="H148" s="62">
        <f t="shared" si="16"/>
        <v>0</v>
      </c>
      <c r="I148" s="62" t="str">
        <f t="shared" si="17"/>
        <v/>
      </c>
      <c r="J148" s="108"/>
      <c r="K148" s="63" t="str">
        <f>IFERROR(INDEX(TableTime[Time],MATCH(B148,TableTime[Date],0)),"")</f>
        <v/>
      </c>
      <c r="L148" s="62" t="str">
        <f>IF(SUMIFS(TableTime[Duration],TableTime[Date],B148,TableTime[Activity],Projects!$C$9)+SUMIFS(TableTime[Duration],TableTime[Date],B148,TableTime[Activity],Projects!$C$10)+SUMIFS(TableTime[Duration],TableTime[Date],B148,TableTime[Activity],Projects!$C$11)=0,"",SUMIFS(TableTime[Duration],TableTime[Date],B148,TableTime[Activity],Projects!$C$9)+SUMIFS(TableTime[Duration],TableTime[Date],B148,TableTime[Activity],Projects!$C$10)+SUMIFS(TableTime[Duration],TableTime[Date],B148,TableTime[Activity],Projects!$C$11))</f>
        <v/>
      </c>
      <c r="M148" s="62" t="str" cm="1">
        <f t="array" ref="M148">IFERROR(LOOKUP(2,1/(TableTime[Date]=B148),TableTime[Time]),"")</f>
        <v/>
      </c>
      <c r="N148" s="63" t="str">
        <f>IF(SUMIFS(TableTime[[Duration]:[Duration]],TableTime[[Date]:[Date]],$B148,TableTime[[Activity]:[Activity]],N$1)=0,"",SUMIFS(TableTime[[Duration]:[Duration]],TableTime[[Date]:[Date]],$B148,TableTime[[Activity]:[Activity]],N$1))</f>
        <v/>
      </c>
      <c r="O148" s="62" t="str">
        <f>IF(SUMIFS(TableTime[[Duration]:[Duration]],TableTime[[Date]:[Date]],$B148,TableTime[[Activity]:[Activity]],O$1)=0,"",SUMIFS(TableTime[[Duration]:[Duration]],TableTime[[Date]:[Date]],$B148,TableTime[[Activity]:[Activity]],O$1))</f>
        <v/>
      </c>
      <c r="P148" s="62" t="str">
        <f>IF(SUMIFS(TableTime[[Duration]:[Duration]],TableTime[[Date]:[Date]],$B148,TableTime[[Activity]:[Activity]],P$1)=0,"",SUMIFS(TableTime[[Duration]:[Duration]],TableTime[[Date]:[Date]],$B148,TableTime[[Activity]:[Activity]],P$1))</f>
        <v/>
      </c>
      <c r="Q148" s="62" t="str">
        <f>IF(SUMIFS(TableTime[[Duration]:[Duration]],TableTime[[Date]:[Date]],$B148,TableTime[[Activity]:[Activity]],Q$1)=0,"",SUMIFS(TableTime[[Duration]:[Duration]],TableTime[[Date]:[Date]],$B148,TableTime[[Activity]:[Activity]],Q$1))</f>
        <v/>
      </c>
      <c r="R148" s="62" t="str">
        <f>IF(SUMIFS(TableTime[[Duration]:[Duration]],TableTime[[Date]:[Date]],$B148,TableTime[[Activity]:[Activity]],R$1)=0,"",SUMIFS(TableTime[[Duration]:[Duration]],TableTime[[Date]:[Date]],$B148,TableTime[[Activity]:[Activity]],R$1))</f>
        <v/>
      </c>
      <c r="S148" s="131" t="str">
        <f>IF(SUMIFS(TableTime[[Duration]:[Duration]],TableTime[[Date]:[Date]],$B148,TableTime[[Activity]:[Activity]],S$1)=0,"",SUMIFS(TableTime[[Duration]:[Duration]],TableTime[[Date]:[Date]],$B148,TableTime[[Activity]:[Activity]],S$1))</f>
        <v/>
      </c>
      <c r="T148" s="62" t="str">
        <f>IF(SUMIFS(TableTime[[Duration]:[Duration]],TableTime[[Date]:[Date]],$B148,TableTime[[Activity]:[Activity]],T$1)=0,"",SUMIFS(TableTime[[Duration]:[Duration]],TableTime[[Date]:[Date]],$B148,TableTime[[Activity]:[Activity]],T$1))</f>
        <v/>
      </c>
      <c r="U148" s="64" t="str">
        <f>IF(SUMIFS(TableTime[[Duration]:[Duration]],TableTime[[Date]:[Date]],$B148,TableTime[[Activity]:[Activity]],U$1)=0,"",SUMIFS(TableTime[[Duration]:[Duration]],TableTime[[Date]:[Date]],$B148,TableTime[[Activity]:[Activity]],U$1))</f>
        <v/>
      </c>
    </row>
    <row r="149" spans="1:21" x14ac:dyDescent="0.35">
      <c r="A149" s="35" t="str">
        <f t="shared" si="12"/>
        <v>Sun</v>
      </c>
      <c r="B149" s="5">
        <f t="shared" si="14"/>
        <v>45074</v>
      </c>
      <c r="C149" s="1">
        <f t="shared" si="15"/>
        <v>5</v>
      </c>
      <c r="D149" s="2">
        <f t="shared" si="13"/>
        <v>21</v>
      </c>
      <c r="E149" s="102"/>
      <c r="F149" s="1" t="str">
        <f>IFERROR(IF(OR(WEEKDAY(B149,2)=6,WEEKDAY(B149,2)=7),'Month summary'!$D$11,IF(E149="",'Month summary'!$C$11,E149)),"")</f>
        <v>WE</v>
      </c>
      <c r="G149" s="4">
        <f>IF(B149&lt;Time!$B$2,"",IF(F149='Month summary'!$C$11,'Month summary'!$F$2/24,IF(F149="H/2",'Month summary'!$F$2/24/2,0)))</f>
        <v>0</v>
      </c>
      <c r="H149" s="4">
        <f t="shared" si="16"/>
        <v>0</v>
      </c>
      <c r="I149" s="4" t="str">
        <f t="shared" si="17"/>
        <v/>
      </c>
      <c r="J149" s="107"/>
      <c r="K149" s="38" t="str">
        <f>IFERROR(INDEX(TableTime[Time],MATCH(B149,TableTime[Date],0)),"")</f>
        <v/>
      </c>
      <c r="L149" s="4" t="str">
        <f>IF(SUMIFS(TableTime[Duration],TableTime[Date],B149,TableTime[Activity],Projects!$C$9)+SUMIFS(TableTime[Duration],TableTime[Date],B149,TableTime[Activity],Projects!$C$10)+SUMIFS(TableTime[Duration],TableTime[Date],B149,TableTime[Activity],Projects!$C$11)=0,"",SUMIFS(TableTime[Duration],TableTime[Date],B149,TableTime[Activity],Projects!$C$9)+SUMIFS(TableTime[Duration],TableTime[Date],B149,TableTime[Activity],Projects!$C$10)+SUMIFS(TableTime[Duration],TableTime[Date],B149,TableTime[Activity],Projects!$C$11))</f>
        <v/>
      </c>
      <c r="M149" s="4" t="str" cm="1">
        <f t="array" ref="M149">IFERROR(LOOKUP(2,1/(TableTime[Date]=B149),TableTime[Time]),"")</f>
        <v/>
      </c>
      <c r="N149" s="38" t="str">
        <f>IF(SUMIFS(TableTime[[Duration]:[Duration]],TableTime[[Date]:[Date]],$B149,TableTime[[Activity]:[Activity]],N$1)=0,"",SUMIFS(TableTime[[Duration]:[Duration]],TableTime[[Date]:[Date]],$B149,TableTime[[Activity]:[Activity]],N$1))</f>
        <v/>
      </c>
      <c r="O149" s="4" t="str">
        <f>IF(SUMIFS(TableTime[[Duration]:[Duration]],TableTime[[Date]:[Date]],$B149,TableTime[[Activity]:[Activity]],O$1)=0,"",SUMIFS(TableTime[[Duration]:[Duration]],TableTime[[Date]:[Date]],$B149,TableTime[[Activity]:[Activity]],O$1))</f>
        <v/>
      </c>
      <c r="P149" s="4" t="str">
        <f>IF(SUMIFS(TableTime[[Duration]:[Duration]],TableTime[[Date]:[Date]],$B149,TableTime[[Activity]:[Activity]],P$1)=0,"",SUMIFS(TableTime[[Duration]:[Duration]],TableTime[[Date]:[Date]],$B149,TableTime[[Activity]:[Activity]],P$1))</f>
        <v/>
      </c>
      <c r="Q149" s="4" t="str">
        <f>IF(SUMIFS(TableTime[[Duration]:[Duration]],TableTime[[Date]:[Date]],$B149,TableTime[[Activity]:[Activity]],Q$1)=0,"",SUMIFS(TableTime[[Duration]:[Duration]],TableTime[[Date]:[Date]],$B149,TableTime[[Activity]:[Activity]],Q$1))</f>
        <v/>
      </c>
      <c r="R149" s="4" t="str">
        <f>IF(SUMIFS(TableTime[[Duration]:[Duration]],TableTime[[Date]:[Date]],$B149,TableTime[[Activity]:[Activity]],R$1)=0,"",SUMIFS(TableTime[[Duration]:[Duration]],TableTime[[Date]:[Date]],$B149,TableTime[[Activity]:[Activity]],R$1))</f>
        <v/>
      </c>
      <c r="S149" s="130" t="str">
        <f>IF(SUMIFS(TableTime[[Duration]:[Duration]],TableTime[[Date]:[Date]],$B149,TableTime[[Activity]:[Activity]],S$1)=0,"",SUMIFS(TableTime[[Duration]:[Duration]],TableTime[[Date]:[Date]],$B149,TableTime[[Activity]:[Activity]],S$1))</f>
        <v/>
      </c>
      <c r="T149" s="4" t="str">
        <f>IF(SUMIFS(TableTime[[Duration]:[Duration]],TableTime[[Date]:[Date]],$B149,TableTime[[Activity]:[Activity]],T$1)=0,"",SUMIFS(TableTime[[Duration]:[Duration]],TableTime[[Date]:[Date]],$B149,TableTime[[Activity]:[Activity]],T$1))</f>
        <v/>
      </c>
      <c r="U149" s="39" t="str">
        <f>IF(SUMIFS(TableTime[[Duration]:[Duration]],TableTime[[Date]:[Date]],$B149,TableTime[[Activity]:[Activity]],U$1)=0,"",SUMIFS(TableTime[[Duration]:[Duration]],TableTime[[Date]:[Date]],$B149,TableTime[[Activity]:[Activity]],U$1))</f>
        <v/>
      </c>
    </row>
    <row r="150" spans="1:21" x14ac:dyDescent="0.35">
      <c r="A150" s="59" t="str">
        <f t="shared" si="12"/>
        <v>Mon</v>
      </c>
      <c r="B150" s="91">
        <f t="shared" si="14"/>
        <v>45075</v>
      </c>
      <c r="C150" s="60">
        <f t="shared" si="15"/>
        <v>5</v>
      </c>
      <c r="D150" s="61">
        <f t="shared" si="13"/>
        <v>22</v>
      </c>
      <c r="E150" s="103"/>
      <c r="F150" s="60" t="str">
        <f>IFERROR(IF(OR(WEEKDAY(B150,2)=6,WEEKDAY(B150,2)=7),'Month summary'!$D$11,IF(E150="",'Month summary'!$C$11,E150)),"")</f>
        <v>W</v>
      </c>
      <c r="G150" s="62">
        <f>IF(B150&lt;Time!$B$2,"",IF(F150='Month summary'!$C$11,'Month summary'!$F$2/24,IF(F150="H/2",'Month summary'!$F$2/24/2,0)))</f>
        <v>0.33333333333333331</v>
      </c>
      <c r="H150" s="62">
        <f t="shared" si="16"/>
        <v>0</v>
      </c>
      <c r="I150" s="62" t="str">
        <f t="shared" si="17"/>
        <v/>
      </c>
      <c r="J150" s="108"/>
      <c r="K150" s="63" t="str">
        <f>IFERROR(INDEX(TableTime[Time],MATCH(B150,TableTime[Date],0)),"")</f>
        <v/>
      </c>
      <c r="L150" s="62" t="str">
        <f>IF(SUMIFS(TableTime[Duration],TableTime[Date],B150,TableTime[Activity],Projects!$C$9)+SUMIFS(TableTime[Duration],TableTime[Date],B150,TableTime[Activity],Projects!$C$10)+SUMIFS(TableTime[Duration],TableTime[Date],B150,TableTime[Activity],Projects!$C$11)=0,"",SUMIFS(TableTime[Duration],TableTime[Date],B150,TableTime[Activity],Projects!$C$9)+SUMIFS(TableTime[Duration],TableTime[Date],B150,TableTime[Activity],Projects!$C$10)+SUMIFS(TableTime[Duration],TableTime[Date],B150,TableTime[Activity],Projects!$C$11))</f>
        <v/>
      </c>
      <c r="M150" s="62" t="str" cm="1">
        <f t="array" ref="M150">IFERROR(LOOKUP(2,1/(TableTime[Date]=B150),TableTime[Time]),"")</f>
        <v/>
      </c>
      <c r="N150" s="63" t="str">
        <f>IF(SUMIFS(TableTime[[Duration]:[Duration]],TableTime[[Date]:[Date]],$B150,TableTime[[Activity]:[Activity]],N$1)=0,"",SUMIFS(TableTime[[Duration]:[Duration]],TableTime[[Date]:[Date]],$B150,TableTime[[Activity]:[Activity]],N$1))</f>
        <v/>
      </c>
      <c r="O150" s="62" t="str">
        <f>IF(SUMIFS(TableTime[[Duration]:[Duration]],TableTime[[Date]:[Date]],$B150,TableTime[[Activity]:[Activity]],O$1)=0,"",SUMIFS(TableTime[[Duration]:[Duration]],TableTime[[Date]:[Date]],$B150,TableTime[[Activity]:[Activity]],O$1))</f>
        <v/>
      </c>
      <c r="P150" s="62" t="str">
        <f>IF(SUMIFS(TableTime[[Duration]:[Duration]],TableTime[[Date]:[Date]],$B150,TableTime[[Activity]:[Activity]],P$1)=0,"",SUMIFS(TableTime[[Duration]:[Duration]],TableTime[[Date]:[Date]],$B150,TableTime[[Activity]:[Activity]],P$1))</f>
        <v/>
      </c>
      <c r="Q150" s="62" t="str">
        <f>IF(SUMIFS(TableTime[[Duration]:[Duration]],TableTime[[Date]:[Date]],$B150,TableTime[[Activity]:[Activity]],Q$1)=0,"",SUMIFS(TableTime[[Duration]:[Duration]],TableTime[[Date]:[Date]],$B150,TableTime[[Activity]:[Activity]],Q$1))</f>
        <v/>
      </c>
      <c r="R150" s="62" t="str">
        <f>IF(SUMIFS(TableTime[[Duration]:[Duration]],TableTime[[Date]:[Date]],$B150,TableTime[[Activity]:[Activity]],R$1)=0,"",SUMIFS(TableTime[[Duration]:[Duration]],TableTime[[Date]:[Date]],$B150,TableTime[[Activity]:[Activity]],R$1))</f>
        <v/>
      </c>
      <c r="S150" s="131" t="str">
        <f>IF(SUMIFS(TableTime[[Duration]:[Duration]],TableTime[[Date]:[Date]],$B150,TableTime[[Activity]:[Activity]],S$1)=0,"",SUMIFS(TableTime[[Duration]:[Duration]],TableTime[[Date]:[Date]],$B150,TableTime[[Activity]:[Activity]],S$1))</f>
        <v/>
      </c>
      <c r="T150" s="62" t="str">
        <f>IF(SUMIFS(TableTime[[Duration]:[Duration]],TableTime[[Date]:[Date]],$B150,TableTime[[Activity]:[Activity]],T$1)=0,"",SUMIFS(TableTime[[Duration]:[Duration]],TableTime[[Date]:[Date]],$B150,TableTime[[Activity]:[Activity]],T$1))</f>
        <v/>
      </c>
      <c r="U150" s="64" t="str">
        <f>IF(SUMIFS(TableTime[[Duration]:[Duration]],TableTime[[Date]:[Date]],$B150,TableTime[[Activity]:[Activity]],U$1)=0,"",SUMIFS(TableTime[[Duration]:[Duration]],TableTime[[Date]:[Date]],$B150,TableTime[[Activity]:[Activity]],U$1))</f>
        <v/>
      </c>
    </row>
    <row r="151" spans="1:21" x14ac:dyDescent="0.35">
      <c r="A151" s="35" t="str">
        <f t="shared" si="12"/>
        <v>Tue</v>
      </c>
      <c r="B151" s="5">
        <f t="shared" si="14"/>
        <v>45076</v>
      </c>
      <c r="C151" s="1">
        <f t="shared" si="15"/>
        <v>5</v>
      </c>
      <c r="D151" s="2">
        <f t="shared" si="13"/>
        <v>22</v>
      </c>
      <c r="E151" s="102"/>
      <c r="F151" s="1" t="str">
        <f>IFERROR(IF(OR(WEEKDAY(B151,2)=6,WEEKDAY(B151,2)=7),'Month summary'!$D$11,IF(E151="",'Month summary'!$C$11,E151)),"")</f>
        <v>W</v>
      </c>
      <c r="G151" s="4">
        <f>IF(B151&lt;Time!$B$2,"",IF(F151='Month summary'!$C$11,'Month summary'!$F$2/24,IF(F151="H/2",'Month summary'!$F$2/24/2,0)))</f>
        <v>0.33333333333333331</v>
      </c>
      <c r="H151" s="4">
        <f t="shared" si="16"/>
        <v>0</v>
      </c>
      <c r="I151" s="4" t="str">
        <f t="shared" si="17"/>
        <v/>
      </c>
      <c r="J151" s="107"/>
      <c r="K151" s="38" t="str">
        <f>IFERROR(INDEX(TableTime[Time],MATCH(B151,TableTime[Date],0)),"")</f>
        <v/>
      </c>
      <c r="L151" s="4" t="str">
        <f>IF(SUMIFS(TableTime[Duration],TableTime[Date],B151,TableTime[Activity],Projects!$C$9)+SUMIFS(TableTime[Duration],TableTime[Date],B151,TableTime[Activity],Projects!$C$10)+SUMIFS(TableTime[Duration],TableTime[Date],B151,TableTime[Activity],Projects!$C$11)=0,"",SUMIFS(TableTime[Duration],TableTime[Date],B151,TableTime[Activity],Projects!$C$9)+SUMIFS(TableTime[Duration],TableTime[Date],B151,TableTime[Activity],Projects!$C$10)+SUMIFS(TableTime[Duration],TableTime[Date],B151,TableTime[Activity],Projects!$C$11))</f>
        <v/>
      </c>
      <c r="M151" s="4" t="str" cm="1">
        <f t="array" ref="M151">IFERROR(LOOKUP(2,1/(TableTime[Date]=B151),TableTime[Time]),"")</f>
        <v/>
      </c>
      <c r="N151" s="38" t="str">
        <f>IF(SUMIFS(TableTime[[Duration]:[Duration]],TableTime[[Date]:[Date]],$B151,TableTime[[Activity]:[Activity]],N$1)=0,"",SUMIFS(TableTime[[Duration]:[Duration]],TableTime[[Date]:[Date]],$B151,TableTime[[Activity]:[Activity]],N$1))</f>
        <v/>
      </c>
      <c r="O151" s="4" t="str">
        <f>IF(SUMIFS(TableTime[[Duration]:[Duration]],TableTime[[Date]:[Date]],$B151,TableTime[[Activity]:[Activity]],O$1)=0,"",SUMIFS(TableTime[[Duration]:[Duration]],TableTime[[Date]:[Date]],$B151,TableTime[[Activity]:[Activity]],O$1))</f>
        <v/>
      </c>
      <c r="P151" s="4" t="str">
        <f>IF(SUMIFS(TableTime[[Duration]:[Duration]],TableTime[[Date]:[Date]],$B151,TableTime[[Activity]:[Activity]],P$1)=0,"",SUMIFS(TableTime[[Duration]:[Duration]],TableTime[[Date]:[Date]],$B151,TableTime[[Activity]:[Activity]],P$1))</f>
        <v/>
      </c>
      <c r="Q151" s="4" t="str">
        <f>IF(SUMIFS(TableTime[[Duration]:[Duration]],TableTime[[Date]:[Date]],$B151,TableTime[[Activity]:[Activity]],Q$1)=0,"",SUMIFS(TableTime[[Duration]:[Duration]],TableTime[[Date]:[Date]],$B151,TableTime[[Activity]:[Activity]],Q$1))</f>
        <v/>
      </c>
      <c r="R151" s="4" t="str">
        <f>IF(SUMIFS(TableTime[[Duration]:[Duration]],TableTime[[Date]:[Date]],$B151,TableTime[[Activity]:[Activity]],R$1)=0,"",SUMIFS(TableTime[[Duration]:[Duration]],TableTime[[Date]:[Date]],$B151,TableTime[[Activity]:[Activity]],R$1))</f>
        <v/>
      </c>
      <c r="S151" s="130" t="str">
        <f>IF(SUMIFS(TableTime[[Duration]:[Duration]],TableTime[[Date]:[Date]],$B151,TableTime[[Activity]:[Activity]],S$1)=0,"",SUMIFS(TableTime[[Duration]:[Duration]],TableTime[[Date]:[Date]],$B151,TableTime[[Activity]:[Activity]],S$1))</f>
        <v/>
      </c>
      <c r="T151" s="4" t="str">
        <f>IF(SUMIFS(TableTime[[Duration]:[Duration]],TableTime[[Date]:[Date]],$B151,TableTime[[Activity]:[Activity]],T$1)=0,"",SUMIFS(TableTime[[Duration]:[Duration]],TableTime[[Date]:[Date]],$B151,TableTime[[Activity]:[Activity]],T$1))</f>
        <v/>
      </c>
      <c r="U151" s="39" t="str">
        <f>IF(SUMIFS(TableTime[[Duration]:[Duration]],TableTime[[Date]:[Date]],$B151,TableTime[[Activity]:[Activity]],U$1)=0,"",SUMIFS(TableTime[[Duration]:[Duration]],TableTime[[Date]:[Date]],$B151,TableTime[[Activity]:[Activity]],U$1))</f>
        <v/>
      </c>
    </row>
    <row r="152" spans="1:21" x14ac:dyDescent="0.35">
      <c r="A152" s="59" t="str">
        <f t="shared" si="12"/>
        <v>Wed</v>
      </c>
      <c r="B152" s="91">
        <f t="shared" si="14"/>
        <v>45077</v>
      </c>
      <c r="C152" s="60">
        <f t="shared" si="15"/>
        <v>5</v>
      </c>
      <c r="D152" s="61">
        <f t="shared" si="13"/>
        <v>22</v>
      </c>
      <c r="E152" s="103"/>
      <c r="F152" s="60" t="str">
        <f>IFERROR(IF(OR(WEEKDAY(B152,2)=6,WEEKDAY(B152,2)=7),'Month summary'!$D$11,IF(E152="",'Month summary'!$C$11,E152)),"")</f>
        <v>W</v>
      </c>
      <c r="G152" s="62">
        <f>IF(B152&lt;Time!$B$2,"",IF(F152='Month summary'!$C$11,'Month summary'!$F$2/24,IF(F152="H/2",'Month summary'!$F$2/24/2,0)))</f>
        <v>0.33333333333333331</v>
      </c>
      <c r="H152" s="62">
        <f t="shared" si="16"/>
        <v>0</v>
      </c>
      <c r="I152" s="62" t="str">
        <f t="shared" si="17"/>
        <v/>
      </c>
      <c r="J152" s="108"/>
      <c r="K152" s="63" t="str">
        <f>IFERROR(INDEX(TableTime[Time],MATCH(B152,TableTime[Date],0)),"")</f>
        <v/>
      </c>
      <c r="L152" s="62" t="str">
        <f>IF(SUMIFS(TableTime[Duration],TableTime[Date],B152,TableTime[Activity],Projects!$C$9)+SUMIFS(TableTime[Duration],TableTime[Date],B152,TableTime[Activity],Projects!$C$10)+SUMIFS(TableTime[Duration],TableTime[Date],B152,TableTime[Activity],Projects!$C$11)=0,"",SUMIFS(TableTime[Duration],TableTime[Date],B152,TableTime[Activity],Projects!$C$9)+SUMIFS(TableTime[Duration],TableTime[Date],B152,TableTime[Activity],Projects!$C$10)+SUMIFS(TableTime[Duration],TableTime[Date],B152,TableTime[Activity],Projects!$C$11))</f>
        <v/>
      </c>
      <c r="M152" s="62" t="str" cm="1">
        <f t="array" ref="M152">IFERROR(LOOKUP(2,1/(TableTime[Date]=B152),TableTime[Time]),"")</f>
        <v/>
      </c>
      <c r="N152" s="63" t="str">
        <f>IF(SUMIFS(TableTime[[Duration]:[Duration]],TableTime[[Date]:[Date]],$B152,TableTime[[Activity]:[Activity]],N$1)=0,"",SUMIFS(TableTime[[Duration]:[Duration]],TableTime[[Date]:[Date]],$B152,TableTime[[Activity]:[Activity]],N$1))</f>
        <v/>
      </c>
      <c r="O152" s="62" t="str">
        <f>IF(SUMIFS(TableTime[[Duration]:[Duration]],TableTime[[Date]:[Date]],$B152,TableTime[[Activity]:[Activity]],O$1)=0,"",SUMIFS(TableTime[[Duration]:[Duration]],TableTime[[Date]:[Date]],$B152,TableTime[[Activity]:[Activity]],O$1))</f>
        <v/>
      </c>
      <c r="P152" s="62" t="str">
        <f>IF(SUMIFS(TableTime[[Duration]:[Duration]],TableTime[[Date]:[Date]],$B152,TableTime[[Activity]:[Activity]],P$1)=0,"",SUMIFS(TableTime[[Duration]:[Duration]],TableTime[[Date]:[Date]],$B152,TableTime[[Activity]:[Activity]],P$1))</f>
        <v/>
      </c>
      <c r="Q152" s="62" t="str">
        <f>IF(SUMIFS(TableTime[[Duration]:[Duration]],TableTime[[Date]:[Date]],$B152,TableTime[[Activity]:[Activity]],Q$1)=0,"",SUMIFS(TableTime[[Duration]:[Duration]],TableTime[[Date]:[Date]],$B152,TableTime[[Activity]:[Activity]],Q$1))</f>
        <v/>
      </c>
      <c r="R152" s="62" t="str">
        <f>IF(SUMIFS(TableTime[[Duration]:[Duration]],TableTime[[Date]:[Date]],$B152,TableTime[[Activity]:[Activity]],R$1)=0,"",SUMIFS(TableTime[[Duration]:[Duration]],TableTime[[Date]:[Date]],$B152,TableTime[[Activity]:[Activity]],R$1))</f>
        <v/>
      </c>
      <c r="S152" s="131" t="str">
        <f>IF(SUMIFS(TableTime[[Duration]:[Duration]],TableTime[[Date]:[Date]],$B152,TableTime[[Activity]:[Activity]],S$1)=0,"",SUMIFS(TableTime[[Duration]:[Duration]],TableTime[[Date]:[Date]],$B152,TableTime[[Activity]:[Activity]],S$1))</f>
        <v/>
      </c>
      <c r="T152" s="62" t="str">
        <f>IF(SUMIFS(TableTime[[Duration]:[Duration]],TableTime[[Date]:[Date]],$B152,TableTime[[Activity]:[Activity]],T$1)=0,"",SUMIFS(TableTime[[Duration]:[Duration]],TableTime[[Date]:[Date]],$B152,TableTime[[Activity]:[Activity]],T$1))</f>
        <v/>
      </c>
      <c r="U152" s="64" t="str">
        <f>IF(SUMIFS(TableTime[[Duration]:[Duration]],TableTime[[Date]:[Date]],$B152,TableTime[[Activity]:[Activity]],U$1)=0,"",SUMIFS(TableTime[[Duration]:[Duration]],TableTime[[Date]:[Date]],$B152,TableTime[[Activity]:[Activity]],U$1))</f>
        <v/>
      </c>
    </row>
    <row r="153" spans="1:21" x14ac:dyDescent="0.35">
      <c r="A153" s="35" t="str">
        <f t="shared" si="12"/>
        <v>Thr</v>
      </c>
      <c r="B153" s="5">
        <f t="shared" si="14"/>
        <v>45078</v>
      </c>
      <c r="C153" s="1">
        <f t="shared" si="15"/>
        <v>6</v>
      </c>
      <c r="D153" s="2">
        <f t="shared" si="13"/>
        <v>22</v>
      </c>
      <c r="E153" s="102"/>
      <c r="F153" s="1" t="str">
        <f>IFERROR(IF(OR(WEEKDAY(B153,2)=6,WEEKDAY(B153,2)=7),'Month summary'!$D$11,IF(E153="",'Month summary'!$C$11,E153)),"")</f>
        <v>W</v>
      </c>
      <c r="G153" s="4">
        <f>IF(B153&lt;Time!$B$2,"",IF(F153='Month summary'!$C$11,'Month summary'!$F$2/24,IF(F153="H/2",'Month summary'!$F$2/24/2,0)))</f>
        <v>0.33333333333333331</v>
      </c>
      <c r="H153" s="4">
        <f t="shared" si="16"/>
        <v>0</v>
      </c>
      <c r="I153" s="4" t="str">
        <f t="shared" si="17"/>
        <v/>
      </c>
      <c r="J153" s="107"/>
      <c r="K153" s="38" t="str">
        <f>IFERROR(INDEX(TableTime[Time],MATCH(B153,TableTime[Date],0)),"")</f>
        <v/>
      </c>
      <c r="L153" s="4" t="str">
        <f>IF(SUMIFS(TableTime[Duration],TableTime[Date],B153,TableTime[Activity],Projects!$C$9)+SUMIFS(TableTime[Duration],TableTime[Date],B153,TableTime[Activity],Projects!$C$10)+SUMIFS(TableTime[Duration],TableTime[Date],B153,TableTime[Activity],Projects!$C$11)=0,"",SUMIFS(TableTime[Duration],TableTime[Date],B153,TableTime[Activity],Projects!$C$9)+SUMIFS(TableTime[Duration],TableTime[Date],B153,TableTime[Activity],Projects!$C$10)+SUMIFS(TableTime[Duration],TableTime[Date],B153,TableTime[Activity],Projects!$C$11))</f>
        <v/>
      </c>
      <c r="M153" s="4" t="str" cm="1">
        <f t="array" ref="M153">IFERROR(LOOKUP(2,1/(TableTime[Date]=B153),TableTime[Time]),"")</f>
        <v/>
      </c>
      <c r="N153" s="38" t="str">
        <f>IF(SUMIFS(TableTime[[Duration]:[Duration]],TableTime[[Date]:[Date]],$B153,TableTime[[Activity]:[Activity]],N$1)=0,"",SUMIFS(TableTime[[Duration]:[Duration]],TableTime[[Date]:[Date]],$B153,TableTime[[Activity]:[Activity]],N$1))</f>
        <v/>
      </c>
      <c r="O153" s="4" t="str">
        <f>IF(SUMIFS(TableTime[[Duration]:[Duration]],TableTime[[Date]:[Date]],$B153,TableTime[[Activity]:[Activity]],O$1)=0,"",SUMIFS(TableTime[[Duration]:[Duration]],TableTime[[Date]:[Date]],$B153,TableTime[[Activity]:[Activity]],O$1))</f>
        <v/>
      </c>
      <c r="P153" s="4" t="str">
        <f>IF(SUMIFS(TableTime[[Duration]:[Duration]],TableTime[[Date]:[Date]],$B153,TableTime[[Activity]:[Activity]],P$1)=0,"",SUMIFS(TableTime[[Duration]:[Duration]],TableTime[[Date]:[Date]],$B153,TableTime[[Activity]:[Activity]],P$1))</f>
        <v/>
      </c>
      <c r="Q153" s="4" t="str">
        <f>IF(SUMIFS(TableTime[[Duration]:[Duration]],TableTime[[Date]:[Date]],$B153,TableTime[[Activity]:[Activity]],Q$1)=0,"",SUMIFS(TableTime[[Duration]:[Duration]],TableTime[[Date]:[Date]],$B153,TableTime[[Activity]:[Activity]],Q$1))</f>
        <v/>
      </c>
      <c r="R153" s="4" t="str">
        <f>IF(SUMIFS(TableTime[[Duration]:[Duration]],TableTime[[Date]:[Date]],$B153,TableTime[[Activity]:[Activity]],R$1)=0,"",SUMIFS(TableTime[[Duration]:[Duration]],TableTime[[Date]:[Date]],$B153,TableTime[[Activity]:[Activity]],R$1))</f>
        <v/>
      </c>
      <c r="S153" s="130" t="str">
        <f>IF(SUMIFS(TableTime[[Duration]:[Duration]],TableTime[[Date]:[Date]],$B153,TableTime[[Activity]:[Activity]],S$1)=0,"",SUMIFS(TableTime[[Duration]:[Duration]],TableTime[[Date]:[Date]],$B153,TableTime[[Activity]:[Activity]],S$1))</f>
        <v/>
      </c>
      <c r="T153" s="4" t="str">
        <f>IF(SUMIFS(TableTime[[Duration]:[Duration]],TableTime[[Date]:[Date]],$B153,TableTime[[Activity]:[Activity]],T$1)=0,"",SUMIFS(TableTime[[Duration]:[Duration]],TableTime[[Date]:[Date]],$B153,TableTime[[Activity]:[Activity]],T$1))</f>
        <v/>
      </c>
      <c r="U153" s="39" t="str">
        <f>IF(SUMIFS(TableTime[[Duration]:[Duration]],TableTime[[Date]:[Date]],$B153,TableTime[[Activity]:[Activity]],U$1)=0,"",SUMIFS(TableTime[[Duration]:[Duration]],TableTime[[Date]:[Date]],$B153,TableTime[[Activity]:[Activity]],U$1))</f>
        <v/>
      </c>
    </row>
    <row r="154" spans="1:21" x14ac:dyDescent="0.35">
      <c r="A154" s="59" t="str">
        <f t="shared" si="12"/>
        <v>Fri</v>
      </c>
      <c r="B154" s="91">
        <f t="shared" si="14"/>
        <v>45079</v>
      </c>
      <c r="C154" s="60">
        <f t="shared" si="15"/>
        <v>6</v>
      </c>
      <c r="D154" s="61">
        <f t="shared" si="13"/>
        <v>22</v>
      </c>
      <c r="E154" s="103"/>
      <c r="F154" s="60" t="str">
        <f>IFERROR(IF(OR(WEEKDAY(B154,2)=6,WEEKDAY(B154,2)=7),'Month summary'!$D$11,IF(E154="",'Month summary'!$C$11,E154)),"")</f>
        <v>W</v>
      </c>
      <c r="G154" s="62">
        <f>IF(B154&lt;Time!$B$2,"",IF(F154='Month summary'!$C$11,'Month summary'!$F$2/24,IF(F154="H/2",'Month summary'!$F$2/24/2,0)))</f>
        <v>0.33333333333333331</v>
      </c>
      <c r="H154" s="62">
        <f t="shared" si="16"/>
        <v>0</v>
      </c>
      <c r="I154" s="62" t="str">
        <f t="shared" si="17"/>
        <v/>
      </c>
      <c r="J154" s="108"/>
      <c r="K154" s="63" t="str">
        <f>IFERROR(INDEX(TableTime[Time],MATCH(B154,TableTime[Date],0)),"")</f>
        <v/>
      </c>
      <c r="L154" s="62" t="str">
        <f>IF(SUMIFS(TableTime[Duration],TableTime[Date],B154,TableTime[Activity],Projects!$C$9)+SUMIFS(TableTime[Duration],TableTime[Date],B154,TableTime[Activity],Projects!$C$10)+SUMIFS(TableTime[Duration],TableTime[Date],B154,TableTime[Activity],Projects!$C$11)=0,"",SUMIFS(TableTime[Duration],TableTime[Date],B154,TableTime[Activity],Projects!$C$9)+SUMIFS(TableTime[Duration],TableTime[Date],B154,TableTime[Activity],Projects!$C$10)+SUMIFS(TableTime[Duration],TableTime[Date],B154,TableTime[Activity],Projects!$C$11))</f>
        <v/>
      </c>
      <c r="M154" s="62" t="str" cm="1">
        <f t="array" ref="M154">IFERROR(LOOKUP(2,1/(TableTime[Date]=B154),TableTime[Time]),"")</f>
        <v/>
      </c>
      <c r="N154" s="63" t="str">
        <f>IF(SUMIFS(TableTime[[Duration]:[Duration]],TableTime[[Date]:[Date]],$B154,TableTime[[Activity]:[Activity]],N$1)=0,"",SUMIFS(TableTime[[Duration]:[Duration]],TableTime[[Date]:[Date]],$B154,TableTime[[Activity]:[Activity]],N$1))</f>
        <v/>
      </c>
      <c r="O154" s="62" t="str">
        <f>IF(SUMIFS(TableTime[[Duration]:[Duration]],TableTime[[Date]:[Date]],$B154,TableTime[[Activity]:[Activity]],O$1)=0,"",SUMIFS(TableTime[[Duration]:[Duration]],TableTime[[Date]:[Date]],$B154,TableTime[[Activity]:[Activity]],O$1))</f>
        <v/>
      </c>
      <c r="P154" s="62" t="str">
        <f>IF(SUMIFS(TableTime[[Duration]:[Duration]],TableTime[[Date]:[Date]],$B154,TableTime[[Activity]:[Activity]],P$1)=0,"",SUMIFS(TableTime[[Duration]:[Duration]],TableTime[[Date]:[Date]],$B154,TableTime[[Activity]:[Activity]],P$1))</f>
        <v/>
      </c>
      <c r="Q154" s="62" t="str">
        <f>IF(SUMIFS(TableTime[[Duration]:[Duration]],TableTime[[Date]:[Date]],$B154,TableTime[[Activity]:[Activity]],Q$1)=0,"",SUMIFS(TableTime[[Duration]:[Duration]],TableTime[[Date]:[Date]],$B154,TableTime[[Activity]:[Activity]],Q$1))</f>
        <v/>
      </c>
      <c r="R154" s="62" t="str">
        <f>IF(SUMIFS(TableTime[[Duration]:[Duration]],TableTime[[Date]:[Date]],$B154,TableTime[[Activity]:[Activity]],R$1)=0,"",SUMIFS(TableTime[[Duration]:[Duration]],TableTime[[Date]:[Date]],$B154,TableTime[[Activity]:[Activity]],R$1))</f>
        <v/>
      </c>
      <c r="S154" s="131" t="str">
        <f>IF(SUMIFS(TableTime[[Duration]:[Duration]],TableTime[[Date]:[Date]],$B154,TableTime[[Activity]:[Activity]],S$1)=0,"",SUMIFS(TableTime[[Duration]:[Duration]],TableTime[[Date]:[Date]],$B154,TableTime[[Activity]:[Activity]],S$1))</f>
        <v/>
      </c>
      <c r="T154" s="62" t="str">
        <f>IF(SUMIFS(TableTime[[Duration]:[Duration]],TableTime[[Date]:[Date]],$B154,TableTime[[Activity]:[Activity]],T$1)=0,"",SUMIFS(TableTime[[Duration]:[Duration]],TableTime[[Date]:[Date]],$B154,TableTime[[Activity]:[Activity]],T$1))</f>
        <v/>
      </c>
      <c r="U154" s="64" t="str">
        <f>IF(SUMIFS(TableTime[[Duration]:[Duration]],TableTime[[Date]:[Date]],$B154,TableTime[[Activity]:[Activity]],U$1)=0,"",SUMIFS(TableTime[[Duration]:[Duration]],TableTime[[Date]:[Date]],$B154,TableTime[[Activity]:[Activity]],U$1))</f>
        <v/>
      </c>
    </row>
    <row r="155" spans="1:21" x14ac:dyDescent="0.35">
      <c r="A155" s="35" t="str">
        <f t="shared" si="12"/>
        <v>Sat</v>
      </c>
      <c r="B155" s="5">
        <f t="shared" si="14"/>
        <v>45080</v>
      </c>
      <c r="C155" s="1">
        <f t="shared" si="15"/>
        <v>6</v>
      </c>
      <c r="D155" s="2">
        <f t="shared" si="13"/>
        <v>22</v>
      </c>
      <c r="E155" s="102"/>
      <c r="F155" s="1" t="str">
        <f>IFERROR(IF(OR(WEEKDAY(B155,2)=6,WEEKDAY(B155,2)=7),'Month summary'!$D$11,IF(E155="",'Month summary'!$C$11,E155)),"")</f>
        <v>WE</v>
      </c>
      <c r="G155" s="4">
        <f>IF(B155&lt;Time!$B$2,"",IF(F155='Month summary'!$C$11,'Month summary'!$F$2/24,IF(F155="H/2",'Month summary'!$F$2/24/2,0)))</f>
        <v>0</v>
      </c>
      <c r="H155" s="4">
        <f t="shared" si="16"/>
        <v>0</v>
      </c>
      <c r="I155" s="4" t="str">
        <f t="shared" si="17"/>
        <v/>
      </c>
      <c r="J155" s="107"/>
      <c r="K155" s="38" t="str">
        <f>IFERROR(INDEX(TableTime[Time],MATCH(B155,TableTime[Date],0)),"")</f>
        <v/>
      </c>
      <c r="L155" s="4" t="str">
        <f>IF(SUMIFS(TableTime[Duration],TableTime[Date],B155,TableTime[Activity],Projects!$C$9)+SUMIFS(TableTime[Duration],TableTime[Date],B155,TableTime[Activity],Projects!$C$10)+SUMIFS(TableTime[Duration],TableTime[Date],B155,TableTime[Activity],Projects!$C$11)=0,"",SUMIFS(TableTime[Duration],TableTime[Date],B155,TableTime[Activity],Projects!$C$9)+SUMIFS(TableTime[Duration],TableTime[Date],B155,TableTime[Activity],Projects!$C$10)+SUMIFS(TableTime[Duration],TableTime[Date],B155,TableTime[Activity],Projects!$C$11))</f>
        <v/>
      </c>
      <c r="M155" s="4" t="str" cm="1">
        <f t="array" ref="M155">IFERROR(LOOKUP(2,1/(TableTime[Date]=B155),TableTime[Time]),"")</f>
        <v/>
      </c>
      <c r="N155" s="38" t="str">
        <f>IF(SUMIFS(TableTime[[Duration]:[Duration]],TableTime[[Date]:[Date]],$B155,TableTime[[Activity]:[Activity]],N$1)=0,"",SUMIFS(TableTime[[Duration]:[Duration]],TableTime[[Date]:[Date]],$B155,TableTime[[Activity]:[Activity]],N$1))</f>
        <v/>
      </c>
      <c r="O155" s="4" t="str">
        <f>IF(SUMIFS(TableTime[[Duration]:[Duration]],TableTime[[Date]:[Date]],$B155,TableTime[[Activity]:[Activity]],O$1)=0,"",SUMIFS(TableTime[[Duration]:[Duration]],TableTime[[Date]:[Date]],$B155,TableTime[[Activity]:[Activity]],O$1))</f>
        <v/>
      </c>
      <c r="P155" s="4" t="str">
        <f>IF(SUMIFS(TableTime[[Duration]:[Duration]],TableTime[[Date]:[Date]],$B155,TableTime[[Activity]:[Activity]],P$1)=0,"",SUMIFS(TableTime[[Duration]:[Duration]],TableTime[[Date]:[Date]],$B155,TableTime[[Activity]:[Activity]],P$1))</f>
        <v/>
      </c>
      <c r="Q155" s="4" t="str">
        <f>IF(SUMIFS(TableTime[[Duration]:[Duration]],TableTime[[Date]:[Date]],$B155,TableTime[[Activity]:[Activity]],Q$1)=0,"",SUMIFS(TableTime[[Duration]:[Duration]],TableTime[[Date]:[Date]],$B155,TableTime[[Activity]:[Activity]],Q$1))</f>
        <v/>
      </c>
      <c r="R155" s="4" t="str">
        <f>IF(SUMIFS(TableTime[[Duration]:[Duration]],TableTime[[Date]:[Date]],$B155,TableTime[[Activity]:[Activity]],R$1)=0,"",SUMIFS(TableTime[[Duration]:[Duration]],TableTime[[Date]:[Date]],$B155,TableTime[[Activity]:[Activity]],R$1))</f>
        <v/>
      </c>
      <c r="S155" s="130" t="str">
        <f>IF(SUMIFS(TableTime[[Duration]:[Duration]],TableTime[[Date]:[Date]],$B155,TableTime[[Activity]:[Activity]],S$1)=0,"",SUMIFS(TableTime[[Duration]:[Duration]],TableTime[[Date]:[Date]],$B155,TableTime[[Activity]:[Activity]],S$1))</f>
        <v/>
      </c>
      <c r="T155" s="4" t="str">
        <f>IF(SUMIFS(TableTime[[Duration]:[Duration]],TableTime[[Date]:[Date]],$B155,TableTime[[Activity]:[Activity]],T$1)=0,"",SUMIFS(TableTime[[Duration]:[Duration]],TableTime[[Date]:[Date]],$B155,TableTime[[Activity]:[Activity]],T$1))</f>
        <v/>
      </c>
      <c r="U155" s="39" t="str">
        <f>IF(SUMIFS(TableTime[[Duration]:[Duration]],TableTime[[Date]:[Date]],$B155,TableTime[[Activity]:[Activity]],U$1)=0,"",SUMIFS(TableTime[[Duration]:[Duration]],TableTime[[Date]:[Date]],$B155,TableTime[[Activity]:[Activity]],U$1))</f>
        <v/>
      </c>
    </row>
    <row r="156" spans="1:21" x14ac:dyDescent="0.35">
      <c r="A156" s="59" t="str">
        <f t="shared" si="12"/>
        <v>Sun</v>
      </c>
      <c r="B156" s="91">
        <f t="shared" si="14"/>
        <v>45081</v>
      </c>
      <c r="C156" s="60">
        <f t="shared" si="15"/>
        <v>6</v>
      </c>
      <c r="D156" s="61">
        <f t="shared" si="13"/>
        <v>22</v>
      </c>
      <c r="E156" s="103"/>
      <c r="F156" s="60" t="str">
        <f>IFERROR(IF(OR(WEEKDAY(B156,2)=6,WEEKDAY(B156,2)=7),'Month summary'!$D$11,IF(E156="",'Month summary'!$C$11,E156)),"")</f>
        <v>WE</v>
      </c>
      <c r="G156" s="62">
        <f>IF(B156&lt;Time!$B$2,"",IF(F156='Month summary'!$C$11,'Month summary'!$F$2/24,IF(F156="H/2",'Month summary'!$F$2/24/2,0)))</f>
        <v>0</v>
      </c>
      <c r="H156" s="62">
        <f t="shared" si="16"/>
        <v>0</v>
      </c>
      <c r="I156" s="62" t="str">
        <f t="shared" si="17"/>
        <v/>
      </c>
      <c r="J156" s="108"/>
      <c r="K156" s="63" t="str">
        <f>IFERROR(INDEX(TableTime[Time],MATCH(B156,TableTime[Date],0)),"")</f>
        <v/>
      </c>
      <c r="L156" s="62" t="str">
        <f>IF(SUMIFS(TableTime[Duration],TableTime[Date],B156,TableTime[Activity],Projects!$C$9)+SUMIFS(TableTime[Duration],TableTime[Date],B156,TableTime[Activity],Projects!$C$10)+SUMIFS(TableTime[Duration],TableTime[Date],B156,TableTime[Activity],Projects!$C$11)=0,"",SUMIFS(TableTime[Duration],TableTime[Date],B156,TableTime[Activity],Projects!$C$9)+SUMIFS(TableTime[Duration],TableTime[Date],B156,TableTime[Activity],Projects!$C$10)+SUMIFS(TableTime[Duration],TableTime[Date],B156,TableTime[Activity],Projects!$C$11))</f>
        <v/>
      </c>
      <c r="M156" s="62" t="str" cm="1">
        <f t="array" ref="M156">IFERROR(LOOKUP(2,1/(TableTime[Date]=B156),TableTime[Time]),"")</f>
        <v/>
      </c>
      <c r="N156" s="63" t="str">
        <f>IF(SUMIFS(TableTime[[Duration]:[Duration]],TableTime[[Date]:[Date]],$B156,TableTime[[Activity]:[Activity]],N$1)=0,"",SUMIFS(TableTime[[Duration]:[Duration]],TableTime[[Date]:[Date]],$B156,TableTime[[Activity]:[Activity]],N$1))</f>
        <v/>
      </c>
      <c r="O156" s="62" t="str">
        <f>IF(SUMIFS(TableTime[[Duration]:[Duration]],TableTime[[Date]:[Date]],$B156,TableTime[[Activity]:[Activity]],O$1)=0,"",SUMIFS(TableTime[[Duration]:[Duration]],TableTime[[Date]:[Date]],$B156,TableTime[[Activity]:[Activity]],O$1))</f>
        <v/>
      </c>
      <c r="P156" s="62" t="str">
        <f>IF(SUMIFS(TableTime[[Duration]:[Duration]],TableTime[[Date]:[Date]],$B156,TableTime[[Activity]:[Activity]],P$1)=0,"",SUMIFS(TableTime[[Duration]:[Duration]],TableTime[[Date]:[Date]],$B156,TableTime[[Activity]:[Activity]],P$1))</f>
        <v/>
      </c>
      <c r="Q156" s="62" t="str">
        <f>IF(SUMIFS(TableTime[[Duration]:[Duration]],TableTime[[Date]:[Date]],$B156,TableTime[[Activity]:[Activity]],Q$1)=0,"",SUMIFS(TableTime[[Duration]:[Duration]],TableTime[[Date]:[Date]],$B156,TableTime[[Activity]:[Activity]],Q$1))</f>
        <v/>
      </c>
      <c r="R156" s="62" t="str">
        <f>IF(SUMIFS(TableTime[[Duration]:[Duration]],TableTime[[Date]:[Date]],$B156,TableTime[[Activity]:[Activity]],R$1)=0,"",SUMIFS(TableTime[[Duration]:[Duration]],TableTime[[Date]:[Date]],$B156,TableTime[[Activity]:[Activity]],R$1))</f>
        <v/>
      </c>
      <c r="S156" s="131" t="str">
        <f>IF(SUMIFS(TableTime[[Duration]:[Duration]],TableTime[[Date]:[Date]],$B156,TableTime[[Activity]:[Activity]],S$1)=0,"",SUMIFS(TableTime[[Duration]:[Duration]],TableTime[[Date]:[Date]],$B156,TableTime[[Activity]:[Activity]],S$1))</f>
        <v/>
      </c>
      <c r="T156" s="62" t="str">
        <f>IF(SUMIFS(TableTime[[Duration]:[Duration]],TableTime[[Date]:[Date]],$B156,TableTime[[Activity]:[Activity]],T$1)=0,"",SUMIFS(TableTime[[Duration]:[Duration]],TableTime[[Date]:[Date]],$B156,TableTime[[Activity]:[Activity]],T$1))</f>
        <v/>
      </c>
      <c r="U156" s="64" t="str">
        <f>IF(SUMIFS(TableTime[[Duration]:[Duration]],TableTime[[Date]:[Date]],$B156,TableTime[[Activity]:[Activity]],U$1)=0,"",SUMIFS(TableTime[[Duration]:[Duration]],TableTime[[Date]:[Date]],$B156,TableTime[[Activity]:[Activity]],U$1))</f>
        <v/>
      </c>
    </row>
    <row r="157" spans="1:21" x14ac:dyDescent="0.35">
      <c r="A157" s="35" t="str">
        <f t="shared" si="12"/>
        <v>Mon</v>
      </c>
      <c r="B157" s="5">
        <f t="shared" si="14"/>
        <v>45082</v>
      </c>
      <c r="C157" s="1">
        <f t="shared" si="15"/>
        <v>6</v>
      </c>
      <c r="D157" s="2">
        <f t="shared" si="13"/>
        <v>23</v>
      </c>
      <c r="E157" s="102"/>
      <c r="F157" s="1" t="str">
        <f>IFERROR(IF(OR(WEEKDAY(B157,2)=6,WEEKDAY(B157,2)=7),'Month summary'!$D$11,IF(E157="",'Month summary'!$C$11,E157)),"")</f>
        <v>W</v>
      </c>
      <c r="G157" s="4">
        <f>IF(B157&lt;Time!$B$2,"",IF(F157='Month summary'!$C$11,'Month summary'!$F$2/24,IF(F157="H/2",'Month summary'!$F$2/24/2,0)))</f>
        <v>0.33333333333333331</v>
      </c>
      <c r="H157" s="4">
        <f t="shared" si="16"/>
        <v>0</v>
      </c>
      <c r="I157" s="4" t="str">
        <f t="shared" si="17"/>
        <v/>
      </c>
      <c r="J157" s="107"/>
      <c r="K157" s="38" t="str">
        <f>IFERROR(INDEX(TableTime[Time],MATCH(B157,TableTime[Date],0)),"")</f>
        <v/>
      </c>
      <c r="L157" s="4" t="str">
        <f>IF(SUMIFS(TableTime[Duration],TableTime[Date],B157,TableTime[Activity],Projects!$C$9)+SUMIFS(TableTime[Duration],TableTime[Date],B157,TableTime[Activity],Projects!$C$10)+SUMIFS(TableTime[Duration],TableTime[Date],B157,TableTime[Activity],Projects!$C$11)=0,"",SUMIFS(TableTime[Duration],TableTime[Date],B157,TableTime[Activity],Projects!$C$9)+SUMIFS(TableTime[Duration],TableTime[Date],B157,TableTime[Activity],Projects!$C$10)+SUMIFS(TableTime[Duration],TableTime[Date],B157,TableTime[Activity],Projects!$C$11))</f>
        <v/>
      </c>
      <c r="M157" s="4" t="str" cm="1">
        <f t="array" ref="M157">IFERROR(LOOKUP(2,1/(TableTime[Date]=B157),TableTime[Time]),"")</f>
        <v/>
      </c>
      <c r="N157" s="38" t="str">
        <f>IF(SUMIFS(TableTime[[Duration]:[Duration]],TableTime[[Date]:[Date]],$B157,TableTime[[Activity]:[Activity]],N$1)=0,"",SUMIFS(TableTime[[Duration]:[Duration]],TableTime[[Date]:[Date]],$B157,TableTime[[Activity]:[Activity]],N$1))</f>
        <v/>
      </c>
      <c r="O157" s="4" t="str">
        <f>IF(SUMIFS(TableTime[[Duration]:[Duration]],TableTime[[Date]:[Date]],$B157,TableTime[[Activity]:[Activity]],O$1)=0,"",SUMIFS(TableTime[[Duration]:[Duration]],TableTime[[Date]:[Date]],$B157,TableTime[[Activity]:[Activity]],O$1))</f>
        <v/>
      </c>
      <c r="P157" s="4" t="str">
        <f>IF(SUMIFS(TableTime[[Duration]:[Duration]],TableTime[[Date]:[Date]],$B157,TableTime[[Activity]:[Activity]],P$1)=0,"",SUMIFS(TableTime[[Duration]:[Duration]],TableTime[[Date]:[Date]],$B157,TableTime[[Activity]:[Activity]],P$1))</f>
        <v/>
      </c>
      <c r="Q157" s="4" t="str">
        <f>IF(SUMIFS(TableTime[[Duration]:[Duration]],TableTime[[Date]:[Date]],$B157,TableTime[[Activity]:[Activity]],Q$1)=0,"",SUMIFS(TableTime[[Duration]:[Duration]],TableTime[[Date]:[Date]],$B157,TableTime[[Activity]:[Activity]],Q$1))</f>
        <v/>
      </c>
      <c r="R157" s="4" t="str">
        <f>IF(SUMIFS(TableTime[[Duration]:[Duration]],TableTime[[Date]:[Date]],$B157,TableTime[[Activity]:[Activity]],R$1)=0,"",SUMIFS(TableTime[[Duration]:[Duration]],TableTime[[Date]:[Date]],$B157,TableTime[[Activity]:[Activity]],R$1))</f>
        <v/>
      </c>
      <c r="S157" s="130" t="str">
        <f>IF(SUMIFS(TableTime[[Duration]:[Duration]],TableTime[[Date]:[Date]],$B157,TableTime[[Activity]:[Activity]],S$1)=0,"",SUMIFS(TableTime[[Duration]:[Duration]],TableTime[[Date]:[Date]],$B157,TableTime[[Activity]:[Activity]],S$1))</f>
        <v/>
      </c>
      <c r="T157" s="4" t="str">
        <f>IF(SUMIFS(TableTime[[Duration]:[Duration]],TableTime[[Date]:[Date]],$B157,TableTime[[Activity]:[Activity]],T$1)=0,"",SUMIFS(TableTime[[Duration]:[Duration]],TableTime[[Date]:[Date]],$B157,TableTime[[Activity]:[Activity]],T$1))</f>
        <v/>
      </c>
      <c r="U157" s="39" t="str">
        <f>IF(SUMIFS(TableTime[[Duration]:[Duration]],TableTime[[Date]:[Date]],$B157,TableTime[[Activity]:[Activity]],U$1)=0,"",SUMIFS(TableTime[[Duration]:[Duration]],TableTime[[Date]:[Date]],$B157,TableTime[[Activity]:[Activity]],U$1))</f>
        <v/>
      </c>
    </row>
    <row r="158" spans="1:21" x14ac:dyDescent="0.35">
      <c r="A158" s="59" t="str">
        <f t="shared" si="12"/>
        <v>Tue</v>
      </c>
      <c r="B158" s="91">
        <f t="shared" si="14"/>
        <v>45083</v>
      </c>
      <c r="C158" s="60">
        <f t="shared" si="15"/>
        <v>6</v>
      </c>
      <c r="D158" s="61">
        <f t="shared" si="13"/>
        <v>23</v>
      </c>
      <c r="E158" s="103"/>
      <c r="F158" s="60" t="str">
        <f>IFERROR(IF(OR(WEEKDAY(B158,2)=6,WEEKDAY(B158,2)=7),'Month summary'!$D$11,IF(E158="",'Month summary'!$C$11,E158)),"")</f>
        <v>W</v>
      </c>
      <c r="G158" s="62">
        <f>IF(B158&lt;Time!$B$2,"",IF(F158='Month summary'!$C$11,'Month summary'!$F$2/24,IF(F158="H/2",'Month summary'!$F$2/24/2,0)))</f>
        <v>0.33333333333333331</v>
      </c>
      <c r="H158" s="62">
        <f t="shared" si="16"/>
        <v>0</v>
      </c>
      <c r="I158" s="62" t="str">
        <f t="shared" si="17"/>
        <v/>
      </c>
      <c r="J158" s="108"/>
      <c r="K158" s="63" t="str">
        <f>IFERROR(INDEX(TableTime[Time],MATCH(B158,TableTime[Date],0)),"")</f>
        <v/>
      </c>
      <c r="L158" s="62" t="str">
        <f>IF(SUMIFS(TableTime[Duration],TableTime[Date],B158,TableTime[Activity],Projects!$C$9)+SUMIFS(TableTime[Duration],TableTime[Date],B158,TableTime[Activity],Projects!$C$10)+SUMIFS(TableTime[Duration],TableTime[Date],B158,TableTime[Activity],Projects!$C$11)=0,"",SUMIFS(TableTime[Duration],TableTime[Date],B158,TableTime[Activity],Projects!$C$9)+SUMIFS(TableTime[Duration],TableTime[Date],B158,TableTime[Activity],Projects!$C$10)+SUMIFS(TableTime[Duration],TableTime[Date],B158,TableTime[Activity],Projects!$C$11))</f>
        <v/>
      </c>
      <c r="M158" s="62" t="str" cm="1">
        <f t="array" ref="M158">IFERROR(LOOKUP(2,1/(TableTime[Date]=B158),TableTime[Time]),"")</f>
        <v/>
      </c>
      <c r="N158" s="63" t="str">
        <f>IF(SUMIFS(TableTime[[Duration]:[Duration]],TableTime[[Date]:[Date]],$B158,TableTime[[Activity]:[Activity]],N$1)=0,"",SUMIFS(TableTime[[Duration]:[Duration]],TableTime[[Date]:[Date]],$B158,TableTime[[Activity]:[Activity]],N$1))</f>
        <v/>
      </c>
      <c r="O158" s="62" t="str">
        <f>IF(SUMIFS(TableTime[[Duration]:[Duration]],TableTime[[Date]:[Date]],$B158,TableTime[[Activity]:[Activity]],O$1)=0,"",SUMIFS(TableTime[[Duration]:[Duration]],TableTime[[Date]:[Date]],$B158,TableTime[[Activity]:[Activity]],O$1))</f>
        <v/>
      </c>
      <c r="P158" s="62" t="str">
        <f>IF(SUMIFS(TableTime[[Duration]:[Duration]],TableTime[[Date]:[Date]],$B158,TableTime[[Activity]:[Activity]],P$1)=0,"",SUMIFS(TableTime[[Duration]:[Duration]],TableTime[[Date]:[Date]],$B158,TableTime[[Activity]:[Activity]],P$1))</f>
        <v/>
      </c>
      <c r="Q158" s="62" t="str">
        <f>IF(SUMIFS(TableTime[[Duration]:[Duration]],TableTime[[Date]:[Date]],$B158,TableTime[[Activity]:[Activity]],Q$1)=0,"",SUMIFS(TableTime[[Duration]:[Duration]],TableTime[[Date]:[Date]],$B158,TableTime[[Activity]:[Activity]],Q$1))</f>
        <v/>
      </c>
      <c r="R158" s="62" t="str">
        <f>IF(SUMIFS(TableTime[[Duration]:[Duration]],TableTime[[Date]:[Date]],$B158,TableTime[[Activity]:[Activity]],R$1)=0,"",SUMIFS(TableTime[[Duration]:[Duration]],TableTime[[Date]:[Date]],$B158,TableTime[[Activity]:[Activity]],R$1))</f>
        <v/>
      </c>
      <c r="S158" s="131" t="str">
        <f>IF(SUMIFS(TableTime[[Duration]:[Duration]],TableTime[[Date]:[Date]],$B158,TableTime[[Activity]:[Activity]],S$1)=0,"",SUMIFS(TableTime[[Duration]:[Duration]],TableTime[[Date]:[Date]],$B158,TableTime[[Activity]:[Activity]],S$1))</f>
        <v/>
      </c>
      <c r="T158" s="62" t="str">
        <f>IF(SUMIFS(TableTime[[Duration]:[Duration]],TableTime[[Date]:[Date]],$B158,TableTime[[Activity]:[Activity]],T$1)=0,"",SUMIFS(TableTime[[Duration]:[Duration]],TableTime[[Date]:[Date]],$B158,TableTime[[Activity]:[Activity]],T$1))</f>
        <v/>
      </c>
      <c r="U158" s="64" t="str">
        <f>IF(SUMIFS(TableTime[[Duration]:[Duration]],TableTime[[Date]:[Date]],$B158,TableTime[[Activity]:[Activity]],U$1)=0,"",SUMIFS(TableTime[[Duration]:[Duration]],TableTime[[Date]:[Date]],$B158,TableTime[[Activity]:[Activity]],U$1))</f>
        <v/>
      </c>
    </row>
    <row r="159" spans="1:21" x14ac:dyDescent="0.35">
      <c r="A159" s="35" t="str">
        <f t="shared" si="12"/>
        <v>Wed</v>
      </c>
      <c r="B159" s="5">
        <f t="shared" si="14"/>
        <v>45084</v>
      </c>
      <c r="C159" s="1">
        <f t="shared" si="15"/>
        <v>6</v>
      </c>
      <c r="D159" s="2">
        <f t="shared" si="13"/>
        <v>23</v>
      </c>
      <c r="E159" s="102"/>
      <c r="F159" s="1" t="str">
        <f>IFERROR(IF(OR(WEEKDAY(B159,2)=6,WEEKDAY(B159,2)=7),'Month summary'!$D$11,IF(E159="",'Month summary'!$C$11,E159)),"")</f>
        <v>W</v>
      </c>
      <c r="G159" s="4">
        <f>IF(B159&lt;Time!$B$2,"",IF(F159='Month summary'!$C$11,'Month summary'!$F$2/24,IF(F159="H/2",'Month summary'!$F$2/24/2,0)))</f>
        <v>0.33333333333333331</v>
      </c>
      <c r="H159" s="4">
        <f t="shared" si="16"/>
        <v>0</v>
      </c>
      <c r="I159" s="4" t="str">
        <f t="shared" si="17"/>
        <v/>
      </c>
      <c r="J159" s="107"/>
      <c r="K159" s="38" t="str">
        <f>IFERROR(INDEX(TableTime[Time],MATCH(B159,TableTime[Date],0)),"")</f>
        <v/>
      </c>
      <c r="L159" s="4" t="str">
        <f>IF(SUMIFS(TableTime[Duration],TableTime[Date],B159,TableTime[Activity],Projects!$C$9)+SUMIFS(TableTime[Duration],TableTime[Date],B159,TableTime[Activity],Projects!$C$10)+SUMIFS(TableTime[Duration],TableTime[Date],B159,TableTime[Activity],Projects!$C$11)=0,"",SUMIFS(TableTime[Duration],TableTime[Date],B159,TableTime[Activity],Projects!$C$9)+SUMIFS(TableTime[Duration],TableTime[Date],B159,TableTime[Activity],Projects!$C$10)+SUMIFS(TableTime[Duration],TableTime[Date],B159,TableTime[Activity],Projects!$C$11))</f>
        <v/>
      </c>
      <c r="M159" s="4" t="str" cm="1">
        <f t="array" ref="M159">IFERROR(LOOKUP(2,1/(TableTime[Date]=B159),TableTime[Time]),"")</f>
        <v/>
      </c>
      <c r="N159" s="38" t="str">
        <f>IF(SUMIFS(TableTime[[Duration]:[Duration]],TableTime[[Date]:[Date]],$B159,TableTime[[Activity]:[Activity]],N$1)=0,"",SUMIFS(TableTime[[Duration]:[Duration]],TableTime[[Date]:[Date]],$B159,TableTime[[Activity]:[Activity]],N$1))</f>
        <v/>
      </c>
      <c r="O159" s="4" t="str">
        <f>IF(SUMIFS(TableTime[[Duration]:[Duration]],TableTime[[Date]:[Date]],$B159,TableTime[[Activity]:[Activity]],O$1)=0,"",SUMIFS(TableTime[[Duration]:[Duration]],TableTime[[Date]:[Date]],$B159,TableTime[[Activity]:[Activity]],O$1))</f>
        <v/>
      </c>
      <c r="P159" s="4" t="str">
        <f>IF(SUMIFS(TableTime[[Duration]:[Duration]],TableTime[[Date]:[Date]],$B159,TableTime[[Activity]:[Activity]],P$1)=0,"",SUMIFS(TableTime[[Duration]:[Duration]],TableTime[[Date]:[Date]],$B159,TableTime[[Activity]:[Activity]],P$1))</f>
        <v/>
      </c>
      <c r="Q159" s="4" t="str">
        <f>IF(SUMIFS(TableTime[[Duration]:[Duration]],TableTime[[Date]:[Date]],$B159,TableTime[[Activity]:[Activity]],Q$1)=0,"",SUMIFS(TableTime[[Duration]:[Duration]],TableTime[[Date]:[Date]],$B159,TableTime[[Activity]:[Activity]],Q$1))</f>
        <v/>
      </c>
      <c r="R159" s="4" t="str">
        <f>IF(SUMIFS(TableTime[[Duration]:[Duration]],TableTime[[Date]:[Date]],$B159,TableTime[[Activity]:[Activity]],R$1)=0,"",SUMIFS(TableTime[[Duration]:[Duration]],TableTime[[Date]:[Date]],$B159,TableTime[[Activity]:[Activity]],R$1))</f>
        <v/>
      </c>
      <c r="S159" s="130" t="str">
        <f>IF(SUMIFS(TableTime[[Duration]:[Duration]],TableTime[[Date]:[Date]],$B159,TableTime[[Activity]:[Activity]],S$1)=0,"",SUMIFS(TableTime[[Duration]:[Duration]],TableTime[[Date]:[Date]],$B159,TableTime[[Activity]:[Activity]],S$1))</f>
        <v/>
      </c>
      <c r="T159" s="4" t="str">
        <f>IF(SUMIFS(TableTime[[Duration]:[Duration]],TableTime[[Date]:[Date]],$B159,TableTime[[Activity]:[Activity]],T$1)=0,"",SUMIFS(TableTime[[Duration]:[Duration]],TableTime[[Date]:[Date]],$B159,TableTime[[Activity]:[Activity]],T$1))</f>
        <v/>
      </c>
      <c r="U159" s="39" t="str">
        <f>IF(SUMIFS(TableTime[[Duration]:[Duration]],TableTime[[Date]:[Date]],$B159,TableTime[[Activity]:[Activity]],U$1)=0,"",SUMIFS(TableTime[[Duration]:[Duration]],TableTime[[Date]:[Date]],$B159,TableTime[[Activity]:[Activity]],U$1))</f>
        <v/>
      </c>
    </row>
    <row r="160" spans="1:21" x14ac:dyDescent="0.35">
      <c r="A160" s="59" t="str">
        <f t="shared" si="12"/>
        <v>Thr</v>
      </c>
      <c r="B160" s="91">
        <f t="shared" si="14"/>
        <v>45085</v>
      </c>
      <c r="C160" s="60">
        <f t="shared" si="15"/>
        <v>6</v>
      </c>
      <c r="D160" s="61">
        <f t="shared" si="13"/>
        <v>23</v>
      </c>
      <c r="E160" s="103"/>
      <c r="F160" s="60" t="str">
        <f>IFERROR(IF(OR(WEEKDAY(B160,2)=6,WEEKDAY(B160,2)=7),'Month summary'!$D$11,IF(E160="",'Month summary'!$C$11,E160)),"")</f>
        <v>W</v>
      </c>
      <c r="G160" s="62">
        <f>IF(B160&lt;Time!$B$2,"",IF(F160='Month summary'!$C$11,'Month summary'!$F$2/24,IF(F160="H/2",'Month summary'!$F$2/24/2,0)))</f>
        <v>0.33333333333333331</v>
      </c>
      <c r="H160" s="62">
        <f t="shared" si="16"/>
        <v>0</v>
      </c>
      <c r="I160" s="62" t="str">
        <f t="shared" si="17"/>
        <v/>
      </c>
      <c r="J160" s="108"/>
      <c r="K160" s="63" t="str">
        <f>IFERROR(INDEX(TableTime[Time],MATCH(B160,TableTime[Date],0)),"")</f>
        <v/>
      </c>
      <c r="L160" s="62" t="str">
        <f>IF(SUMIFS(TableTime[Duration],TableTime[Date],B160,TableTime[Activity],Projects!$C$9)+SUMIFS(TableTime[Duration],TableTime[Date],B160,TableTime[Activity],Projects!$C$10)+SUMIFS(TableTime[Duration],TableTime[Date],B160,TableTime[Activity],Projects!$C$11)=0,"",SUMIFS(TableTime[Duration],TableTime[Date],B160,TableTime[Activity],Projects!$C$9)+SUMIFS(TableTime[Duration],TableTime[Date],B160,TableTime[Activity],Projects!$C$10)+SUMIFS(TableTime[Duration],TableTime[Date],B160,TableTime[Activity],Projects!$C$11))</f>
        <v/>
      </c>
      <c r="M160" s="62" t="str" cm="1">
        <f t="array" ref="M160">IFERROR(LOOKUP(2,1/(TableTime[Date]=B160),TableTime[Time]),"")</f>
        <v/>
      </c>
      <c r="N160" s="63" t="str">
        <f>IF(SUMIFS(TableTime[[Duration]:[Duration]],TableTime[[Date]:[Date]],$B160,TableTime[[Activity]:[Activity]],N$1)=0,"",SUMIFS(TableTime[[Duration]:[Duration]],TableTime[[Date]:[Date]],$B160,TableTime[[Activity]:[Activity]],N$1))</f>
        <v/>
      </c>
      <c r="O160" s="62" t="str">
        <f>IF(SUMIFS(TableTime[[Duration]:[Duration]],TableTime[[Date]:[Date]],$B160,TableTime[[Activity]:[Activity]],O$1)=0,"",SUMIFS(TableTime[[Duration]:[Duration]],TableTime[[Date]:[Date]],$B160,TableTime[[Activity]:[Activity]],O$1))</f>
        <v/>
      </c>
      <c r="P160" s="62" t="str">
        <f>IF(SUMIFS(TableTime[[Duration]:[Duration]],TableTime[[Date]:[Date]],$B160,TableTime[[Activity]:[Activity]],P$1)=0,"",SUMIFS(TableTime[[Duration]:[Duration]],TableTime[[Date]:[Date]],$B160,TableTime[[Activity]:[Activity]],P$1))</f>
        <v/>
      </c>
      <c r="Q160" s="62" t="str">
        <f>IF(SUMIFS(TableTime[[Duration]:[Duration]],TableTime[[Date]:[Date]],$B160,TableTime[[Activity]:[Activity]],Q$1)=0,"",SUMIFS(TableTime[[Duration]:[Duration]],TableTime[[Date]:[Date]],$B160,TableTime[[Activity]:[Activity]],Q$1))</f>
        <v/>
      </c>
      <c r="R160" s="62" t="str">
        <f>IF(SUMIFS(TableTime[[Duration]:[Duration]],TableTime[[Date]:[Date]],$B160,TableTime[[Activity]:[Activity]],R$1)=0,"",SUMIFS(TableTime[[Duration]:[Duration]],TableTime[[Date]:[Date]],$B160,TableTime[[Activity]:[Activity]],R$1))</f>
        <v/>
      </c>
      <c r="S160" s="131" t="str">
        <f>IF(SUMIFS(TableTime[[Duration]:[Duration]],TableTime[[Date]:[Date]],$B160,TableTime[[Activity]:[Activity]],S$1)=0,"",SUMIFS(TableTime[[Duration]:[Duration]],TableTime[[Date]:[Date]],$B160,TableTime[[Activity]:[Activity]],S$1))</f>
        <v/>
      </c>
      <c r="T160" s="62" t="str">
        <f>IF(SUMIFS(TableTime[[Duration]:[Duration]],TableTime[[Date]:[Date]],$B160,TableTime[[Activity]:[Activity]],T$1)=0,"",SUMIFS(TableTime[[Duration]:[Duration]],TableTime[[Date]:[Date]],$B160,TableTime[[Activity]:[Activity]],T$1))</f>
        <v/>
      </c>
      <c r="U160" s="64" t="str">
        <f>IF(SUMIFS(TableTime[[Duration]:[Duration]],TableTime[[Date]:[Date]],$B160,TableTime[[Activity]:[Activity]],U$1)=0,"",SUMIFS(TableTime[[Duration]:[Duration]],TableTime[[Date]:[Date]],$B160,TableTime[[Activity]:[Activity]],U$1))</f>
        <v/>
      </c>
    </row>
    <row r="161" spans="1:21" x14ac:dyDescent="0.35">
      <c r="A161" s="35" t="str">
        <f t="shared" si="12"/>
        <v>Fri</v>
      </c>
      <c r="B161" s="5">
        <f t="shared" si="14"/>
        <v>45086</v>
      </c>
      <c r="C161" s="1">
        <f t="shared" si="15"/>
        <v>6</v>
      </c>
      <c r="D161" s="2">
        <f t="shared" si="13"/>
        <v>23</v>
      </c>
      <c r="E161" s="102"/>
      <c r="F161" s="1" t="str">
        <f>IFERROR(IF(OR(WEEKDAY(B161,2)=6,WEEKDAY(B161,2)=7),'Month summary'!$D$11,IF(E161="",'Month summary'!$C$11,E161)),"")</f>
        <v>W</v>
      </c>
      <c r="G161" s="4">
        <f>IF(B161&lt;Time!$B$2,"",IF(F161='Month summary'!$C$11,'Month summary'!$F$2/24,IF(F161="H/2",'Month summary'!$F$2/24/2,0)))</f>
        <v>0.33333333333333331</v>
      </c>
      <c r="H161" s="4">
        <f t="shared" si="16"/>
        <v>0</v>
      </c>
      <c r="I161" s="4" t="str">
        <f t="shared" si="17"/>
        <v/>
      </c>
      <c r="J161" s="107"/>
      <c r="K161" s="38" t="str">
        <f>IFERROR(INDEX(TableTime[Time],MATCH(B161,TableTime[Date],0)),"")</f>
        <v/>
      </c>
      <c r="L161" s="4" t="str">
        <f>IF(SUMIFS(TableTime[Duration],TableTime[Date],B161,TableTime[Activity],Projects!$C$9)+SUMIFS(TableTime[Duration],TableTime[Date],B161,TableTime[Activity],Projects!$C$10)+SUMIFS(TableTime[Duration],TableTime[Date],B161,TableTime[Activity],Projects!$C$11)=0,"",SUMIFS(TableTime[Duration],TableTime[Date],B161,TableTime[Activity],Projects!$C$9)+SUMIFS(TableTime[Duration],TableTime[Date],B161,TableTime[Activity],Projects!$C$10)+SUMIFS(TableTime[Duration],TableTime[Date],B161,TableTime[Activity],Projects!$C$11))</f>
        <v/>
      </c>
      <c r="M161" s="4" t="str" cm="1">
        <f t="array" ref="M161">IFERROR(LOOKUP(2,1/(TableTime[Date]=B161),TableTime[Time]),"")</f>
        <v/>
      </c>
      <c r="N161" s="38" t="str">
        <f>IF(SUMIFS(TableTime[[Duration]:[Duration]],TableTime[[Date]:[Date]],$B161,TableTime[[Activity]:[Activity]],N$1)=0,"",SUMIFS(TableTime[[Duration]:[Duration]],TableTime[[Date]:[Date]],$B161,TableTime[[Activity]:[Activity]],N$1))</f>
        <v/>
      </c>
      <c r="O161" s="4" t="str">
        <f>IF(SUMIFS(TableTime[[Duration]:[Duration]],TableTime[[Date]:[Date]],$B161,TableTime[[Activity]:[Activity]],O$1)=0,"",SUMIFS(TableTime[[Duration]:[Duration]],TableTime[[Date]:[Date]],$B161,TableTime[[Activity]:[Activity]],O$1))</f>
        <v/>
      </c>
      <c r="P161" s="4" t="str">
        <f>IF(SUMIFS(TableTime[[Duration]:[Duration]],TableTime[[Date]:[Date]],$B161,TableTime[[Activity]:[Activity]],P$1)=0,"",SUMIFS(TableTime[[Duration]:[Duration]],TableTime[[Date]:[Date]],$B161,TableTime[[Activity]:[Activity]],P$1))</f>
        <v/>
      </c>
      <c r="Q161" s="4" t="str">
        <f>IF(SUMIFS(TableTime[[Duration]:[Duration]],TableTime[[Date]:[Date]],$B161,TableTime[[Activity]:[Activity]],Q$1)=0,"",SUMIFS(TableTime[[Duration]:[Duration]],TableTime[[Date]:[Date]],$B161,TableTime[[Activity]:[Activity]],Q$1))</f>
        <v/>
      </c>
      <c r="R161" s="4" t="str">
        <f>IF(SUMIFS(TableTime[[Duration]:[Duration]],TableTime[[Date]:[Date]],$B161,TableTime[[Activity]:[Activity]],R$1)=0,"",SUMIFS(TableTime[[Duration]:[Duration]],TableTime[[Date]:[Date]],$B161,TableTime[[Activity]:[Activity]],R$1))</f>
        <v/>
      </c>
      <c r="S161" s="130" t="str">
        <f>IF(SUMIFS(TableTime[[Duration]:[Duration]],TableTime[[Date]:[Date]],$B161,TableTime[[Activity]:[Activity]],S$1)=0,"",SUMIFS(TableTime[[Duration]:[Duration]],TableTime[[Date]:[Date]],$B161,TableTime[[Activity]:[Activity]],S$1))</f>
        <v/>
      </c>
      <c r="T161" s="4" t="str">
        <f>IF(SUMIFS(TableTime[[Duration]:[Duration]],TableTime[[Date]:[Date]],$B161,TableTime[[Activity]:[Activity]],T$1)=0,"",SUMIFS(TableTime[[Duration]:[Duration]],TableTime[[Date]:[Date]],$B161,TableTime[[Activity]:[Activity]],T$1))</f>
        <v/>
      </c>
      <c r="U161" s="39" t="str">
        <f>IF(SUMIFS(TableTime[[Duration]:[Duration]],TableTime[[Date]:[Date]],$B161,TableTime[[Activity]:[Activity]],U$1)=0,"",SUMIFS(TableTime[[Duration]:[Duration]],TableTime[[Date]:[Date]],$B161,TableTime[[Activity]:[Activity]],U$1))</f>
        <v/>
      </c>
    </row>
    <row r="162" spans="1:21" x14ac:dyDescent="0.35">
      <c r="A162" s="59" t="str">
        <f t="shared" si="12"/>
        <v>Sat</v>
      </c>
      <c r="B162" s="91">
        <f t="shared" si="14"/>
        <v>45087</v>
      </c>
      <c r="C162" s="60">
        <f t="shared" si="15"/>
        <v>6</v>
      </c>
      <c r="D162" s="61">
        <f t="shared" si="13"/>
        <v>23</v>
      </c>
      <c r="E162" s="103"/>
      <c r="F162" s="60" t="str">
        <f>IFERROR(IF(OR(WEEKDAY(B162,2)=6,WEEKDAY(B162,2)=7),'Month summary'!$D$11,IF(E162="",'Month summary'!$C$11,E162)),"")</f>
        <v>WE</v>
      </c>
      <c r="G162" s="62">
        <f>IF(B162&lt;Time!$B$2,"",IF(F162='Month summary'!$C$11,'Month summary'!$F$2/24,IF(F162="H/2",'Month summary'!$F$2/24/2,0)))</f>
        <v>0</v>
      </c>
      <c r="H162" s="62">
        <f t="shared" si="16"/>
        <v>0</v>
      </c>
      <c r="I162" s="62" t="str">
        <f t="shared" si="17"/>
        <v/>
      </c>
      <c r="J162" s="108"/>
      <c r="K162" s="63" t="str">
        <f>IFERROR(INDEX(TableTime[Time],MATCH(B162,TableTime[Date],0)),"")</f>
        <v/>
      </c>
      <c r="L162" s="62" t="str">
        <f>IF(SUMIFS(TableTime[Duration],TableTime[Date],B162,TableTime[Activity],Projects!$C$9)+SUMIFS(TableTime[Duration],TableTime[Date],B162,TableTime[Activity],Projects!$C$10)+SUMIFS(TableTime[Duration],TableTime[Date],B162,TableTime[Activity],Projects!$C$11)=0,"",SUMIFS(TableTime[Duration],TableTime[Date],B162,TableTime[Activity],Projects!$C$9)+SUMIFS(TableTime[Duration],TableTime[Date],B162,TableTime[Activity],Projects!$C$10)+SUMIFS(TableTime[Duration],TableTime[Date],B162,TableTime[Activity],Projects!$C$11))</f>
        <v/>
      </c>
      <c r="M162" s="62" t="str" cm="1">
        <f t="array" ref="M162">IFERROR(LOOKUP(2,1/(TableTime[Date]=B162),TableTime[Time]),"")</f>
        <v/>
      </c>
      <c r="N162" s="63" t="str">
        <f>IF(SUMIFS(TableTime[[Duration]:[Duration]],TableTime[[Date]:[Date]],$B162,TableTime[[Activity]:[Activity]],N$1)=0,"",SUMIFS(TableTime[[Duration]:[Duration]],TableTime[[Date]:[Date]],$B162,TableTime[[Activity]:[Activity]],N$1))</f>
        <v/>
      </c>
      <c r="O162" s="62" t="str">
        <f>IF(SUMIFS(TableTime[[Duration]:[Duration]],TableTime[[Date]:[Date]],$B162,TableTime[[Activity]:[Activity]],O$1)=0,"",SUMIFS(TableTime[[Duration]:[Duration]],TableTime[[Date]:[Date]],$B162,TableTime[[Activity]:[Activity]],O$1))</f>
        <v/>
      </c>
      <c r="P162" s="62" t="str">
        <f>IF(SUMIFS(TableTime[[Duration]:[Duration]],TableTime[[Date]:[Date]],$B162,TableTime[[Activity]:[Activity]],P$1)=0,"",SUMIFS(TableTime[[Duration]:[Duration]],TableTime[[Date]:[Date]],$B162,TableTime[[Activity]:[Activity]],P$1))</f>
        <v/>
      </c>
      <c r="Q162" s="62" t="str">
        <f>IF(SUMIFS(TableTime[[Duration]:[Duration]],TableTime[[Date]:[Date]],$B162,TableTime[[Activity]:[Activity]],Q$1)=0,"",SUMIFS(TableTime[[Duration]:[Duration]],TableTime[[Date]:[Date]],$B162,TableTime[[Activity]:[Activity]],Q$1))</f>
        <v/>
      </c>
      <c r="R162" s="62" t="str">
        <f>IF(SUMIFS(TableTime[[Duration]:[Duration]],TableTime[[Date]:[Date]],$B162,TableTime[[Activity]:[Activity]],R$1)=0,"",SUMIFS(TableTime[[Duration]:[Duration]],TableTime[[Date]:[Date]],$B162,TableTime[[Activity]:[Activity]],R$1))</f>
        <v/>
      </c>
      <c r="S162" s="131" t="str">
        <f>IF(SUMIFS(TableTime[[Duration]:[Duration]],TableTime[[Date]:[Date]],$B162,TableTime[[Activity]:[Activity]],S$1)=0,"",SUMIFS(TableTime[[Duration]:[Duration]],TableTime[[Date]:[Date]],$B162,TableTime[[Activity]:[Activity]],S$1))</f>
        <v/>
      </c>
      <c r="T162" s="62" t="str">
        <f>IF(SUMIFS(TableTime[[Duration]:[Duration]],TableTime[[Date]:[Date]],$B162,TableTime[[Activity]:[Activity]],T$1)=0,"",SUMIFS(TableTime[[Duration]:[Duration]],TableTime[[Date]:[Date]],$B162,TableTime[[Activity]:[Activity]],T$1))</f>
        <v/>
      </c>
      <c r="U162" s="64" t="str">
        <f>IF(SUMIFS(TableTime[[Duration]:[Duration]],TableTime[[Date]:[Date]],$B162,TableTime[[Activity]:[Activity]],U$1)=0,"",SUMIFS(TableTime[[Duration]:[Duration]],TableTime[[Date]:[Date]],$B162,TableTime[[Activity]:[Activity]],U$1))</f>
        <v/>
      </c>
    </row>
    <row r="163" spans="1:21" x14ac:dyDescent="0.35">
      <c r="A163" s="35" t="str">
        <f t="shared" si="12"/>
        <v>Sun</v>
      </c>
      <c r="B163" s="5">
        <f t="shared" si="14"/>
        <v>45088</v>
      </c>
      <c r="C163" s="1">
        <f t="shared" si="15"/>
        <v>6</v>
      </c>
      <c r="D163" s="2">
        <f t="shared" si="13"/>
        <v>23</v>
      </c>
      <c r="E163" s="102"/>
      <c r="F163" s="1" t="str">
        <f>IFERROR(IF(OR(WEEKDAY(B163,2)=6,WEEKDAY(B163,2)=7),'Month summary'!$D$11,IF(E163="",'Month summary'!$C$11,E163)),"")</f>
        <v>WE</v>
      </c>
      <c r="G163" s="4">
        <f>IF(B163&lt;Time!$B$2,"",IF(F163='Month summary'!$C$11,'Month summary'!$F$2/24,IF(F163="H/2",'Month summary'!$F$2/24/2,0)))</f>
        <v>0</v>
      </c>
      <c r="H163" s="4">
        <f t="shared" si="16"/>
        <v>0</v>
      </c>
      <c r="I163" s="4" t="str">
        <f t="shared" si="17"/>
        <v/>
      </c>
      <c r="J163" s="107"/>
      <c r="K163" s="38" t="str">
        <f>IFERROR(INDEX(TableTime[Time],MATCH(B163,TableTime[Date],0)),"")</f>
        <v/>
      </c>
      <c r="L163" s="4" t="str">
        <f>IF(SUMIFS(TableTime[Duration],TableTime[Date],B163,TableTime[Activity],Projects!$C$9)+SUMIFS(TableTime[Duration],TableTime[Date],B163,TableTime[Activity],Projects!$C$10)+SUMIFS(TableTime[Duration],TableTime[Date],B163,TableTime[Activity],Projects!$C$11)=0,"",SUMIFS(TableTime[Duration],TableTime[Date],B163,TableTime[Activity],Projects!$C$9)+SUMIFS(TableTime[Duration],TableTime[Date],B163,TableTime[Activity],Projects!$C$10)+SUMIFS(TableTime[Duration],TableTime[Date],B163,TableTime[Activity],Projects!$C$11))</f>
        <v/>
      </c>
      <c r="M163" s="4" t="str" cm="1">
        <f t="array" ref="M163">IFERROR(LOOKUP(2,1/(TableTime[Date]=B163),TableTime[Time]),"")</f>
        <v/>
      </c>
      <c r="N163" s="38" t="str">
        <f>IF(SUMIFS(TableTime[[Duration]:[Duration]],TableTime[[Date]:[Date]],$B163,TableTime[[Activity]:[Activity]],N$1)=0,"",SUMIFS(TableTime[[Duration]:[Duration]],TableTime[[Date]:[Date]],$B163,TableTime[[Activity]:[Activity]],N$1))</f>
        <v/>
      </c>
      <c r="O163" s="4" t="str">
        <f>IF(SUMIFS(TableTime[[Duration]:[Duration]],TableTime[[Date]:[Date]],$B163,TableTime[[Activity]:[Activity]],O$1)=0,"",SUMIFS(TableTime[[Duration]:[Duration]],TableTime[[Date]:[Date]],$B163,TableTime[[Activity]:[Activity]],O$1))</f>
        <v/>
      </c>
      <c r="P163" s="4" t="str">
        <f>IF(SUMIFS(TableTime[[Duration]:[Duration]],TableTime[[Date]:[Date]],$B163,TableTime[[Activity]:[Activity]],P$1)=0,"",SUMIFS(TableTime[[Duration]:[Duration]],TableTime[[Date]:[Date]],$B163,TableTime[[Activity]:[Activity]],P$1))</f>
        <v/>
      </c>
      <c r="Q163" s="4" t="str">
        <f>IF(SUMIFS(TableTime[[Duration]:[Duration]],TableTime[[Date]:[Date]],$B163,TableTime[[Activity]:[Activity]],Q$1)=0,"",SUMIFS(TableTime[[Duration]:[Duration]],TableTime[[Date]:[Date]],$B163,TableTime[[Activity]:[Activity]],Q$1))</f>
        <v/>
      </c>
      <c r="R163" s="4" t="str">
        <f>IF(SUMIFS(TableTime[[Duration]:[Duration]],TableTime[[Date]:[Date]],$B163,TableTime[[Activity]:[Activity]],R$1)=0,"",SUMIFS(TableTime[[Duration]:[Duration]],TableTime[[Date]:[Date]],$B163,TableTime[[Activity]:[Activity]],R$1))</f>
        <v/>
      </c>
      <c r="S163" s="130" t="str">
        <f>IF(SUMIFS(TableTime[[Duration]:[Duration]],TableTime[[Date]:[Date]],$B163,TableTime[[Activity]:[Activity]],S$1)=0,"",SUMIFS(TableTime[[Duration]:[Duration]],TableTime[[Date]:[Date]],$B163,TableTime[[Activity]:[Activity]],S$1))</f>
        <v/>
      </c>
      <c r="T163" s="4" t="str">
        <f>IF(SUMIFS(TableTime[[Duration]:[Duration]],TableTime[[Date]:[Date]],$B163,TableTime[[Activity]:[Activity]],T$1)=0,"",SUMIFS(TableTime[[Duration]:[Duration]],TableTime[[Date]:[Date]],$B163,TableTime[[Activity]:[Activity]],T$1))</f>
        <v/>
      </c>
      <c r="U163" s="39" t="str">
        <f>IF(SUMIFS(TableTime[[Duration]:[Duration]],TableTime[[Date]:[Date]],$B163,TableTime[[Activity]:[Activity]],U$1)=0,"",SUMIFS(TableTime[[Duration]:[Duration]],TableTime[[Date]:[Date]],$B163,TableTime[[Activity]:[Activity]],U$1))</f>
        <v/>
      </c>
    </row>
    <row r="164" spans="1:21" x14ac:dyDescent="0.35">
      <c r="A164" s="59" t="str">
        <f t="shared" si="12"/>
        <v>Mon</v>
      </c>
      <c r="B164" s="91">
        <f t="shared" si="14"/>
        <v>45089</v>
      </c>
      <c r="C164" s="60">
        <f t="shared" si="15"/>
        <v>6</v>
      </c>
      <c r="D164" s="61">
        <f t="shared" si="13"/>
        <v>24</v>
      </c>
      <c r="E164" s="103"/>
      <c r="F164" s="60" t="str">
        <f>IFERROR(IF(OR(WEEKDAY(B164,2)=6,WEEKDAY(B164,2)=7),'Month summary'!$D$11,IF(E164="",'Month summary'!$C$11,E164)),"")</f>
        <v>W</v>
      </c>
      <c r="G164" s="62">
        <f>IF(B164&lt;Time!$B$2,"",IF(F164='Month summary'!$C$11,'Month summary'!$F$2/24,IF(F164="H/2",'Month summary'!$F$2/24/2,0)))</f>
        <v>0.33333333333333331</v>
      </c>
      <c r="H164" s="62">
        <f t="shared" si="16"/>
        <v>0</v>
      </c>
      <c r="I164" s="62" t="str">
        <f t="shared" si="17"/>
        <v/>
      </c>
      <c r="J164" s="108"/>
      <c r="K164" s="63" t="str">
        <f>IFERROR(INDEX(TableTime[Time],MATCH(B164,TableTime[Date],0)),"")</f>
        <v/>
      </c>
      <c r="L164" s="62" t="str">
        <f>IF(SUMIFS(TableTime[Duration],TableTime[Date],B164,TableTime[Activity],Projects!$C$9)+SUMIFS(TableTime[Duration],TableTime[Date],B164,TableTime[Activity],Projects!$C$10)+SUMIFS(TableTime[Duration],TableTime[Date],B164,TableTime[Activity],Projects!$C$11)=0,"",SUMIFS(TableTime[Duration],TableTime[Date],B164,TableTime[Activity],Projects!$C$9)+SUMIFS(TableTime[Duration],TableTime[Date],B164,TableTime[Activity],Projects!$C$10)+SUMIFS(TableTime[Duration],TableTime[Date],B164,TableTime[Activity],Projects!$C$11))</f>
        <v/>
      </c>
      <c r="M164" s="62" t="str" cm="1">
        <f t="array" ref="M164">IFERROR(LOOKUP(2,1/(TableTime[Date]=B164),TableTime[Time]),"")</f>
        <v/>
      </c>
      <c r="N164" s="63" t="str">
        <f>IF(SUMIFS(TableTime[[Duration]:[Duration]],TableTime[[Date]:[Date]],$B164,TableTime[[Activity]:[Activity]],N$1)=0,"",SUMIFS(TableTime[[Duration]:[Duration]],TableTime[[Date]:[Date]],$B164,TableTime[[Activity]:[Activity]],N$1))</f>
        <v/>
      </c>
      <c r="O164" s="62" t="str">
        <f>IF(SUMIFS(TableTime[[Duration]:[Duration]],TableTime[[Date]:[Date]],$B164,TableTime[[Activity]:[Activity]],O$1)=0,"",SUMIFS(TableTime[[Duration]:[Duration]],TableTime[[Date]:[Date]],$B164,TableTime[[Activity]:[Activity]],O$1))</f>
        <v/>
      </c>
      <c r="P164" s="62" t="str">
        <f>IF(SUMIFS(TableTime[[Duration]:[Duration]],TableTime[[Date]:[Date]],$B164,TableTime[[Activity]:[Activity]],P$1)=0,"",SUMIFS(TableTime[[Duration]:[Duration]],TableTime[[Date]:[Date]],$B164,TableTime[[Activity]:[Activity]],P$1))</f>
        <v/>
      </c>
      <c r="Q164" s="62" t="str">
        <f>IF(SUMIFS(TableTime[[Duration]:[Duration]],TableTime[[Date]:[Date]],$B164,TableTime[[Activity]:[Activity]],Q$1)=0,"",SUMIFS(TableTime[[Duration]:[Duration]],TableTime[[Date]:[Date]],$B164,TableTime[[Activity]:[Activity]],Q$1))</f>
        <v/>
      </c>
      <c r="R164" s="62" t="str">
        <f>IF(SUMIFS(TableTime[[Duration]:[Duration]],TableTime[[Date]:[Date]],$B164,TableTime[[Activity]:[Activity]],R$1)=0,"",SUMIFS(TableTime[[Duration]:[Duration]],TableTime[[Date]:[Date]],$B164,TableTime[[Activity]:[Activity]],R$1))</f>
        <v/>
      </c>
      <c r="S164" s="131" t="str">
        <f>IF(SUMIFS(TableTime[[Duration]:[Duration]],TableTime[[Date]:[Date]],$B164,TableTime[[Activity]:[Activity]],S$1)=0,"",SUMIFS(TableTime[[Duration]:[Duration]],TableTime[[Date]:[Date]],$B164,TableTime[[Activity]:[Activity]],S$1))</f>
        <v/>
      </c>
      <c r="T164" s="62" t="str">
        <f>IF(SUMIFS(TableTime[[Duration]:[Duration]],TableTime[[Date]:[Date]],$B164,TableTime[[Activity]:[Activity]],T$1)=0,"",SUMIFS(TableTime[[Duration]:[Duration]],TableTime[[Date]:[Date]],$B164,TableTime[[Activity]:[Activity]],T$1))</f>
        <v/>
      </c>
      <c r="U164" s="64" t="str">
        <f>IF(SUMIFS(TableTime[[Duration]:[Duration]],TableTime[[Date]:[Date]],$B164,TableTime[[Activity]:[Activity]],U$1)=0,"",SUMIFS(TableTime[[Duration]:[Duration]],TableTime[[Date]:[Date]],$B164,TableTime[[Activity]:[Activity]],U$1))</f>
        <v/>
      </c>
    </row>
    <row r="165" spans="1:21" x14ac:dyDescent="0.35">
      <c r="A165" s="35" t="str">
        <f t="shared" si="12"/>
        <v>Tue</v>
      </c>
      <c r="B165" s="5">
        <f t="shared" si="14"/>
        <v>45090</v>
      </c>
      <c r="C165" s="1">
        <f t="shared" si="15"/>
        <v>6</v>
      </c>
      <c r="D165" s="2">
        <f t="shared" si="13"/>
        <v>24</v>
      </c>
      <c r="E165" s="102"/>
      <c r="F165" s="1" t="str">
        <f>IFERROR(IF(OR(WEEKDAY(B165,2)=6,WEEKDAY(B165,2)=7),'Month summary'!$D$11,IF(E165="",'Month summary'!$C$11,E165)),"")</f>
        <v>W</v>
      </c>
      <c r="G165" s="4">
        <f>IF(B165&lt;Time!$B$2,"",IF(F165='Month summary'!$C$11,'Month summary'!$F$2/24,IF(F165="H/2",'Month summary'!$F$2/24/2,0)))</f>
        <v>0.33333333333333331</v>
      </c>
      <c r="H165" s="4">
        <f t="shared" si="16"/>
        <v>0</v>
      </c>
      <c r="I165" s="4" t="str">
        <f t="shared" si="17"/>
        <v/>
      </c>
      <c r="J165" s="107"/>
      <c r="K165" s="38" t="str">
        <f>IFERROR(INDEX(TableTime[Time],MATCH(B165,TableTime[Date],0)),"")</f>
        <v/>
      </c>
      <c r="L165" s="4" t="str">
        <f>IF(SUMIFS(TableTime[Duration],TableTime[Date],B165,TableTime[Activity],Projects!$C$9)+SUMIFS(TableTime[Duration],TableTime[Date],B165,TableTime[Activity],Projects!$C$10)+SUMIFS(TableTime[Duration],TableTime[Date],B165,TableTime[Activity],Projects!$C$11)=0,"",SUMIFS(TableTime[Duration],TableTime[Date],B165,TableTime[Activity],Projects!$C$9)+SUMIFS(TableTime[Duration],TableTime[Date],B165,TableTime[Activity],Projects!$C$10)+SUMIFS(TableTime[Duration],TableTime[Date],B165,TableTime[Activity],Projects!$C$11))</f>
        <v/>
      </c>
      <c r="M165" s="4" t="str" cm="1">
        <f t="array" ref="M165">IFERROR(LOOKUP(2,1/(TableTime[Date]=B165),TableTime[Time]),"")</f>
        <v/>
      </c>
      <c r="N165" s="38" t="str">
        <f>IF(SUMIFS(TableTime[[Duration]:[Duration]],TableTime[[Date]:[Date]],$B165,TableTime[[Activity]:[Activity]],N$1)=0,"",SUMIFS(TableTime[[Duration]:[Duration]],TableTime[[Date]:[Date]],$B165,TableTime[[Activity]:[Activity]],N$1))</f>
        <v/>
      </c>
      <c r="O165" s="4" t="str">
        <f>IF(SUMIFS(TableTime[[Duration]:[Duration]],TableTime[[Date]:[Date]],$B165,TableTime[[Activity]:[Activity]],O$1)=0,"",SUMIFS(TableTime[[Duration]:[Duration]],TableTime[[Date]:[Date]],$B165,TableTime[[Activity]:[Activity]],O$1))</f>
        <v/>
      </c>
      <c r="P165" s="4" t="str">
        <f>IF(SUMIFS(TableTime[[Duration]:[Duration]],TableTime[[Date]:[Date]],$B165,TableTime[[Activity]:[Activity]],P$1)=0,"",SUMIFS(TableTime[[Duration]:[Duration]],TableTime[[Date]:[Date]],$B165,TableTime[[Activity]:[Activity]],P$1))</f>
        <v/>
      </c>
      <c r="Q165" s="4" t="str">
        <f>IF(SUMIFS(TableTime[[Duration]:[Duration]],TableTime[[Date]:[Date]],$B165,TableTime[[Activity]:[Activity]],Q$1)=0,"",SUMIFS(TableTime[[Duration]:[Duration]],TableTime[[Date]:[Date]],$B165,TableTime[[Activity]:[Activity]],Q$1))</f>
        <v/>
      </c>
      <c r="R165" s="4" t="str">
        <f>IF(SUMIFS(TableTime[[Duration]:[Duration]],TableTime[[Date]:[Date]],$B165,TableTime[[Activity]:[Activity]],R$1)=0,"",SUMIFS(TableTime[[Duration]:[Duration]],TableTime[[Date]:[Date]],$B165,TableTime[[Activity]:[Activity]],R$1))</f>
        <v/>
      </c>
      <c r="S165" s="130" t="str">
        <f>IF(SUMIFS(TableTime[[Duration]:[Duration]],TableTime[[Date]:[Date]],$B165,TableTime[[Activity]:[Activity]],S$1)=0,"",SUMIFS(TableTime[[Duration]:[Duration]],TableTime[[Date]:[Date]],$B165,TableTime[[Activity]:[Activity]],S$1))</f>
        <v/>
      </c>
      <c r="T165" s="4" t="str">
        <f>IF(SUMIFS(TableTime[[Duration]:[Duration]],TableTime[[Date]:[Date]],$B165,TableTime[[Activity]:[Activity]],T$1)=0,"",SUMIFS(TableTime[[Duration]:[Duration]],TableTime[[Date]:[Date]],$B165,TableTime[[Activity]:[Activity]],T$1))</f>
        <v/>
      </c>
      <c r="U165" s="39" t="str">
        <f>IF(SUMIFS(TableTime[[Duration]:[Duration]],TableTime[[Date]:[Date]],$B165,TableTime[[Activity]:[Activity]],U$1)=0,"",SUMIFS(TableTime[[Duration]:[Duration]],TableTime[[Date]:[Date]],$B165,TableTime[[Activity]:[Activity]],U$1))</f>
        <v/>
      </c>
    </row>
    <row r="166" spans="1:21" x14ac:dyDescent="0.35">
      <c r="A166" s="59" t="str">
        <f t="shared" si="12"/>
        <v>Wed</v>
      </c>
      <c r="B166" s="91">
        <f t="shared" si="14"/>
        <v>45091</v>
      </c>
      <c r="C166" s="60">
        <f t="shared" si="15"/>
        <v>6</v>
      </c>
      <c r="D166" s="61">
        <f t="shared" si="13"/>
        <v>24</v>
      </c>
      <c r="E166" s="103"/>
      <c r="F166" s="60" t="str">
        <f>IFERROR(IF(OR(WEEKDAY(B166,2)=6,WEEKDAY(B166,2)=7),'Month summary'!$D$11,IF(E166="",'Month summary'!$C$11,E166)),"")</f>
        <v>W</v>
      </c>
      <c r="G166" s="62">
        <f>IF(B166&lt;Time!$B$2,"",IF(F166='Month summary'!$C$11,'Month summary'!$F$2/24,IF(F166="H/2",'Month summary'!$F$2/24/2,0)))</f>
        <v>0.33333333333333331</v>
      </c>
      <c r="H166" s="62">
        <f t="shared" si="16"/>
        <v>0</v>
      </c>
      <c r="I166" s="62" t="str">
        <f t="shared" si="17"/>
        <v/>
      </c>
      <c r="J166" s="108"/>
      <c r="K166" s="63" t="str">
        <f>IFERROR(INDEX(TableTime[Time],MATCH(B166,TableTime[Date],0)),"")</f>
        <v/>
      </c>
      <c r="L166" s="62" t="str">
        <f>IF(SUMIFS(TableTime[Duration],TableTime[Date],B166,TableTime[Activity],Projects!$C$9)+SUMIFS(TableTime[Duration],TableTime[Date],B166,TableTime[Activity],Projects!$C$10)+SUMIFS(TableTime[Duration],TableTime[Date],B166,TableTime[Activity],Projects!$C$11)=0,"",SUMIFS(TableTime[Duration],TableTime[Date],B166,TableTime[Activity],Projects!$C$9)+SUMIFS(TableTime[Duration],TableTime[Date],B166,TableTime[Activity],Projects!$C$10)+SUMIFS(TableTime[Duration],TableTime[Date],B166,TableTime[Activity],Projects!$C$11))</f>
        <v/>
      </c>
      <c r="M166" s="62" t="str" cm="1">
        <f t="array" ref="M166">IFERROR(LOOKUP(2,1/(TableTime[Date]=B166),TableTime[Time]),"")</f>
        <v/>
      </c>
      <c r="N166" s="63" t="str">
        <f>IF(SUMIFS(TableTime[[Duration]:[Duration]],TableTime[[Date]:[Date]],$B166,TableTime[[Activity]:[Activity]],N$1)=0,"",SUMIFS(TableTime[[Duration]:[Duration]],TableTime[[Date]:[Date]],$B166,TableTime[[Activity]:[Activity]],N$1))</f>
        <v/>
      </c>
      <c r="O166" s="62" t="str">
        <f>IF(SUMIFS(TableTime[[Duration]:[Duration]],TableTime[[Date]:[Date]],$B166,TableTime[[Activity]:[Activity]],O$1)=0,"",SUMIFS(TableTime[[Duration]:[Duration]],TableTime[[Date]:[Date]],$B166,TableTime[[Activity]:[Activity]],O$1))</f>
        <v/>
      </c>
      <c r="P166" s="62" t="str">
        <f>IF(SUMIFS(TableTime[[Duration]:[Duration]],TableTime[[Date]:[Date]],$B166,TableTime[[Activity]:[Activity]],P$1)=0,"",SUMIFS(TableTime[[Duration]:[Duration]],TableTime[[Date]:[Date]],$B166,TableTime[[Activity]:[Activity]],P$1))</f>
        <v/>
      </c>
      <c r="Q166" s="62" t="str">
        <f>IF(SUMIFS(TableTime[[Duration]:[Duration]],TableTime[[Date]:[Date]],$B166,TableTime[[Activity]:[Activity]],Q$1)=0,"",SUMIFS(TableTime[[Duration]:[Duration]],TableTime[[Date]:[Date]],$B166,TableTime[[Activity]:[Activity]],Q$1))</f>
        <v/>
      </c>
      <c r="R166" s="62" t="str">
        <f>IF(SUMIFS(TableTime[[Duration]:[Duration]],TableTime[[Date]:[Date]],$B166,TableTime[[Activity]:[Activity]],R$1)=0,"",SUMIFS(TableTime[[Duration]:[Duration]],TableTime[[Date]:[Date]],$B166,TableTime[[Activity]:[Activity]],R$1))</f>
        <v/>
      </c>
      <c r="S166" s="131" t="str">
        <f>IF(SUMIFS(TableTime[[Duration]:[Duration]],TableTime[[Date]:[Date]],$B166,TableTime[[Activity]:[Activity]],S$1)=0,"",SUMIFS(TableTime[[Duration]:[Duration]],TableTime[[Date]:[Date]],$B166,TableTime[[Activity]:[Activity]],S$1))</f>
        <v/>
      </c>
      <c r="T166" s="62" t="str">
        <f>IF(SUMIFS(TableTime[[Duration]:[Duration]],TableTime[[Date]:[Date]],$B166,TableTime[[Activity]:[Activity]],T$1)=0,"",SUMIFS(TableTime[[Duration]:[Duration]],TableTime[[Date]:[Date]],$B166,TableTime[[Activity]:[Activity]],T$1))</f>
        <v/>
      </c>
      <c r="U166" s="64" t="str">
        <f>IF(SUMIFS(TableTime[[Duration]:[Duration]],TableTime[[Date]:[Date]],$B166,TableTime[[Activity]:[Activity]],U$1)=0,"",SUMIFS(TableTime[[Duration]:[Duration]],TableTime[[Date]:[Date]],$B166,TableTime[[Activity]:[Activity]],U$1))</f>
        <v/>
      </c>
    </row>
    <row r="167" spans="1:21" x14ac:dyDescent="0.35">
      <c r="A167" s="35" t="str">
        <f t="shared" si="12"/>
        <v>Thr</v>
      </c>
      <c r="B167" s="5">
        <f t="shared" si="14"/>
        <v>45092</v>
      </c>
      <c r="C167" s="1">
        <f t="shared" si="15"/>
        <v>6</v>
      </c>
      <c r="D167" s="2">
        <f t="shared" si="13"/>
        <v>24</v>
      </c>
      <c r="E167" s="102"/>
      <c r="F167" s="1" t="str">
        <f>IFERROR(IF(OR(WEEKDAY(B167,2)=6,WEEKDAY(B167,2)=7),'Month summary'!$D$11,IF(E167="",'Month summary'!$C$11,E167)),"")</f>
        <v>W</v>
      </c>
      <c r="G167" s="4">
        <f>IF(B167&lt;Time!$B$2,"",IF(F167='Month summary'!$C$11,'Month summary'!$F$2/24,IF(F167="H/2",'Month summary'!$F$2/24/2,0)))</f>
        <v>0.33333333333333331</v>
      </c>
      <c r="H167" s="4">
        <f t="shared" si="16"/>
        <v>0</v>
      </c>
      <c r="I167" s="4" t="str">
        <f t="shared" si="17"/>
        <v/>
      </c>
      <c r="J167" s="107"/>
      <c r="K167" s="38" t="str">
        <f>IFERROR(INDEX(TableTime[Time],MATCH(B167,TableTime[Date],0)),"")</f>
        <v/>
      </c>
      <c r="L167" s="4" t="str">
        <f>IF(SUMIFS(TableTime[Duration],TableTime[Date],B167,TableTime[Activity],Projects!$C$9)+SUMIFS(TableTime[Duration],TableTime[Date],B167,TableTime[Activity],Projects!$C$10)+SUMIFS(TableTime[Duration],TableTime[Date],B167,TableTime[Activity],Projects!$C$11)=0,"",SUMIFS(TableTime[Duration],TableTime[Date],B167,TableTime[Activity],Projects!$C$9)+SUMIFS(TableTime[Duration],TableTime[Date],B167,TableTime[Activity],Projects!$C$10)+SUMIFS(TableTime[Duration],TableTime[Date],B167,TableTime[Activity],Projects!$C$11))</f>
        <v/>
      </c>
      <c r="M167" s="4" t="str" cm="1">
        <f t="array" ref="M167">IFERROR(LOOKUP(2,1/(TableTime[Date]=B167),TableTime[Time]),"")</f>
        <v/>
      </c>
      <c r="N167" s="38" t="str">
        <f>IF(SUMIFS(TableTime[[Duration]:[Duration]],TableTime[[Date]:[Date]],$B167,TableTime[[Activity]:[Activity]],N$1)=0,"",SUMIFS(TableTime[[Duration]:[Duration]],TableTime[[Date]:[Date]],$B167,TableTime[[Activity]:[Activity]],N$1))</f>
        <v/>
      </c>
      <c r="O167" s="4" t="str">
        <f>IF(SUMIFS(TableTime[[Duration]:[Duration]],TableTime[[Date]:[Date]],$B167,TableTime[[Activity]:[Activity]],O$1)=0,"",SUMIFS(TableTime[[Duration]:[Duration]],TableTime[[Date]:[Date]],$B167,TableTime[[Activity]:[Activity]],O$1))</f>
        <v/>
      </c>
      <c r="P167" s="4" t="str">
        <f>IF(SUMIFS(TableTime[[Duration]:[Duration]],TableTime[[Date]:[Date]],$B167,TableTime[[Activity]:[Activity]],P$1)=0,"",SUMIFS(TableTime[[Duration]:[Duration]],TableTime[[Date]:[Date]],$B167,TableTime[[Activity]:[Activity]],P$1))</f>
        <v/>
      </c>
      <c r="Q167" s="4" t="str">
        <f>IF(SUMIFS(TableTime[[Duration]:[Duration]],TableTime[[Date]:[Date]],$B167,TableTime[[Activity]:[Activity]],Q$1)=0,"",SUMIFS(TableTime[[Duration]:[Duration]],TableTime[[Date]:[Date]],$B167,TableTime[[Activity]:[Activity]],Q$1))</f>
        <v/>
      </c>
      <c r="R167" s="4" t="str">
        <f>IF(SUMIFS(TableTime[[Duration]:[Duration]],TableTime[[Date]:[Date]],$B167,TableTime[[Activity]:[Activity]],R$1)=0,"",SUMIFS(TableTime[[Duration]:[Duration]],TableTime[[Date]:[Date]],$B167,TableTime[[Activity]:[Activity]],R$1))</f>
        <v/>
      </c>
      <c r="S167" s="130" t="str">
        <f>IF(SUMIFS(TableTime[[Duration]:[Duration]],TableTime[[Date]:[Date]],$B167,TableTime[[Activity]:[Activity]],S$1)=0,"",SUMIFS(TableTime[[Duration]:[Duration]],TableTime[[Date]:[Date]],$B167,TableTime[[Activity]:[Activity]],S$1))</f>
        <v/>
      </c>
      <c r="T167" s="4" t="str">
        <f>IF(SUMIFS(TableTime[[Duration]:[Duration]],TableTime[[Date]:[Date]],$B167,TableTime[[Activity]:[Activity]],T$1)=0,"",SUMIFS(TableTime[[Duration]:[Duration]],TableTime[[Date]:[Date]],$B167,TableTime[[Activity]:[Activity]],T$1))</f>
        <v/>
      </c>
      <c r="U167" s="39" t="str">
        <f>IF(SUMIFS(TableTime[[Duration]:[Duration]],TableTime[[Date]:[Date]],$B167,TableTime[[Activity]:[Activity]],U$1)=0,"",SUMIFS(TableTime[[Duration]:[Duration]],TableTime[[Date]:[Date]],$B167,TableTime[[Activity]:[Activity]],U$1))</f>
        <v/>
      </c>
    </row>
    <row r="168" spans="1:21" x14ac:dyDescent="0.35">
      <c r="A168" s="59" t="str">
        <f t="shared" si="12"/>
        <v>Fri</v>
      </c>
      <c r="B168" s="91">
        <f t="shared" si="14"/>
        <v>45093</v>
      </c>
      <c r="C168" s="60">
        <f t="shared" si="15"/>
        <v>6</v>
      </c>
      <c r="D168" s="61">
        <f t="shared" si="13"/>
        <v>24</v>
      </c>
      <c r="E168" s="103"/>
      <c r="F168" s="60" t="str">
        <f>IFERROR(IF(OR(WEEKDAY(B168,2)=6,WEEKDAY(B168,2)=7),'Month summary'!$D$11,IF(E168="",'Month summary'!$C$11,E168)),"")</f>
        <v>W</v>
      </c>
      <c r="G168" s="62">
        <f>IF(B168&lt;Time!$B$2,"",IF(F168='Month summary'!$C$11,'Month summary'!$F$2/24,IF(F168="H/2",'Month summary'!$F$2/24/2,0)))</f>
        <v>0.33333333333333331</v>
      </c>
      <c r="H168" s="62">
        <f t="shared" si="16"/>
        <v>0</v>
      </c>
      <c r="I168" s="62" t="str">
        <f t="shared" si="17"/>
        <v/>
      </c>
      <c r="J168" s="108"/>
      <c r="K168" s="63" t="str">
        <f>IFERROR(INDEX(TableTime[Time],MATCH(B168,TableTime[Date],0)),"")</f>
        <v/>
      </c>
      <c r="L168" s="62" t="str">
        <f>IF(SUMIFS(TableTime[Duration],TableTime[Date],B168,TableTime[Activity],Projects!$C$9)+SUMIFS(TableTime[Duration],TableTime[Date],B168,TableTime[Activity],Projects!$C$10)+SUMIFS(TableTime[Duration],TableTime[Date],B168,TableTime[Activity],Projects!$C$11)=0,"",SUMIFS(TableTime[Duration],TableTime[Date],B168,TableTime[Activity],Projects!$C$9)+SUMIFS(TableTime[Duration],TableTime[Date],B168,TableTime[Activity],Projects!$C$10)+SUMIFS(TableTime[Duration],TableTime[Date],B168,TableTime[Activity],Projects!$C$11))</f>
        <v/>
      </c>
      <c r="M168" s="62" t="str" cm="1">
        <f t="array" ref="M168">IFERROR(LOOKUP(2,1/(TableTime[Date]=B168),TableTime[Time]),"")</f>
        <v/>
      </c>
      <c r="N168" s="63" t="str">
        <f>IF(SUMIFS(TableTime[[Duration]:[Duration]],TableTime[[Date]:[Date]],$B168,TableTime[[Activity]:[Activity]],N$1)=0,"",SUMIFS(TableTime[[Duration]:[Duration]],TableTime[[Date]:[Date]],$B168,TableTime[[Activity]:[Activity]],N$1))</f>
        <v/>
      </c>
      <c r="O168" s="62" t="str">
        <f>IF(SUMIFS(TableTime[[Duration]:[Duration]],TableTime[[Date]:[Date]],$B168,TableTime[[Activity]:[Activity]],O$1)=0,"",SUMIFS(TableTime[[Duration]:[Duration]],TableTime[[Date]:[Date]],$B168,TableTime[[Activity]:[Activity]],O$1))</f>
        <v/>
      </c>
      <c r="P168" s="62" t="str">
        <f>IF(SUMIFS(TableTime[[Duration]:[Duration]],TableTime[[Date]:[Date]],$B168,TableTime[[Activity]:[Activity]],P$1)=0,"",SUMIFS(TableTime[[Duration]:[Duration]],TableTime[[Date]:[Date]],$B168,TableTime[[Activity]:[Activity]],P$1))</f>
        <v/>
      </c>
      <c r="Q168" s="62" t="str">
        <f>IF(SUMIFS(TableTime[[Duration]:[Duration]],TableTime[[Date]:[Date]],$B168,TableTime[[Activity]:[Activity]],Q$1)=0,"",SUMIFS(TableTime[[Duration]:[Duration]],TableTime[[Date]:[Date]],$B168,TableTime[[Activity]:[Activity]],Q$1))</f>
        <v/>
      </c>
      <c r="R168" s="62" t="str">
        <f>IF(SUMIFS(TableTime[[Duration]:[Duration]],TableTime[[Date]:[Date]],$B168,TableTime[[Activity]:[Activity]],R$1)=0,"",SUMIFS(TableTime[[Duration]:[Duration]],TableTime[[Date]:[Date]],$B168,TableTime[[Activity]:[Activity]],R$1))</f>
        <v/>
      </c>
      <c r="S168" s="131" t="str">
        <f>IF(SUMIFS(TableTime[[Duration]:[Duration]],TableTime[[Date]:[Date]],$B168,TableTime[[Activity]:[Activity]],S$1)=0,"",SUMIFS(TableTime[[Duration]:[Duration]],TableTime[[Date]:[Date]],$B168,TableTime[[Activity]:[Activity]],S$1))</f>
        <v/>
      </c>
      <c r="T168" s="62" t="str">
        <f>IF(SUMIFS(TableTime[[Duration]:[Duration]],TableTime[[Date]:[Date]],$B168,TableTime[[Activity]:[Activity]],T$1)=0,"",SUMIFS(TableTime[[Duration]:[Duration]],TableTime[[Date]:[Date]],$B168,TableTime[[Activity]:[Activity]],T$1))</f>
        <v/>
      </c>
      <c r="U168" s="64" t="str">
        <f>IF(SUMIFS(TableTime[[Duration]:[Duration]],TableTime[[Date]:[Date]],$B168,TableTime[[Activity]:[Activity]],U$1)=0,"",SUMIFS(TableTime[[Duration]:[Duration]],TableTime[[Date]:[Date]],$B168,TableTime[[Activity]:[Activity]],U$1))</f>
        <v/>
      </c>
    </row>
    <row r="169" spans="1:21" x14ac:dyDescent="0.35">
      <c r="A169" s="35" t="str">
        <f t="shared" si="12"/>
        <v>Sat</v>
      </c>
      <c r="B169" s="5">
        <f t="shared" si="14"/>
        <v>45094</v>
      </c>
      <c r="C169" s="1">
        <f t="shared" si="15"/>
        <v>6</v>
      </c>
      <c r="D169" s="2">
        <f t="shared" si="13"/>
        <v>24</v>
      </c>
      <c r="E169" s="102"/>
      <c r="F169" s="1" t="str">
        <f>IFERROR(IF(OR(WEEKDAY(B169,2)=6,WEEKDAY(B169,2)=7),'Month summary'!$D$11,IF(E169="",'Month summary'!$C$11,E169)),"")</f>
        <v>WE</v>
      </c>
      <c r="G169" s="4">
        <f>IF(B169&lt;Time!$B$2,"",IF(F169='Month summary'!$C$11,'Month summary'!$F$2/24,IF(F169="H/2",'Month summary'!$F$2/24/2,0)))</f>
        <v>0</v>
      </c>
      <c r="H169" s="4">
        <f t="shared" si="16"/>
        <v>0</v>
      </c>
      <c r="I169" s="4" t="str">
        <f t="shared" si="17"/>
        <v/>
      </c>
      <c r="J169" s="107"/>
      <c r="K169" s="38" t="str">
        <f>IFERROR(INDEX(TableTime[Time],MATCH(B169,TableTime[Date],0)),"")</f>
        <v/>
      </c>
      <c r="L169" s="4" t="str">
        <f>IF(SUMIFS(TableTime[Duration],TableTime[Date],B169,TableTime[Activity],Projects!$C$9)+SUMIFS(TableTime[Duration],TableTime[Date],B169,TableTime[Activity],Projects!$C$10)+SUMIFS(TableTime[Duration],TableTime[Date],B169,TableTime[Activity],Projects!$C$11)=0,"",SUMIFS(TableTime[Duration],TableTime[Date],B169,TableTime[Activity],Projects!$C$9)+SUMIFS(TableTime[Duration],TableTime[Date],B169,TableTime[Activity],Projects!$C$10)+SUMIFS(TableTime[Duration],TableTime[Date],B169,TableTime[Activity],Projects!$C$11))</f>
        <v/>
      </c>
      <c r="M169" s="4" t="str" cm="1">
        <f t="array" ref="M169">IFERROR(LOOKUP(2,1/(TableTime[Date]=B169),TableTime[Time]),"")</f>
        <v/>
      </c>
      <c r="N169" s="38" t="str">
        <f>IF(SUMIFS(TableTime[[Duration]:[Duration]],TableTime[[Date]:[Date]],$B169,TableTime[[Activity]:[Activity]],N$1)=0,"",SUMIFS(TableTime[[Duration]:[Duration]],TableTime[[Date]:[Date]],$B169,TableTime[[Activity]:[Activity]],N$1))</f>
        <v/>
      </c>
      <c r="O169" s="4" t="str">
        <f>IF(SUMIFS(TableTime[[Duration]:[Duration]],TableTime[[Date]:[Date]],$B169,TableTime[[Activity]:[Activity]],O$1)=0,"",SUMIFS(TableTime[[Duration]:[Duration]],TableTime[[Date]:[Date]],$B169,TableTime[[Activity]:[Activity]],O$1))</f>
        <v/>
      </c>
      <c r="P169" s="4" t="str">
        <f>IF(SUMIFS(TableTime[[Duration]:[Duration]],TableTime[[Date]:[Date]],$B169,TableTime[[Activity]:[Activity]],P$1)=0,"",SUMIFS(TableTime[[Duration]:[Duration]],TableTime[[Date]:[Date]],$B169,TableTime[[Activity]:[Activity]],P$1))</f>
        <v/>
      </c>
      <c r="Q169" s="4" t="str">
        <f>IF(SUMIFS(TableTime[[Duration]:[Duration]],TableTime[[Date]:[Date]],$B169,TableTime[[Activity]:[Activity]],Q$1)=0,"",SUMIFS(TableTime[[Duration]:[Duration]],TableTime[[Date]:[Date]],$B169,TableTime[[Activity]:[Activity]],Q$1))</f>
        <v/>
      </c>
      <c r="R169" s="4" t="str">
        <f>IF(SUMIFS(TableTime[[Duration]:[Duration]],TableTime[[Date]:[Date]],$B169,TableTime[[Activity]:[Activity]],R$1)=0,"",SUMIFS(TableTime[[Duration]:[Duration]],TableTime[[Date]:[Date]],$B169,TableTime[[Activity]:[Activity]],R$1))</f>
        <v/>
      </c>
      <c r="S169" s="130" t="str">
        <f>IF(SUMIFS(TableTime[[Duration]:[Duration]],TableTime[[Date]:[Date]],$B169,TableTime[[Activity]:[Activity]],S$1)=0,"",SUMIFS(TableTime[[Duration]:[Duration]],TableTime[[Date]:[Date]],$B169,TableTime[[Activity]:[Activity]],S$1))</f>
        <v/>
      </c>
      <c r="T169" s="4" t="str">
        <f>IF(SUMIFS(TableTime[[Duration]:[Duration]],TableTime[[Date]:[Date]],$B169,TableTime[[Activity]:[Activity]],T$1)=0,"",SUMIFS(TableTime[[Duration]:[Duration]],TableTime[[Date]:[Date]],$B169,TableTime[[Activity]:[Activity]],T$1))</f>
        <v/>
      </c>
      <c r="U169" s="39" t="str">
        <f>IF(SUMIFS(TableTime[[Duration]:[Duration]],TableTime[[Date]:[Date]],$B169,TableTime[[Activity]:[Activity]],U$1)=0,"",SUMIFS(TableTime[[Duration]:[Duration]],TableTime[[Date]:[Date]],$B169,TableTime[[Activity]:[Activity]],U$1))</f>
        <v/>
      </c>
    </row>
    <row r="170" spans="1:21" x14ac:dyDescent="0.35">
      <c r="A170" s="59" t="str">
        <f t="shared" si="12"/>
        <v>Sun</v>
      </c>
      <c r="B170" s="91">
        <f t="shared" si="14"/>
        <v>45095</v>
      </c>
      <c r="C170" s="60">
        <f t="shared" si="15"/>
        <v>6</v>
      </c>
      <c r="D170" s="61">
        <f t="shared" si="13"/>
        <v>24</v>
      </c>
      <c r="E170" s="103"/>
      <c r="F170" s="60" t="str">
        <f>IFERROR(IF(OR(WEEKDAY(B170,2)=6,WEEKDAY(B170,2)=7),'Month summary'!$D$11,IF(E170="",'Month summary'!$C$11,E170)),"")</f>
        <v>WE</v>
      </c>
      <c r="G170" s="62">
        <f>IF(B170&lt;Time!$B$2,"",IF(F170='Month summary'!$C$11,'Month summary'!$F$2/24,IF(F170="H/2",'Month summary'!$F$2/24/2,0)))</f>
        <v>0</v>
      </c>
      <c r="H170" s="62">
        <f t="shared" si="16"/>
        <v>0</v>
      </c>
      <c r="I170" s="62" t="str">
        <f t="shared" si="17"/>
        <v/>
      </c>
      <c r="J170" s="108"/>
      <c r="K170" s="63" t="str">
        <f>IFERROR(INDEX(TableTime[Time],MATCH(B170,TableTime[Date],0)),"")</f>
        <v/>
      </c>
      <c r="L170" s="62" t="str">
        <f>IF(SUMIFS(TableTime[Duration],TableTime[Date],B170,TableTime[Activity],Projects!$C$9)+SUMIFS(TableTime[Duration],TableTime[Date],B170,TableTime[Activity],Projects!$C$10)+SUMIFS(TableTime[Duration],TableTime[Date],B170,TableTime[Activity],Projects!$C$11)=0,"",SUMIFS(TableTime[Duration],TableTime[Date],B170,TableTime[Activity],Projects!$C$9)+SUMIFS(TableTime[Duration],TableTime[Date],B170,TableTime[Activity],Projects!$C$10)+SUMIFS(TableTime[Duration],TableTime[Date],B170,TableTime[Activity],Projects!$C$11))</f>
        <v/>
      </c>
      <c r="M170" s="62" t="str" cm="1">
        <f t="array" ref="M170">IFERROR(LOOKUP(2,1/(TableTime[Date]=B170),TableTime[Time]),"")</f>
        <v/>
      </c>
      <c r="N170" s="63" t="str">
        <f>IF(SUMIFS(TableTime[[Duration]:[Duration]],TableTime[[Date]:[Date]],$B170,TableTime[[Activity]:[Activity]],N$1)=0,"",SUMIFS(TableTime[[Duration]:[Duration]],TableTime[[Date]:[Date]],$B170,TableTime[[Activity]:[Activity]],N$1))</f>
        <v/>
      </c>
      <c r="O170" s="62" t="str">
        <f>IF(SUMIFS(TableTime[[Duration]:[Duration]],TableTime[[Date]:[Date]],$B170,TableTime[[Activity]:[Activity]],O$1)=0,"",SUMIFS(TableTime[[Duration]:[Duration]],TableTime[[Date]:[Date]],$B170,TableTime[[Activity]:[Activity]],O$1))</f>
        <v/>
      </c>
      <c r="P170" s="62" t="str">
        <f>IF(SUMIFS(TableTime[[Duration]:[Duration]],TableTime[[Date]:[Date]],$B170,TableTime[[Activity]:[Activity]],P$1)=0,"",SUMIFS(TableTime[[Duration]:[Duration]],TableTime[[Date]:[Date]],$B170,TableTime[[Activity]:[Activity]],P$1))</f>
        <v/>
      </c>
      <c r="Q170" s="62" t="str">
        <f>IF(SUMIFS(TableTime[[Duration]:[Duration]],TableTime[[Date]:[Date]],$B170,TableTime[[Activity]:[Activity]],Q$1)=0,"",SUMIFS(TableTime[[Duration]:[Duration]],TableTime[[Date]:[Date]],$B170,TableTime[[Activity]:[Activity]],Q$1))</f>
        <v/>
      </c>
      <c r="R170" s="62" t="str">
        <f>IF(SUMIFS(TableTime[[Duration]:[Duration]],TableTime[[Date]:[Date]],$B170,TableTime[[Activity]:[Activity]],R$1)=0,"",SUMIFS(TableTime[[Duration]:[Duration]],TableTime[[Date]:[Date]],$B170,TableTime[[Activity]:[Activity]],R$1))</f>
        <v/>
      </c>
      <c r="S170" s="131" t="str">
        <f>IF(SUMIFS(TableTime[[Duration]:[Duration]],TableTime[[Date]:[Date]],$B170,TableTime[[Activity]:[Activity]],S$1)=0,"",SUMIFS(TableTime[[Duration]:[Duration]],TableTime[[Date]:[Date]],$B170,TableTime[[Activity]:[Activity]],S$1))</f>
        <v/>
      </c>
      <c r="T170" s="62" t="str">
        <f>IF(SUMIFS(TableTime[[Duration]:[Duration]],TableTime[[Date]:[Date]],$B170,TableTime[[Activity]:[Activity]],T$1)=0,"",SUMIFS(TableTime[[Duration]:[Duration]],TableTime[[Date]:[Date]],$B170,TableTime[[Activity]:[Activity]],T$1))</f>
        <v/>
      </c>
      <c r="U170" s="64" t="str">
        <f>IF(SUMIFS(TableTime[[Duration]:[Duration]],TableTime[[Date]:[Date]],$B170,TableTime[[Activity]:[Activity]],U$1)=0,"",SUMIFS(TableTime[[Duration]:[Duration]],TableTime[[Date]:[Date]],$B170,TableTime[[Activity]:[Activity]],U$1))</f>
        <v/>
      </c>
    </row>
    <row r="171" spans="1:21" x14ac:dyDescent="0.35">
      <c r="A171" s="35" t="str">
        <f t="shared" si="12"/>
        <v>Mon</v>
      </c>
      <c r="B171" s="5">
        <f t="shared" si="14"/>
        <v>45096</v>
      </c>
      <c r="C171" s="1">
        <f t="shared" si="15"/>
        <v>6</v>
      </c>
      <c r="D171" s="2">
        <f t="shared" si="13"/>
        <v>25</v>
      </c>
      <c r="E171" s="102"/>
      <c r="F171" s="1" t="str">
        <f>IFERROR(IF(OR(WEEKDAY(B171,2)=6,WEEKDAY(B171,2)=7),'Month summary'!$D$11,IF(E171="",'Month summary'!$C$11,E171)),"")</f>
        <v>W</v>
      </c>
      <c r="G171" s="4">
        <f>IF(B171&lt;Time!$B$2,"",IF(F171='Month summary'!$C$11,'Month summary'!$F$2/24,IF(F171="H/2",'Month summary'!$F$2/24/2,0)))</f>
        <v>0.33333333333333331</v>
      </c>
      <c r="H171" s="4">
        <f t="shared" si="16"/>
        <v>0</v>
      </c>
      <c r="I171" s="4" t="str">
        <f t="shared" si="17"/>
        <v/>
      </c>
      <c r="J171" s="107"/>
      <c r="K171" s="38" t="str">
        <f>IFERROR(INDEX(TableTime[Time],MATCH(B171,TableTime[Date],0)),"")</f>
        <v/>
      </c>
      <c r="L171" s="4" t="str">
        <f>IF(SUMIFS(TableTime[Duration],TableTime[Date],B171,TableTime[Activity],Projects!$C$9)+SUMIFS(TableTime[Duration],TableTime[Date],B171,TableTime[Activity],Projects!$C$10)+SUMIFS(TableTime[Duration],TableTime[Date],B171,TableTime[Activity],Projects!$C$11)=0,"",SUMIFS(TableTime[Duration],TableTime[Date],B171,TableTime[Activity],Projects!$C$9)+SUMIFS(TableTime[Duration],TableTime[Date],B171,TableTime[Activity],Projects!$C$10)+SUMIFS(TableTime[Duration],TableTime[Date],B171,TableTime[Activity],Projects!$C$11))</f>
        <v/>
      </c>
      <c r="M171" s="4" t="str" cm="1">
        <f t="array" ref="M171">IFERROR(LOOKUP(2,1/(TableTime[Date]=B171),TableTime[Time]),"")</f>
        <v/>
      </c>
      <c r="N171" s="38" t="str">
        <f>IF(SUMIFS(TableTime[[Duration]:[Duration]],TableTime[[Date]:[Date]],$B171,TableTime[[Activity]:[Activity]],N$1)=0,"",SUMIFS(TableTime[[Duration]:[Duration]],TableTime[[Date]:[Date]],$B171,TableTime[[Activity]:[Activity]],N$1))</f>
        <v/>
      </c>
      <c r="O171" s="4" t="str">
        <f>IF(SUMIFS(TableTime[[Duration]:[Duration]],TableTime[[Date]:[Date]],$B171,TableTime[[Activity]:[Activity]],O$1)=0,"",SUMIFS(TableTime[[Duration]:[Duration]],TableTime[[Date]:[Date]],$B171,TableTime[[Activity]:[Activity]],O$1))</f>
        <v/>
      </c>
      <c r="P171" s="4" t="str">
        <f>IF(SUMIFS(TableTime[[Duration]:[Duration]],TableTime[[Date]:[Date]],$B171,TableTime[[Activity]:[Activity]],P$1)=0,"",SUMIFS(TableTime[[Duration]:[Duration]],TableTime[[Date]:[Date]],$B171,TableTime[[Activity]:[Activity]],P$1))</f>
        <v/>
      </c>
      <c r="Q171" s="4" t="str">
        <f>IF(SUMIFS(TableTime[[Duration]:[Duration]],TableTime[[Date]:[Date]],$B171,TableTime[[Activity]:[Activity]],Q$1)=0,"",SUMIFS(TableTime[[Duration]:[Duration]],TableTime[[Date]:[Date]],$B171,TableTime[[Activity]:[Activity]],Q$1))</f>
        <v/>
      </c>
      <c r="R171" s="4" t="str">
        <f>IF(SUMIFS(TableTime[[Duration]:[Duration]],TableTime[[Date]:[Date]],$B171,TableTime[[Activity]:[Activity]],R$1)=0,"",SUMIFS(TableTime[[Duration]:[Duration]],TableTime[[Date]:[Date]],$B171,TableTime[[Activity]:[Activity]],R$1))</f>
        <v/>
      </c>
      <c r="S171" s="130" t="str">
        <f>IF(SUMIFS(TableTime[[Duration]:[Duration]],TableTime[[Date]:[Date]],$B171,TableTime[[Activity]:[Activity]],S$1)=0,"",SUMIFS(TableTime[[Duration]:[Duration]],TableTime[[Date]:[Date]],$B171,TableTime[[Activity]:[Activity]],S$1))</f>
        <v/>
      </c>
      <c r="T171" s="4" t="str">
        <f>IF(SUMIFS(TableTime[[Duration]:[Duration]],TableTime[[Date]:[Date]],$B171,TableTime[[Activity]:[Activity]],T$1)=0,"",SUMIFS(TableTime[[Duration]:[Duration]],TableTime[[Date]:[Date]],$B171,TableTime[[Activity]:[Activity]],T$1))</f>
        <v/>
      </c>
      <c r="U171" s="39" t="str">
        <f>IF(SUMIFS(TableTime[[Duration]:[Duration]],TableTime[[Date]:[Date]],$B171,TableTime[[Activity]:[Activity]],U$1)=0,"",SUMIFS(TableTime[[Duration]:[Duration]],TableTime[[Date]:[Date]],$B171,TableTime[[Activity]:[Activity]],U$1))</f>
        <v/>
      </c>
    </row>
    <row r="172" spans="1:21" x14ac:dyDescent="0.35">
      <c r="A172" s="59" t="str">
        <f t="shared" si="12"/>
        <v>Tue</v>
      </c>
      <c r="B172" s="91">
        <f t="shared" si="14"/>
        <v>45097</v>
      </c>
      <c r="C172" s="60">
        <f t="shared" si="15"/>
        <v>6</v>
      </c>
      <c r="D172" s="61">
        <f t="shared" si="13"/>
        <v>25</v>
      </c>
      <c r="E172" s="103"/>
      <c r="F172" s="60" t="str">
        <f>IFERROR(IF(OR(WEEKDAY(B172,2)=6,WEEKDAY(B172,2)=7),'Month summary'!$D$11,IF(E172="",'Month summary'!$C$11,E172)),"")</f>
        <v>W</v>
      </c>
      <c r="G172" s="62">
        <f>IF(B172&lt;Time!$B$2,"",IF(F172='Month summary'!$C$11,'Month summary'!$F$2/24,IF(F172="H/2",'Month summary'!$F$2/24/2,0)))</f>
        <v>0.33333333333333331</v>
      </c>
      <c r="H172" s="62">
        <f t="shared" si="16"/>
        <v>0</v>
      </c>
      <c r="I172" s="62" t="str">
        <f t="shared" si="17"/>
        <v/>
      </c>
      <c r="J172" s="108"/>
      <c r="K172" s="63" t="str">
        <f>IFERROR(INDEX(TableTime[Time],MATCH(B172,TableTime[Date],0)),"")</f>
        <v/>
      </c>
      <c r="L172" s="62" t="str">
        <f>IF(SUMIFS(TableTime[Duration],TableTime[Date],B172,TableTime[Activity],Projects!$C$9)+SUMIFS(TableTime[Duration],TableTime[Date],B172,TableTime[Activity],Projects!$C$10)+SUMIFS(TableTime[Duration],TableTime[Date],B172,TableTime[Activity],Projects!$C$11)=0,"",SUMIFS(TableTime[Duration],TableTime[Date],B172,TableTime[Activity],Projects!$C$9)+SUMIFS(TableTime[Duration],TableTime[Date],B172,TableTime[Activity],Projects!$C$10)+SUMIFS(TableTime[Duration],TableTime[Date],B172,TableTime[Activity],Projects!$C$11))</f>
        <v/>
      </c>
      <c r="M172" s="62" t="str" cm="1">
        <f t="array" ref="M172">IFERROR(LOOKUP(2,1/(TableTime[Date]=B172),TableTime[Time]),"")</f>
        <v/>
      </c>
      <c r="N172" s="63" t="str">
        <f>IF(SUMIFS(TableTime[[Duration]:[Duration]],TableTime[[Date]:[Date]],$B172,TableTime[[Activity]:[Activity]],N$1)=0,"",SUMIFS(TableTime[[Duration]:[Duration]],TableTime[[Date]:[Date]],$B172,TableTime[[Activity]:[Activity]],N$1))</f>
        <v/>
      </c>
      <c r="O172" s="62" t="str">
        <f>IF(SUMIFS(TableTime[[Duration]:[Duration]],TableTime[[Date]:[Date]],$B172,TableTime[[Activity]:[Activity]],O$1)=0,"",SUMIFS(TableTime[[Duration]:[Duration]],TableTime[[Date]:[Date]],$B172,TableTime[[Activity]:[Activity]],O$1))</f>
        <v/>
      </c>
      <c r="P172" s="62" t="str">
        <f>IF(SUMIFS(TableTime[[Duration]:[Duration]],TableTime[[Date]:[Date]],$B172,TableTime[[Activity]:[Activity]],P$1)=0,"",SUMIFS(TableTime[[Duration]:[Duration]],TableTime[[Date]:[Date]],$B172,TableTime[[Activity]:[Activity]],P$1))</f>
        <v/>
      </c>
      <c r="Q172" s="62" t="str">
        <f>IF(SUMIFS(TableTime[[Duration]:[Duration]],TableTime[[Date]:[Date]],$B172,TableTime[[Activity]:[Activity]],Q$1)=0,"",SUMIFS(TableTime[[Duration]:[Duration]],TableTime[[Date]:[Date]],$B172,TableTime[[Activity]:[Activity]],Q$1))</f>
        <v/>
      </c>
      <c r="R172" s="62" t="str">
        <f>IF(SUMIFS(TableTime[[Duration]:[Duration]],TableTime[[Date]:[Date]],$B172,TableTime[[Activity]:[Activity]],R$1)=0,"",SUMIFS(TableTime[[Duration]:[Duration]],TableTime[[Date]:[Date]],$B172,TableTime[[Activity]:[Activity]],R$1))</f>
        <v/>
      </c>
      <c r="S172" s="131" t="str">
        <f>IF(SUMIFS(TableTime[[Duration]:[Duration]],TableTime[[Date]:[Date]],$B172,TableTime[[Activity]:[Activity]],S$1)=0,"",SUMIFS(TableTime[[Duration]:[Duration]],TableTime[[Date]:[Date]],$B172,TableTime[[Activity]:[Activity]],S$1))</f>
        <v/>
      </c>
      <c r="T172" s="62" t="str">
        <f>IF(SUMIFS(TableTime[[Duration]:[Duration]],TableTime[[Date]:[Date]],$B172,TableTime[[Activity]:[Activity]],T$1)=0,"",SUMIFS(TableTime[[Duration]:[Duration]],TableTime[[Date]:[Date]],$B172,TableTime[[Activity]:[Activity]],T$1))</f>
        <v/>
      </c>
      <c r="U172" s="64" t="str">
        <f>IF(SUMIFS(TableTime[[Duration]:[Duration]],TableTime[[Date]:[Date]],$B172,TableTime[[Activity]:[Activity]],U$1)=0,"",SUMIFS(TableTime[[Duration]:[Duration]],TableTime[[Date]:[Date]],$B172,TableTime[[Activity]:[Activity]],U$1))</f>
        <v/>
      </c>
    </row>
    <row r="173" spans="1:21" x14ac:dyDescent="0.35">
      <c r="A173" s="35" t="str">
        <f t="shared" si="12"/>
        <v>Wed</v>
      </c>
      <c r="B173" s="5">
        <f t="shared" si="14"/>
        <v>45098</v>
      </c>
      <c r="C173" s="1">
        <f t="shared" si="15"/>
        <v>6</v>
      </c>
      <c r="D173" s="2">
        <f t="shared" si="13"/>
        <v>25</v>
      </c>
      <c r="E173" s="102"/>
      <c r="F173" s="1" t="str">
        <f>IFERROR(IF(OR(WEEKDAY(B173,2)=6,WEEKDAY(B173,2)=7),'Month summary'!$D$11,IF(E173="",'Month summary'!$C$11,E173)),"")</f>
        <v>W</v>
      </c>
      <c r="G173" s="4">
        <f>IF(B173&lt;Time!$B$2,"",IF(F173='Month summary'!$C$11,'Month summary'!$F$2/24,IF(F173="H/2",'Month summary'!$F$2/24/2,0)))</f>
        <v>0.33333333333333331</v>
      </c>
      <c r="H173" s="4">
        <f t="shared" si="16"/>
        <v>0</v>
      </c>
      <c r="I173" s="4" t="str">
        <f t="shared" si="17"/>
        <v/>
      </c>
      <c r="J173" s="107"/>
      <c r="K173" s="38" t="str">
        <f>IFERROR(INDEX(TableTime[Time],MATCH(B173,TableTime[Date],0)),"")</f>
        <v/>
      </c>
      <c r="L173" s="4" t="str">
        <f>IF(SUMIFS(TableTime[Duration],TableTime[Date],B173,TableTime[Activity],Projects!$C$9)+SUMIFS(TableTime[Duration],TableTime[Date],B173,TableTime[Activity],Projects!$C$10)+SUMIFS(TableTime[Duration],TableTime[Date],B173,TableTime[Activity],Projects!$C$11)=0,"",SUMIFS(TableTime[Duration],TableTime[Date],B173,TableTime[Activity],Projects!$C$9)+SUMIFS(TableTime[Duration],TableTime[Date],B173,TableTime[Activity],Projects!$C$10)+SUMIFS(TableTime[Duration],TableTime[Date],B173,TableTime[Activity],Projects!$C$11))</f>
        <v/>
      </c>
      <c r="M173" s="4" t="str" cm="1">
        <f t="array" ref="M173">IFERROR(LOOKUP(2,1/(TableTime[Date]=B173),TableTime[Time]),"")</f>
        <v/>
      </c>
      <c r="N173" s="38" t="str">
        <f>IF(SUMIFS(TableTime[[Duration]:[Duration]],TableTime[[Date]:[Date]],$B173,TableTime[[Activity]:[Activity]],N$1)=0,"",SUMIFS(TableTime[[Duration]:[Duration]],TableTime[[Date]:[Date]],$B173,TableTime[[Activity]:[Activity]],N$1))</f>
        <v/>
      </c>
      <c r="O173" s="4" t="str">
        <f>IF(SUMIFS(TableTime[[Duration]:[Duration]],TableTime[[Date]:[Date]],$B173,TableTime[[Activity]:[Activity]],O$1)=0,"",SUMIFS(TableTime[[Duration]:[Duration]],TableTime[[Date]:[Date]],$B173,TableTime[[Activity]:[Activity]],O$1))</f>
        <v/>
      </c>
      <c r="P173" s="4" t="str">
        <f>IF(SUMIFS(TableTime[[Duration]:[Duration]],TableTime[[Date]:[Date]],$B173,TableTime[[Activity]:[Activity]],P$1)=0,"",SUMIFS(TableTime[[Duration]:[Duration]],TableTime[[Date]:[Date]],$B173,TableTime[[Activity]:[Activity]],P$1))</f>
        <v/>
      </c>
      <c r="Q173" s="4" t="str">
        <f>IF(SUMIFS(TableTime[[Duration]:[Duration]],TableTime[[Date]:[Date]],$B173,TableTime[[Activity]:[Activity]],Q$1)=0,"",SUMIFS(TableTime[[Duration]:[Duration]],TableTime[[Date]:[Date]],$B173,TableTime[[Activity]:[Activity]],Q$1))</f>
        <v/>
      </c>
      <c r="R173" s="4" t="str">
        <f>IF(SUMIFS(TableTime[[Duration]:[Duration]],TableTime[[Date]:[Date]],$B173,TableTime[[Activity]:[Activity]],R$1)=0,"",SUMIFS(TableTime[[Duration]:[Duration]],TableTime[[Date]:[Date]],$B173,TableTime[[Activity]:[Activity]],R$1))</f>
        <v/>
      </c>
      <c r="S173" s="130" t="str">
        <f>IF(SUMIFS(TableTime[[Duration]:[Duration]],TableTime[[Date]:[Date]],$B173,TableTime[[Activity]:[Activity]],S$1)=0,"",SUMIFS(TableTime[[Duration]:[Duration]],TableTime[[Date]:[Date]],$B173,TableTime[[Activity]:[Activity]],S$1))</f>
        <v/>
      </c>
      <c r="T173" s="4" t="str">
        <f>IF(SUMIFS(TableTime[[Duration]:[Duration]],TableTime[[Date]:[Date]],$B173,TableTime[[Activity]:[Activity]],T$1)=0,"",SUMIFS(TableTime[[Duration]:[Duration]],TableTime[[Date]:[Date]],$B173,TableTime[[Activity]:[Activity]],T$1))</f>
        <v/>
      </c>
      <c r="U173" s="39" t="str">
        <f>IF(SUMIFS(TableTime[[Duration]:[Duration]],TableTime[[Date]:[Date]],$B173,TableTime[[Activity]:[Activity]],U$1)=0,"",SUMIFS(TableTime[[Duration]:[Duration]],TableTime[[Date]:[Date]],$B173,TableTime[[Activity]:[Activity]],U$1))</f>
        <v/>
      </c>
    </row>
    <row r="174" spans="1:21" x14ac:dyDescent="0.35">
      <c r="A174" s="59" t="str">
        <f t="shared" si="12"/>
        <v>Thr</v>
      </c>
      <c r="B174" s="91">
        <f t="shared" si="14"/>
        <v>45099</v>
      </c>
      <c r="C174" s="60">
        <f t="shared" si="15"/>
        <v>6</v>
      </c>
      <c r="D174" s="61">
        <f t="shared" si="13"/>
        <v>25</v>
      </c>
      <c r="E174" s="103"/>
      <c r="F174" s="60" t="str">
        <f>IFERROR(IF(OR(WEEKDAY(B174,2)=6,WEEKDAY(B174,2)=7),'Month summary'!$D$11,IF(E174="",'Month summary'!$C$11,E174)),"")</f>
        <v>W</v>
      </c>
      <c r="G174" s="62">
        <f>IF(B174&lt;Time!$B$2,"",IF(F174='Month summary'!$C$11,'Month summary'!$F$2/24,IF(F174="H/2",'Month summary'!$F$2/24/2,0)))</f>
        <v>0.33333333333333331</v>
      </c>
      <c r="H174" s="62">
        <f t="shared" si="16"/>
        <v>0</v>
      </c>
      <c r="I174" s="62" t="str">
        <f t="shared" si="17"/>
        <v/>
      </c>
      <c r="J174" s="108"/>
      <c r="K174" s="63" t="str">
        <f>IFERROR(INDEX(TableTime[Time],MATCH(B174,TableTime[Date],0)),"")</f>
        <v/>
      </c>
      <c r="L174" s="62" t="str">
        <f>IF(SUMIFS(TableTime[Duration],TableTime[Date],B174,TableTime[Activity],Projects!$C$9)+SUMIFS(TableTime[Duration],TableTime[Date],B174,TableTime[Activity],Projects!$C$10)+SUMIFS(TableTime[Duration],TableTime[Date],B174,TableTime[Activity],Projects!$C$11)=0,"",SUMIFS(TableTime[Duration],TableTime[Date],B174,TableTime[Activity],Projects!$C$9)+SUMIFS(TableTime[Duration],TableTime[Date],B174,TableTime[Activity],Projects!$C$10)+SUMIFS(TableTime[Duration],TableTime[Date],B174,TableTime[Activity],Projects!$C$11))</f>
        <v/>
      </c>
      <c r="M174" s="62" t="str" cm="1">
        <f t="array" ref="M174">IFERROR(LOOKUP(2,1/(TableTime[Date]=B174),TableTime[Time]),"")</f>
        <v/>
      </c>
      <c r="N174" s="63" t="str">
        <f>IF(SUMIFS(TableTime[[Duration]:[Duration]],TableTime[[Date]:[Date]],$B174,TableTime[[Activity]:[Activity]],N$1)=0,"",SUMIFS(TableTime[[Duration]:[Duration]],TableTime[[Date]:[Date]],$B174,TableTime[[Activity]:[Activity]],N$1))</f>
        <v/>
      </c>
      <c r="O174" s="62" t="str">
        <f>IF(SUMIFS(TableTime[[Duration]:[Duration]],TableTime[[Date]:[Date]],$B174,TableTime[[Activity]:[Activity]],O$1)=0,"",SUMIFS(TableTime[[Duration]:[Duration]],TableTime[[Date]:[Date]],$B174,TableTime[[Activity]:[Activity]],O$1))</f>
        <v/>
      </c>
      <c r="P174" s="62" t="str">
        <f>IF(SUMIFS(TableTime[[Duration]:[Duration]],TableTime[[Date]:[Date]],$B174,TableTime[[Activity]:[Activity]],P$1)=0,"",SUMIFS(TableTime[[Duration]:[Duration]],TableTime[[Date]:[Date]],$B174,TableTime[[Activity]:[Activity]],P$1))</f>
        <v/>
      </c>
      <c r="Q174" s="62" t="str">
        <f>IF(SUMIFS(TableTime[[Duration]:[Duration]],TableTime[[Date]:[Date]],$B174,TableTime[[Activity]:[Activity]],Q$1)=0,"",SUMIFS(TableTime[[Duration]:[Duration]],TableTime[[Date]:[Date]],$B174,TableTime[[Activity]:[Activity]],Q$1))</f>
        <v/>
      </c>
      <c r="R174" s="62" t="str">
        <f>IF(SUMIFS(TableTime[[Duration]:[Duration]],TableTime[[Date]:[Date]],$B174,TableTime[[Activity]:[Activity]],R$1)=0,"",SUMIFS(TableTime[[Duration]:[Duration]],TableTime[[Date]:[Date]],$B174,TableTime[[Activity]:[Activity]],R$1))</f>
        <v/>
      </c>
      <c r="S174" s="131" t="str">
        <f>IF(SUMIFS(TableTime[[Duration]:[Duration]],TableTime[[Date]:[Date]],$B174,TableTime[[Activity]:[Activity]],S$1)=0,"",SUMIFS(TableTime[[Duration]:[Duration]],TableTime[[Date]:[Date]],$B174,TableTime[[Activity]:[Activity]],S$1))</f>
        <v/>
      </c>
      <c r="T174" s="62" t="str">
        <f>IF(SUMIFS(TableTime[[Duration]:[Duration]],TableTime[[Date]:[Date]],$B174,TableTime[[Activity]:[Activity]],T$1)=0,"",SUMIFS(TableTime[[Duration]:[Duration]],TableTime[[Date]:[Date]],$B174,TableTime[[Activity]:[Activity]],T$1))</f>
        <v/>
      </c>
      <c r="U174" s="64" t="str">
        <f>IF(SUMIFS(TableTime[[Duration]:[Duration]],TableTime[[Date]:[Date]],$B174,TableTime[[Activity]:[Activity]],U$1)=0,"",SUMIFS(TableTime[[Duration]:[Duration]],TableTime[[Date]:[Date]],$B174,TableTime[[Activity]:[Activity]],U$1))</f>
        <v/>
      </c>
    </row>
    <row r="175" spans="1:21" x14ac:dyDescent="0.35">
      <c r="A175" s="35" t="str">
        <f t="shared" si="12"/>
        <v>Fri</v>
      </c>
      <c r="B175" s="5">
        <f t="shared" si="14"/>
        <v>45100</v>
      </c>
      <c r="C175" s="1">
        <f t="shared" si="15"/>
        <v>6</v>
      </c>
      <c r="D175" s="2">
        <f t="shared" si="13"/>
        <v>25</v>
      </c>
      <c r="E175" s="102"/>
      <c r="F175" s="1" t="str">
        <f>IFERROR(IF(OR(WEEKDAY(B175,2)=6,WEEKDAY(B175,2)=7),'Month summary'!$D$11,IF(E175="",'Month summary'!$C$11,E175)),"")</f>
        <v>W</v>
      </c>
      <c r="G175" s="4">
        <f>IF(B175&lt;Time!$B$2,"",IF(F175='Month summary'!$C$11,'Month summary'!$F$2/24,IF(F175="H/2",'Month summary'!$F$2/24/2,0)))</f>
        <v>0.33333333333333331</v>
      </c>
      <c r="H175" s="4">
        <f t="shared" si="16"/>
        <v>0</v>
      </c>
      <c r="I175" s="4" t="str">
        <f t="shared" si="17"/>
        <v/>
      </c>
      <c r="J175" s="107"/>
      <c r="K175" s="38" t="str">
        <f>IFERROR(INDEX(TableTime[Time],MATCH(B175,TableTime[Date],0)),"")</f>
        <v/>
      </c>
      <c r="L175" s="4" t="str">
        <f>IF(SUMIFS(TableTime[Duration],TableTime[Date],B175,TableTime[Activity],Projects!$C$9)+SUMIFS(TableTime[Duration],TableTime[Date],B175,TableTime[Activity],Projects!$C$10)+SUMIFS(TableTime[Duration],TableTime[Date],B175,TableTime[Activity],Projects!$C$11)=0,"",SUMIFS(TableTime[Duration],TableTime[Date],B175,TableTime[Activity],Projects!$C$9)+SUMIFS(TableTime[Duration],TableTime[Date],B175,TableTime[Activity],Projects!$C$10)+SUMIFS(TableTime[Duration],TableTime[Date],B175,TableTime[Activity],Projects!$C$11))</f>
        <v/>
      </c>
      <c r="M175" s="4" t="str" cm="1">
        <f t="array" ref="M175">IFERROR(LOOKUP(2,1/(TableTime[Date]=B175),TableTime[Time]),"")</f>
        <v/>
      </c>
      <c r="N175" s="38" t="str">
        <f>IF(SUMIFS(TableTime[[Duration]:[Duration]],TableTime[[Date]:[Date]],$B175,TableTime[[Activity]:[Activity]],N$1)=0,"",SUMIFS(TableTime[[Duration]:[Duration]],TableTime[[Date]:[Date]],$B175,TableTime[[Activity]:[Activity]],N$1))</f>
        <v/>
      </c>
      <c r="O175" s="4" t="str">
        <f>IF(SUMIFS(TableTime[[Duration]:[Duration]],TableTime[[Date]:[Date]],$B175,TableTime[[Activity]:[Activity]],O$1)=0,"",SUMIFS(TableTime[[Duration]:[Duration]],TableTime[[Date]:[Date]],$B175,TableTime[[Activity]:[Activity]],O$1))</f>
        <v/>
      </c>
      <c r="P175" s="4" t="str">
        <f>IF(SUMIFS(TableTime[[Duration]:[Duration]],TableTime[[Date]:[Date]],$B175,TableTime[[Activity]:[Activity]],P$1)=0,"",SUMIFS(TableTime[[Duration]:[Duration]],TableTime[[Date]:[Date]],$B175,TableTime[[Activity]:[Activity]],P$1))</f>
        <v/>
      </c>
      <c r="Q175" s="4" t="str">
        <f>IF(SUMIFS(TableTime[[Duration]:[Duration]],TableTime[[Date]:[Date]],$B175,TableTime[[Activity]:[Activity]],Q$1)=0,"",SUMIFS(TableTime[[Duration]:[Duration]],TableTime[[Date]:[Date]],$B175,TableTime[[Activity]:[Activity]],Q$1))</f>
        <v/>
      </c>
      <c r="R175" s="4" t="str">
        <f>IF(SUMIFS(TableTime[[Duration]:[Duration]],TableTime[[Date]:[Date]],$B175,TableTime[[Activity]:[Activity]],R$1)=0,"",SUMIFS(TableTime[[Duration]:[Duration]],TableTime[[Date]:[Date]],$B175,TableTime[[Activity]:[Activity]],R$1))</f>
        <v/>
      </c>
      <c r="S175" s="130" t="str">
        <f>IF(SUMIFS(TableTime[[Duration]:[Duration]],TableTime[[Date]:[Date]],$B175,TableTime[[Activity]:[Activity]],S$1)=0,"",SUMIFS(TableTime[[Duration]:[Duration]],TableTime[[Date]:[Date]],$B175,TableTime[[Activity]:[Activity]],S$1))</f>
        <v/>
      </c>
      <c r="T175" s="4" t="str">
        <f>IF(SUMIFS(TableTime[[Duration]:[Duration]],TableTime[[Date]:[Date]],$B175,TableTime[[Activity]:[Activity]],T$1)=0,"",SUMIFS(TableTime[[Duration]:[Duration]],TableTime[[Date]:[Date]],$B175,TableTime[[Activity]:[Activity]],T$1))</f>
        <v/>
      </c>
      <c r="U175" s="39" t="str">
        <f>IF(SUMIFS(TableTime[[Duration]:[Duration]],TableTime[[Date]:[Date]],$B175,TableTime[[Activity]:[Activity]],U$1)=0,"",SUMIFS(TableTime[[Duration]:[Duration]],TableTime[[Date]:[Date]],$B175,TableTime[[Activity]:[Activity]],U$1))</f>
        <v/>
      </c>
    </row>
    <row r="176" spans="1:21" x14ac:dyDescent="0.35">
      <c r="A176" s="59" t="str">
        <f t="shared" si="12"/>
        <v>Sat</v>
      </c>
      <c r="B176" s="91">
        <f t="shared" si="14"/>
        <v>45101</v>
      </c>
      <c r="C176" s="60">
        <f t="shared" si="15"/>
        <v>6</v>
      </c>
      <c r="D176" s="61">
        <f t="shared" si="13"/>
        <v>25</v>
      </c>
      <c r="E176" s="103"/>
      <c r="F176" s="60" t="str">
        <f>IFERROR(IF(OR(WEEKDAY(B176,2)=6,WEEKDAY(B176,2)=7),'Month summary'!$D$11,IF(E176="",'Month summary'!$C$11,E176)),"")</f>
        <v>WE</v>
      </c>
      <c r="G176" s="62">
        <f>IF(B176&lt;Time!$B$2,"",IF(F176='Month summary'!$C$11,'Month summary'!$F$2/24,IF(F176="H/2",'Month summary'!$F$2/24/2,0)))</f>
        <v>0</v>
      </c>
      <c r="H176" s="62">
        <f t="shared" si="16"/>
        <v>0</v>
      </c>
      <c r="I176" s="62" t="str">
        <f t="shared" si="17"/>
        <v/>
      </c>
      <c r="J176" s="108"/>
      <c r="K176" s="63" t="str">
        <f>IFERROR(INDEX(TableTime[Time],MATCH(B176,TableTime[Date],0)),"")</f>
        <v/>
      </c>
      <c r="L176" s="62" t="str">
        <f>IF(SUMIFS(TableTime[Duration],TableTime[Date],B176,TableTime[Activity],Projects!$C$9)+SUMIFS(TableTime[Duration],TableTime[Date],B176,TableTime[Activity],Projects!$C$10)+SUMIFS(TableTime[Duration],TableTime[Date],B176,TableTime[Activity],Projects!$C$11)=0,"",SUMIFS(TableTime[Duration],TableTime[Date],B176,TableTime[Activity],Projects!$C$9)+SUMIFS(TableTime[Duration],TableTime[Date],B176,TableTime[Activity],Projects!$C$10)+SUMIFS(TableTime[Duration],TableTime[Date],B176,TableTime[Activity],Projects!$C$11))</f>
        <v/>
      </c>
      <c r="M176" s="62" t="str" cm="1">
        <f t="array" ref="M176">IFERROR(LOOKUP(2,1/(TableTime[Date]=B176),TableTime[Time]),"")</f>
        <v/>
      </c>
      <c r="N176" s="63" t="str">
        <f>IF(SUMIFS(TableTime[[Duration]:[Duration]],TableTime[[Date]:[Date]],$B176,TableTime[[Activity]:[Activity]],N$1)=0,"",SUMIFS(TableTime[[Duration]:[Duration]],TableTime[[Date]:[Date]],$B176,TableTime[[Activity]:[Activity]],N$1))</f>
        <v/>
      </c>
      <c r="O176" s="62" t="str">
        <f>IF(SUMIFS(TableTime[[Duration]:[Duration]],TableTime[[Date]:[Date]],$B176,TableTime[[Activity]:[Activity]],O$1)=0,"",SUMIFS(TableTime[[Duration]:[Duration]],TableTime[[Date]:[Date]],$B176,TableTime[[Activity]:[Activity]],O$1))</f>
        <v/>
      </c>
      <c r="P176" s="62" t="str">
        <f>IF(SUMIFS(TableTime[[Duration]:[Duration]],TableTime[[Date]:[Date]],$B176,TableTime[[Activity]:[Activity]],P$1)=0,"",SUMIFS(TableTime[[Duration]:[Duration]],TableTime[[Date]:[Date]],$B176,TableTime[[Activity]:[Activity]],P$1))</f>
        <v/>
      </c>
      <c r="Q176" s="62" t="str">
        <f>IF(SUMIFS(TableTime[[Duration]:[Duration]],TableTime[[Date]:[Date]],$B176,TableTime[[Activity]:[Activity]],Q$1)=0,"",SUMIFS(TableTime[[Duration]:[Duration]],TableTime[[Date]:[Date]],$B176,TableTime[[Activity]:[Activity]],Q$1))</f>
        <v/>
      </c>
      <c r="R176" s="62" t="str">
        <f>IF(SUMIFS(TableTime[[Duration]:[Duration]],TableTime[[Date]:[Date]],$B176,TableTime[[Activity]:[Activity]],R$1)=0,"",SUMIFS(TableTime[[Duration]:[Duration]],TableTime[[Date]:[Date]],$B176,TableTime[[Activity]:[Activity]],R$1))</f>
        <v/>
      </c>
      <c r="S176" s="131" t="str">
        <f>IF(SUMIFS(TableTime[[Duration]:[Duration]],TableTime[[Date]:[Date]],$B176,TableTime[[Activity]:[Activity]],S$1)=0,"",SUMIFS(TableTime[[Duration]:[Duration]],TableTime[[Date]:[Date]],$B176,TableTime[[Activity]:[Activity]],S$1))</f>
        <v/>
      </c>
      <c r="T176" s="62" t="str">
        <f>IF(SUMIFS(TableTime[[Duration]:[Duration]],TableTime[[Date]:[Date]],$B176,TableTime[[Activity]:[Activity]],T$1)=0,"",SUMIFS(TableTime[[Duration]:[Duration]],TableTime[[Date]:[Date]],$B176,TableTime[[Activity]:[Activity]],T$1))</f>
        <v/>
      </c>
      <c r="U176" s="64" t="str">
        <f>IF(SUMIFS(TableTime[[Duration]:[Duration]],TableTime[[Date]:[Date]],$B176,TableTime[[Activity]:[Activity]],U$1)=0,"",SUMIFS(TableTime[[Duration]:[Duration]],TableTime[[Date]:[Date]],$B176,TableTime[[Activity]:[Activity]],U$1))</f>
        <v/>
      </c>
    </row>
    <row r="177" spans="1:21" x14ac:dyDescent="0.35">
      <c r="A177" s="35" t="str">
        <f t="shared" si="12"/>
        <v>Sun</v>
      </c>
      <c r="B177" s="5">
        <f t="shared" si="14"/>
        <v>45102</v>
      </c>
      <c r="C177" s="1">
        <f t="shared" si="15"/>
        <v>6</v>
      </c>
      <c r="D177" s="2">
        <f t="shared" si="13"/>
        <v>25</v>
      </c>
      <c r="E177" s="102"/>
      <c r="F177" s="1" t="str">
        <f>IFERROR(IF(OR(WEEKDAY(B177,2)=6,WEEKDAY(B177,2)=7),'Month summary'!$D$11,IF(E177="",'Month summary'!$C$11,E177)),"")</f>
        <v>WE</v>
      </c>
      <c r="G177" s="4">
        <f>IF(B177&lt;Time!$B$2,"",IF(F177='Month summary'!$C$11,'Month summary'!$F$2/24,IF(F177="H/2",'Month summary'!$F$2/24/2,0)))</f>
        <v>0</v>
      </c>
      <c r="H177" s="4">
        <f t="shared" si="16"/>
        <v>0</v>
      </c>
      <c r="I177" s="4" t="str">
        <f t="shared" si="17"/>
        <v/>
      </c>
      <c r="J177" s="107"/>
      <c r="K177" s="38" t="str">
        <f>IFERROR(INDEX(TableTime[Time],MATCH(B177,TableTime[Date],0)),"")</f>
        <v/>
      </c>
      <c r="L177" s="4" t="str">
        <f>IF(SUMIFS(TableTime[Duration],TableTime[Date],B177,TableTime[Activity],Projects!$C$9)+SUMIFS(TableTime[Duration],TableTime[Date],B177,TableTime[Activity],Projects!$C$10)+SUMIFS(TableTime[Duration],TableTime[Date],B177,TableTime[Activity],Projects!$C$11)=0,"",SUMIFS(TableTime[Duration],TableTime[Date],B177,TableTime[Activity],Projects!$C$9)+SUMIFS(TableTime[Duration],TableTime[Date],B177,TableTime[Activity],Projects!$C$10)+SUMIFS(TableTime[Duration],TableTime[Date],B177,TableTime[Activity],Projects!$C$11))</f>
        <v/>
      </c>
      <c r="M177" s="4" t="str" cm="1">
        <f t="array" ref="M177">IFERROR(LOOKUP(2,1/(TableTime[Date]=B177),TableTime[Time]),"")</f>
        <v/>
      </c>
      <c r="N177" s="38" t="str">
        <f>IF(SUMIFS(TableTime[[Duration]:[Duration]],TableTime[[Date]:[Date]],$B177,TableTime[[Activity]:[Activity]],N$1)=0,"",SUMIFS(TableTime[[Duration]:[Duration]],TableTime[[Date]:[Date]],$B177,TableTime[[Activity]:[Activity]],N$1))</f>
        <v/>
      </c>
      <c r="O177" s="4" t="str">
        <f>IF(SUMIFS(TableTime[[Duration]:[Duration]],TableTime[[Date]:[Date]],$B177,TableTime[[Activity]:[Activity]],O$1)=0,"",SUMIFS(TableTime[[Duration]:[Duration]],TableTime[[Date]:[Date]],$B177,TableTime[[Activity]:[Activity]],O$1))</f>
        <v/>
      </c>
      <c r="P177" s="4" t="str">
        <f>IF(SUMIFS(TableTime[[Duration]:[Duration]],TableTime[[Date]:[Date]],$B177,TableTime[[Activity]:[Activity]],P$1)=0,"",SUMIFS(TableTime[[Duration]:[Duration]],TableTime[[Date]:[Date]],$B177,TableTime[[Activity]:[Activity]],P$1))</f>
        <v/>
      </c>
      <c r="Q177" s="4" t="str">
        <f>IF(SUMIFS(TableTime[[Duration]:[Duration]],TableTime[[Date]:[Date]],$B177,TableTime[[Activity]:[Activity]],Q$1)=0,"",SUMIFS(TableTime[[Duration]:[Duration]],TableTime[[Date]:[Date]],$B177,TableTime[[Activity]:[Activity]],Q$1))</f>
        <v/>
      </c>
      <c r="R177" s="4" t="str">
        <f>IF(SUMIFS(TableTime[[Duration]:[Duration]],TableTime[[Date]:[Date]],$B177,TableTime[[Activity]:[Activity]],R$1)=0,"",SUMIFS(TableTime[[Duration]:[Duration]],TableTime[[Date]:[Date]],$B177,TableTime[[Activity]:[Activity]],R$1))</f>
        <v/>
      </c>
      <c r="S177" s="130" t="str">
        <f>IF(SUMIFS(TableTime[[Duration]:[Duration]],TableTime[[Date]:[Date]],$B177,TableTime[[Activity]:[Activity]],S$1)=0,"",SUMIFS(TableTime[[Duration]:[Duration]],TableTime[[Date]:[Date]],$B177,TableTime[[Activity]:[Activity]],S$1))</f>
        <v/>
      </c>
      <c r="T177" s="4" t="str">
        <f>IF(SUMIFS(TableTime[[Duration]:[Duration]],TableTime[[Date]:[Date]],$B177,TableTime[[Activity]:[Activity]],T$1)=0,"",SUMIFS(TableTime[[Duration]:[Duration]],TableTime[[Date]:[Date]],$B177,TableTime[[Activity]:[Activity]],T$1))</f>
        <v/>
      </c>
      <c r="U177" s="39" t="str">
        <f>IF(SUMIFS(TableTime[[Duration]:[Duration]],TableTime[[Date]:[Date]],$B177,TableTime[[Activity]:[Activity]],U$1)=0,"",SUMIFS(TableTime[[Duration]:[Duration]],TableTime[[Date]:[Date]],$B177,TableTime[[Activity]:[Activity]],U$1))</f>
        <v/>
      </c>
    </row>
    <row r="178" spans="1:21" x14ac:dyDescent="0.35">
      <c r="A178" s="59" t="str">
        <f t="shared" si="12"/>
        <v>Mon</v>
      </c>
      <c r="B178" s="91">
        <f t="shared" si="14"/>
        <v>45103</v>
      </c>
      <c r="C178" s="60">
        <f t="shared" si="15"/>
        <v>6</v>
      </c>
      <c r="D178" s="61">
        <f t="shared" si="13"/>
        <v>26</v>
      </c>
      <c r="E178" s="103"/>
      <c r="F178" s="60" t="str">
        <f>IFERROR(IF(OR(WEEKDAY(B178,2)=6,WEEKDAY(B178,2)=7),'Month summary'!$D$11,IF(E178="",'Month summary'!$C$11,E178)),"")</f>
        <v>W</v>
      </c>
      <c r="G178" s="62">
        <f>IF(B178&lt;Time!$B$2,"",IF(F178='Month summary'!$C$11,'Month summary'!$F$2/24,IF(F178="H/2",'Month summary'!$F$2/24/2,0)))</f>
        <v>0.33333333333333331</v>
      </c>
      <c r="H178" s="62">
        <f t="shared" si="16"/>
        <v>0</v>
      </c>
      <c r="I178" s="62" t="str">
        <f t="shared" si="17"/>
        <v/>
      </c>
      <c r="J178" s="108"/>
      <c r="K178" s="63" t="str">
        <f>IFERROR(INDEX(TableTime[Time],MATCH(B178,TableTime[Date],0)),"")</f>
        <v/>
      </c>
      <c r="L178" s="62" t="str">
        <f>IF(SUMIFS(TableTime[Duration],TableTime[Date],B178,TableTime[Activity],Projects!$C$9)+SUMIFS(TableTime[Duration],TableTime[Date],B178,TableTime[Activity],Projects!$C$10)+SUMIFS(TableTime[Duration],TableTime[Date],B178,TableTime[Activity],Projects!$C$11)=0,"",SUMIFS(TableTime[Duration],TableTime[Date],B178,TableTime[Activity],Projects!$C$9)+SUMIFS(TableTime[Duration],TableTime[Date],B178,TableTime[Activity],Projects!$C$10)+SUMIFS(TableTime[Duration],TableTime[Date],B178,TableTime[Activity],Projects!$C$11))</f>
        <v/>
      </c>
      <c r="M178" s="62" t="str" cm="1">
        <f t="array" ref="M178">IFERROR(LOOKUP(2,1/(TableTime[Date]=B178),TableTime[Time]),"")</f>
        <v/>
      </c>
      <c r="N178" s="63" t="str">
        <f>IF(SUMIFS(TableTime[[Duration]:[Duration]],TableTime[[Date]:[Date]],$B178,TableTime[[Activity]:[Activity]],N$1)=0,"",SUMIFS(TableTime[[Duration]:[Duration]],TableTime[[Date]:[Date]],$B178,TableTime[[Activity]:[Activity]],N$1))</f>
        <v/>
      </c>
      <c r="O178" s="62" t="str">
        <f>IF(SUMIFS(TableTime[[Duration]:[Duration]],TableTime[[Date]:[Date]],$B178,TableTime[[Activity]:[Activity]],O$1)=0,"",SUMIFS(TableTime[[Duration]:[Duration]],TableTime[[Date]:[Date]],$B178,TableTime[[Activity]:[Activity]],O$1))</f>
        <v/>
      </c>
      <c r="P178" s="62" t="str">
        <f>IF(SUMIFS(TableTime[[Duration]:[Duration]],TableTime[[Date]:[Date]],$B178,TableTime[[Activity]:[Activity]],P$1)=0,"",SUMIFS(TableTime[[Duration]:[Duration]],TableTime[[Date]:[Date]],$B178,TableTime[[Activity]:[Activity]],P$1))</f>
        <v/>
      </c>
      <c r="Q178" s="62" t="str">
        <f>IF(SUMIFS(TableTime[[Duration]:[Duration]],TableTime[[Date]:[Date]],$B178,TableTime[[Activity]:[Activity]],Q$1)=0,"",SUMIFS(TableTime[[Duration]:[Duration]],TableTime[[Date]:[Date]],$B178,TableTime[[Activity]:[Activity]],Q$1))</f>
        <v/>
      </c>
      <c r="R178" s="62" t="str">
        <f>IF(SUMIFS(TableTime[[Duration]:[Duration]],TableTime[[Date]:[Date]],$B178,TableTime[[Activity]:[Activity]],R$1)=0,"",SUMIFS(TableTime[[Duration]:[Duration]],TableTime[[Date]:[Date]],$B178,TableTime[[Activity]:[Activity]],R$1))</f>
        <v/>
      </c>
      <c r="S178" s="131" t="str">
        <f>IF(SUMIFS(TableTime[[Duration]:[Duration]],TableTime[[Date]:[Date]],$B178,TableTime[[Activity]:[Activity]],S$1)=0,"",SUMIFS(TableTime[[Duration]:[Duration]],TableTime[[Date]:[Date]],$B178,TableTime[[Activity]:[Activity]],S$1))</f>
        <v/>
      </c>
      <c r="T178" s="62" t="str">
        <f>IF(SUMIFS(TableTime[[Duration]:[Duration]],TableTime[[Date]:[Date]],$B178,TableTime[[Activity]:[Activity]],T$1)=0,"",SUMIFS(TableTime[[Duration]:[Duration]],TableTime[[Date]:[Date]],$B178,TableTime[[Activity]:[Activity]],T$1))</f>
        <v/>
      </c>
      <c r="U178" s="64" t="str">
        <f>IF(SUMIFS(TableTime[[Duration]:[Duration]],TableTime[[Date]:[Date]],$B178,TableTime[[Activity]:[Activity]],U$1)=0,"",SUMIFS(TableTime[[Duration]:[Duration]],TableTime[[Date]:[Date]],$B178,TableTime[[Activity]:[Activity]],U$1))</f>
        <v/>
      </c>
    </row>
    <row r="179" spans="1:21" x14ac:dyDescent="0.35">
      <c r="A179" s="35" t="str">
        <f t="shared" si="12"/>
        <v>Tue</v>
      </c>
      <c r="B179" s="5">
        <f t="shared" si="14"/>
        <v>45104</v>
      </c>
      <c r="C179" s="1">
        <f t="shared" si="15"/>
        <v>6</v>
      </c>
      <c r="D179" s="2">
        <f t="shared" si="13"/>
        <v>26</v>
      </c>
      <c r="E179" s="102"/>
      <c r="F179" s="1" t="str">
        <f>IFERROR(IF(OR(WEEKDAY(B179,2)=6,WEEKDAY(B179,2)=7),'Month summary'!$D$11,IF(E179="",'Month summary'!$C$11,E179)),"")</f>
        <v>W</v>
      </c>
      <c r="G179" s="4">
        <f>IF(B179&lt;Time!$B$2,"",IF(F179='Month summary'!$C$11,'Month summary'!$F$2/24,IF(F179="H/2",'Month summary'!$F$2/24/2,0)))</f>
        <v>0.33333333333333331</v>
      </c>
      <c r="H179" s="4">
        <f t="shared" si="16"/>
        <v>0</v>
      </c>
      <c r="I179" s="4" t="str">
        <f t="shared" si="17"/>
        <v/>
      </c>
      <c r="J179" s="107"/>
      <c r="K179" s="38" t="str">
        <f>IFERROR(INDEX(TableTime[Time],MATCH(B179,TableTime[Date],0)),"")</f>
        <v/>
      </c>
      <c r="L179" s="4" t="str">
        <f>IF(SUMIFS(TableTime[Duration],TableTime[Date],B179,TableTime[Activity],Projects!$C$9)+SUMIFS(TableTime[Duration],TableTime[Date],B179,TableTime[Activity],Projects!$C$10)+SUMIFS(TableTime[Duration],TableTime[Date],B179,TableTime[Activity],Projects!$C$11)=0,"",SUMIFS(TableTime[Duration],TableTime[Date],B179,TableTime[Activity],Projects!$C$9)+SUMIFS(TableTime[Duration],TableTime[Date],B179,TableTime[Activity],Projects!$C$10)+SUMIFS(TableTime[Duration],TableTime[Date],B179,TableTime[Activity],Projects!$C$11))</f>
        <v/>
      </c>
      <c r="M179" s="4" t="str" cm="1">
        <f t="array" ref="M179">IFERROR(LOOKUP(2,1/(TableTime[Date]=B179),TableTime[Time]),"")</f>
        <v/>
      </c>
      <c r="N179" s="38" t="str">
        <f>IF(SUMIFS(TableTime[[Duration]:[Duration]],TableTime[[Date]:[Date]],$B179,TableTime[[Activity]:[Activity]],N$1)=0,"",SUMIFS(TableTime[[Duration]:[Duration]],TableTime[[Date]:[Date]],$B179,TableTime[[Activity]:[Activity]],N$1))</f>
        <v/>
      </c>
      <c r="O179" s="4" t="str">
        <f>IF(SUMIFS(TableTime[[Duration]:[Duration]],TableTime[[Date]:[Date]],$B179,TableTime[[Activity]:[Activity]],O$1)=0,"",SUMIFS(TableTime[[Duration]:[Duration]],TableTime[[Date]:[Date]],$B179,TableTime[[Activity]:[Activity]],O$1))</f>
        <v/>
      </c>
      <c r="P179" s="4" t="str">
        <f>IF(SUMIFS(TableTime[[Duration]:[Duration]],TableTime[[Date]:[Date]],$B179,TableTime[[Activity]:[Activity]],P$1)=0,"",SUMIFS(TableTime[[Duration]:[Duration]],TableTime[[Date]:[Date]],$B179,TableTime[[Activity]:[Activity]],P$1))</f>
        <v/>
      </c>
      <c r="Q179" s="4" t="str">
        <f>IF(SUMIFS(TableTime[[Duration]:[Duration]],TableTime[[Date]:[Date]],$B179,TableTime[[Activity]:[Activity]],Q$1)=0,"",SUMIFS(TableTime[[Duration]:[Duration]],TableTime[[Date]:[Date]],$B179,TableTime[[Activity]:[Activity]],Q$1))</f>
        <v/>
      </c>
      <c r="R179" s="4" t="str">
        <f>IF(SUMIFS(TableTime[[Duration]:[Duration]],TableTime[[Date]:[Date]],$B179,TableTime[[Activity]:[Activity]],R$1)=0,"",SUMIFS(TableTime[[Duration]:[Duration]],TableTime[[Date]:[Date]],$B179,TableTime[[Activity]:[Activity]],R$1))</f>
        <v/>
      </c>
      <c r="S179" s="130" t="str">
        <f>IF(SUMIFS(TableTime[[Duration]:[Duration]],TableTime[[Date]:[Date]],$B179,TableTime[[Activity]:[Activity]],S$1)=0,"",SUMIFS(TableTime[[Duration]:[Duration]],TableTime[[Date]:[Date]],$B179,TableTime[[Activity]:[Activity]],S$1))</f>
        <v/>
      </c>
      <c r="T179" s="4" t="str">
        <f>IF(SUMIFS(TableTime[[Duration]:[Duration]],TableTime[[Date]:[Date]],$B179,TableTime[[Activity]:[Activity]],T$1)=0,"",SUMIFS(TableTime[[Duration]:[Duration]],TableTime[[Date]:[Date]],$B179,TableTime[[Activity]:[Activity]],T$1))</f>
        <v/>
      </c>
      <c r="U179" s="39" t="str">
        <f>IF(SUMIFS(TableTime[[Duration]:[Duration]],TableTime[[Date]:[Date]],$B179,TableTime[[Activity]:[Activity]],U$1)=0,"",SUMIFS(TableTime[[Duration]:[Duration]],TableTime[[Date]:[Date]],$B179,TableTime[[Activity]:[Activity]],U$1))</f>
        <v/>
      </c>
    </row>
    <row r="180" spans="1:21" x14ac:dyDescent="0.35">
      <c r="A180" s="59" t="str">
        <f t="shared" si="12"/>
        <v>Wed</v>
      </c>
      <c r="B180" s="91">
        <f t="shared" si="14"/>
        <v>45105</v>
      </c>
      <c r="C180" s="60">
        <f t="shared" si="15"/>
        <v>6</v>
      </c>
      <c r="D180" s="61">
        <f t="shared" si="13"/>
        <v>26</v>
      </c>
      <c r="E180" s="103"/>
      <c r="F180" s="60" t="str">
        <f>IFERROR(IF(OR(WEEKDAY(B180,2)=6,WEEKDAY(B180,2)=7),'Month summary'!$D$11,IF(E180="",'Month summary'!$C$11,E180)),"")</f>
        <v>W</v>
      </c>
      <c r="G180" s="62">
        <f>IF(B180&lt;Time!$B$2,"",IF(F180='Month summary'!$C$11,'Month summary'!$F$2/24,IF(F180="H/2",'Month summary'!$F$2/24/2,0)))</f>
        <v>0.33333333333333331</v>
      </c>
      <c r="H180" s="62">
        <f t="shared" si="16"/>
        <v>0</v>
      </c>
      <c r="I180" s="62" t="str">
        <f t="shared" si="17"/>
        <v/>
      </c>
      <c r="J180" s="108"/>
      <c r="K180" s="63" t="str">
        <f>IFERROR(INDEX(TableTime[Time],MATCH(B180,TableTime[Date],0)),"")</f>
        <v/>
      </c>
      <c r="L180" s="62" t="str">
        <f>IF(SUMIFS(TableTime[Duration],TableTime[Date],B180,TableTime[Activity],Projects!$C$9)+SUMIFS(TableTime[Duration],TableTime[Date],B180,TableTime[Activity],Projects!$C$10)+SUMIFS(TableTime[Duration],TableTime[Date],B180,TableTime[Activity],Projects!$C$11)=0,"",SUMIFS(TableTime[Duration],TableTime[Date],B180,TableTime[Activity],Projects!$C$9)+SUMIFS(TableTime[Duration],TableTime[Date],B180,TableTime[Activity],Projects!$C$10)+SUMIFS(TableTime[Duration],TableTime[Date],B180,TableTime[Activity],Projects!$C$11))</f>
        <v/>
      </c>
      <c r="M180" s="62" t="str" cm="1">
        <f t="array" ref="M180">IFERROR(LOOKUP(2,1/(TableTime[Date]=B180),TableTime[Time]),"")</f>
        <v/>
      </c>
      <c r="N180" s="63" t="str">
        <f>IF(SUMIFS(TableTime[[Duration]:[Duration]],TableTime[[Date]:[Date]],$B180,TableTime[[Activity]:[Activity]],N$1)=0,"",SUMIFS(TableTime[[Duration]:[Duration]],TableTime[[Date]:[Date]],$B180,TableTime[[Activity]:[Activity]],N$1))</f>
        <v/>
      </c>
      <c r="O180" s="62" t="str">
        <f>IF(SUMIFS(TableTime[[Duration]:[Duration]],TableTime[[Date]:[Date]],$B180,TableTime[[Activity]:[Activity]],O$1)=0,"",SUMIFS(TableTime[[Duration]:[Duration]],TableTime[[Date]:[Date]],$B180,TableTime[[Activity]:[Activity]],O$1))</f>
        <v/>
      </c>
      <c r="P180" s="62" t="str">
        <f>IF(SUMIFS(TableTime[[Duration]:[Duration]],TableTime[[Date]:[Date]],$B180,TableTime[[Activity]:[Activity]],P$1)=0,"",SUMIFS(TableTime[[Duration]:[Duration]],TableTime[[Date]:[Date]],$B180,TableTime[[Activity]:[Activity]],P$1))</f>
        <v/>
      </c>
      <c r="Q180" s="62" t="str">
        <f>IF(SUMIFS(TableTime[[Duration]:[Duration]],TableTime[[Date]:[Date]],$B180,TableTime[[Activity]:[Activity]],Q$1)=0,"",SUMIFS(TableTime[[Duration]:[Duration]],TableTime[[Date]:[Date]],$B180,TableTime[[Activity]:[Activity]],Q$1))</f>
        <v/>
      </c>
      <c r="R180" s="62" t="str">
        <f>IF(SUMIFS(TableTime[[Duration]:[Duration]],TableTime[[Date]:[Date]],$B180,TableTime[[Activity]:[Activity]],R$1)=0,"",SUMIFS(TableTime[[Duration]:[Duration]],TableTime[[Date]:[Date]],$B180,TableTime[[Activity]:[Activity]],R$1))</f>
        <v/>
      </c>
      <c r="S180" s="131" t="str">
        <f>IF(SUMIFS(TableTime[[Duration]:[Duration]],TableTime[[Date]:[Date]],$B180,TableTime[[Activity]:[Activity]],S$1)=0,"",SUMIFS(TableTime[[Duration]:[Duration]],TableTime[[Date]:[Date]],$B180,TableTime[[Activity]:[Activity]],S$1))</f>
        <v/>
      </c>
      <c r="T180" s="62" t="str">
        <f>IF(SUMIFS(TableTime[[Duration]:[Duration]],TableTime[[Date]:[Date]],$B180,TableTime[[Activity]:[Activity]],T$1)=0,"",SUMIFS(TableTime[[Duration]:[Duration]],TableTime[[Date]:[Date]],$B180,TableTime[[Activity]:[Activity]],T$1))</f>
        <v/>
      </c>
      <c r="U180" s="64" t="str">
        <f>IF(SUMIFS(TableTime[[Duration]:[Duration]],TableTime[[Date]:[Date]],$B180,TableTime[[Activity]:[Activity]],U$1)=0,"",SUMIFS(TableTime[[Duration]:[Duration]],TableTime[[Date]:[Date]],$B180,TableTime[[Activity]:[Activity]],U$1))</f>
        <v/>
      </c>
    </row>
    <row r="181" spans="1:21" x14ac:dyDescent="0.35">
      <c r="A181" s="35" t="str">
        <f t="shared" si="12"/>
        <v>Thr</v>
      </c>
      <c r="B181" s="5">
        <f t="shared" si="14"/>
        <v>45106</v>
      </c>
      <c r="C181" s="1">
        <f t="shared" si="15"/>
        <v>6</v>
      </c>
      <c r="D181" s="2">
        <f t="shared" si="13"/>
        <v>26</v>
      </c>
      <c r="E181" s="102"/>
      <c r="F181" s="1" t="str">
        <f>IFERROR(IF(OR(WEEKDAY(B181,2)=6,WEEKDAY(B181,2)=7),'Month summary'!$D$11,IF(E181="",'Month summary'!$C$11,E181)),"")</f>
        <v>W</v>
      </c>
      <c r="G181" s="4">
        <f>IF(B181&lt;Time!$B$2,"",IF(F181='Month summary'!$C$11,'Month summary'!$F$2/24,IF(F181="H/2",'Month summary'!$F$2/24/2,0)))</f>
        <v>0.33333333333333331</v>
      </c>
      <c r="H181" s="4">
        <f t="shared" si="16"/>
        <v>0</v>
      </c>
      <c r="I181" s="4" t="str">
        <f t="shared" si="17"/>
        <v/>
      </c>
      <c r="J181" s="107"/>
      <c r="K181" s="38" t="str">
        <f>IFERROR(INDEX(TableTime[Time],MATCH(B181,TableTime[Date],0)),"")</f>
        <v/>
      </c>
      <c r="L181" s="4" t="str">
        <f>IF(SUMIFS(TableTime[Duration],TableTime[Date],B181,TableTime[Activity],Projects!$C$9)+SUMIFS(TableTime[Duration],TableTime[Date],B181,TableTime[Activity],Projects!$C$10)+SUMIFS(TableTime[Duration],TableTime[Date],B181,TableTime[Activity],Projects!$C$11)=0,"",SUMIFS(TableTime[Duration],TableTime[Date],B181,TableTime[Activity],Projects!$C$9)+SUMIFS(TableTime[Duration],TableTime[Date],B181,TableTime[Activity],Projects!$C$10)+SUMIFS(TableTime[Duration],TableTime[Date],B181,TableTime[Activity],Projects!$C$11))</f>
        <v/>
      </c>
      <c r="M181" s="4" t="str" cm="1">
        <f t="array" ref="M181">IFERROR(LOOKUP(2,1/(TableTime[Date]=B181),TableTime[Time]),"")</f>
        <v/>
      </c>
      <c r="N181" s="38" t="str">
        <f>IF(SUMIFS(TableTime[[Duration]:[Duration]],TableTime[[Date]:[Date]],$B181,TableTime[[Activity]:[Activity]],N$1)=0,"",SUMIFS(TableTime[[Duration]:[Duration]],TableTime[[Date]:[Date]],$B181,TableTime[[Activity]:[Activity]],N$1))</f>
        <v/>
      </c>
      <c r="O181" s="4" t="str">
        <f>IF(SUMIFS(TableTime[[Duration]:[Duration]],TableTime[[Date]:[Date]],$B181,TableTime[[Activity]:[Activity]],O$1)=0,"",SUMIFS(TableTime[[Duration]:[Duration]],TableTime[[Date]:[Date]],$B181,TableTime[[Activity]:[Activity]],O$1))</f>
        <v/>
      </c>
      <c r="P181" s="4" t="str">
        <f>IF(SUMIFS(TableTime[[Duration]:[Duration]],TableTime[[Date]:[Date]],$B181,TableTime[[Activity]:[Activity]],P$1)=0,"",SUMIFS(TableTime[[Duration]:[Duration]],TableTime[[Date]:[Date]],$B181,TableTime[[Activity]:[Activity]],P$1))</f>
        <v/>
      </c>
      <c r="Q181" s="4" t="str">
        <f>IF(SUMIFS(TableTime[[Duration]:[Duration]],TableTime[[Date]:[Date]],$B181,TableTime[[Activity]:[Activity]],Q$1)=0,"",SUMIFS(TableTime[[Duration]:[Duration]],TableTime[[Date]:[Date]],$B181,TableTime[[Activity]:[Activity]],Q$1))</f>
        <v/>
      </c>
      <c r="R181" s="4" t="str">
        <f>IF(SUMIFS(TableTime[[Duration]:[Duration]],TableTime[[Date]:[Date]],$B181,TableTime[[Activity]:[Activity]],R$1)=0,"",SUMIFS(TableTime[[Duration]:[Duration]],TableTime[[Date]:[Date]],$B181,TableTime[[Activity]:[Activity]],R$1))</f>
        <v/>
      </c>
      <c r="S181" s="130" t="str">
        <f>IF(SUMIFS(TableTime[[Duration]:[Duration]],TableTime[[Date]:[Date]],$B181,TableTime[[Activity]:[Activity]],S$1)=0,"",SUMIFS(TableTime[[Duration]:[Duration]],TableTime[[Date]:[Date]],$B181,TableTime[[Activity]:[Activity]],S$1))</f>
        <v/>
      </c>
      <c r="T181" s="4" t="str">
        <f>IF(SUMIFS(TableTime[[Duration]:[Duration]],TableTime[[Date]:[Date]],$B181,TableTime[[Activity]:[Activity]],T$1)=0,"",SUMIFS(TableTime[[Duration]:[Duration]],TableTime[[Date]:[Date]],$B181,TableTime[[Activity]:[Activity]],T$1))</f>
        <v/>
      </c>
      <c r="U181" s="39" t="str">
        <f>IF(SUMIFS(TableTime[[Duration]:[Duration]],TableTime[[Date]:[Date]],$B181,TableTime[[Activity]:[Activity]],U$1)=0,"",SUMIFS(TableTime[[Duration]:[Duration]],TableTime[[Date]:[Date]],$B181,TableTime[[Activity]:[Activity]],U$1))</f>
        <v/>
      </c>
    </row>
    <row r="182" spans="1:21" x14ac:dyDescent="0.35">
      <c r="A182" s="59" t="str">
        <f t="shared" si="12"/>
        <v>Fri</v>
      </c>
      <c r="B182" s="91">
        <f t="shared" si="14"/>
        <v>45107</v>
      </c>
      <c r="C182" s="60">
        <f t="shared" si="15"/>
        <v>6</v>
      </c>
      <c r="D182" s="61">
        <f t="shared" si="13"/>
        <v>26</v>
      </c>
      <c r="E182" s="103"/>
      <c r="F182" s="60" t="str">
        <f>IFERROR(IF(OR(WEEKDAY(B182,2)=6,WEEKDAY(B182,2)=7),'Month summary'!$D$11,IF(E182="",'Month summary'!$C$11,E182)),"")</f>
        <v>W</v>
      </c>
      <c r="G182" s="62">
        <f>IF(B182&lt;Time!$B$2,"",IF(F182='Month summary'!$C$11,'Month summary'!$F$2/24,IF(F182="H/2",'Month summary'!$F$2/24/2,0)))</f>
        <v>0.33333333333333331</v>
      </c>
      <c r="H182" s="62">
        <f t="shared" si="16"/>
        <v>0</v>
      </c>
      <c r="I182" s="62" t="str">
        <f t="shared" si="17"/>
        <v/>
      </c>
      <c r="J182" s="108"/>
      <c r="K182" s="63" t="str">
        <f>IFERROR(INDEX(TableTime[Time],MATCH(B182,TableTime[Date],0)),"")</f>
        <v/>
      </c>
      <c r="L182" s="62" t="str">
        <f>IF(SUMIFS(TableTime[Duration],TableTime[Date],B182,TableTime[Activity],Projects!$C$9)+SUMIFS(TableTime[Duration],TableTime[Date],B182,TableTime[Activity],Projects!$C$10)+SUMIFS(TableTime[Duration],TableTime[Date],B182,TableTime[Activity],Projects!$C$11)=0,"",SUMIFS(TableTime[Duration],TableTime[Date],B182,TableTime[Activity],Projects!$C$9)+SUMIFS(TableTime[Duration],TableTime[Date],B182,TableTime[Activity],Projects!$C$10)+SUMIFS(TableTime[Duration],TableTime[Date],B182,TableTime[Activity],Projects!$C$11))</f>
        <v/>
      </c>
      <c r="M182" s="62" t="str" cm="1">
        <f t="array" ref="M182">IFERROR(LOOKUP(2,1/(TableTime[Date]=B182),TableTime[Time]),"")</f>
        <v/>
      </c>
      <c r="N182" s="63" t="str">
        <f>IF(SUMIFS(TableTime[[Duration]:[Duration]],TableTime[[Date]:[Date]],$B182,TableTime[[Activity]:[Activity]],N$1)=0,"",SUMIFS(TableTime[[Duration]:[Duration]],TableTime[[Date]:[Date]],$B182,TableTime[[Activity]:[Activity]],N$1))</f>
        <v/>
      </c>
      <c r="O182" s="62" t="str">
        <f>IF(SUMIFS(TableTime[[Duration]:[Duration]],TableTime[[Date]:[Date]],$B182,TableTime[[Activity]:[Activity]],O$1)=0,"",SUMIFS(TableTime[[Duration]:[Duration]],TableTime[[Date]:[Date]],$B182,TableTime[[Activity]:[Activity]],O$1))</f>
        <v/>
      </c>
      <c r="P182" s="62" t="str">
        <f>IF(SUMIFS(TableTime[[Duration]:[Duration]],TableTime[[Date]:[Date]],$B182,TableTime[[Activity]:[Activity]],P$1)=0,"",SUMIFS(TableTime[[Duration]:[Duration]],TableTime[[Date]:[Date]],$B182,TableTime[[Activity]:[Activity]],P$1))</f>
        <v/>
      </c>
      <c r="Q182" s="62" t="str">
        <f>IF(SUMIFS(TableTime[[Duration]:[Duration]],TableTime[[Date]:[Date]],$B182,TableTime[[Activity]:[Activity]],Q$1)=0,"",SUMIFS(TableTime[[Duration]:[Duration]],TableTime[[Date]:[Date]],$B182,TableTime[[Activity]:[Activity]],Q$1))</f>
        <v/>
      </c>
      <c r="R182" s="62" t="str">
        <f>IF(SUMIFS(TableTime[[Duration]:[Duration]],TableTime[[Date]:[Date]],$B182,TableTime[[Activity]:[Activity]],R$1)=0,"",SUMIFS(TableTime[[Duration]:[Duration]],TableTime[[Date]:[Date]],$B182,TableTime[[Activity]:[Activity]],R$1))</f>
        <v/>
      </c>
      <c r="S182" s="131" t="str">
        <f>IF(SUMIFS(TableTime[[Duration]:[Duration]],TableTime[[Date]:[Date]],$B182,TableTime[[Activity]:[Activity]],S$1)=0,"",SUMIFS(TableTime[[Duration]:[Duration]],TableTime[[Date]:[Date]],$B182,TableTime[[Activity]:[Activity]],S$1))</f>
        <v/>
      </c>
      <c r="T182" s="62" t="str">
        <f>IF(SUMIFS(TableTime[[Duration]:[Duration]],TableTime[[Date]:[Date]],$B182,TableTime[[Activity]:[Activity]],T$1)=0,"",SUMIFS(TableTime[[Duration]:[Duration]],TableTime[[Date]:[Date]],$B182,TableTime[[Activity]:[Activity]],T$1))</f>
        <v/>
      </c>
      <c r="U182" s="64" t="str">
        <f>IF(SUMIFS(TableTime[[Duration]:[Duration]],TableTime[[Date]:[Date]],$B182,TableTime[[Activity]:[Activity]],U$1)=0,"",SUMIFS(TableTime[[Duration]:[Duration]],TableTime[[Date]:[Date]],$B182,TableTime[[Activity]:[Activity]],U$1))</f>
        <v/>
      </c>
    </row>
    <row r="183" spans="1:21" x14ac:dyDescent="0.35">
      <c r="A183" s="35" t="str">
        <f t="shared" si="12"/>
        <v>Sat</v>
      </c>
      <c r="B183" s="5">
        <f t="shared" si="14"/>
        <v>45108</v>
      </c>
      <c r="C183" s="1">
        <f t="shared" si="15"/>
        <v>7</v>
      </c>
      <c r="D183" s="2">
        <f t="shared" si="13"/>
        <v>26</v>
      </c>
      <c r="E183" s="102"/>
      <c r="F183" s="1" t="str">
        <f>IFERROR(IF(OR(WEEKDAY(B183,2)=6,WEEKDAY(B183,2)=7),'Month summary'!$D$11,IF(E183="",'Month summary'!$C$11,E183)),"")</f>
        <v>WE</v>
      </c>
      <c r="G183" s="4">
        <f>IF(B183&lt;Time!$B$2,"",IF(F183='Month summary'!$C$11,'Month summary'!$F$2/24,IF(F183="H/2",'Month summary'!$F$2/24/2,0)))</f>
        <v>0</v>
      </c>
      <c r="H183" s="4">
        <f t="shared" si="16"/>
        <v>0</v>
      </c>
      <c r="I183" s="4" t="str">
        <f t="shared" si="17"/>
        <v/>
      </c>
      <c r="J183" s="107"/>
      <c r="K183" s="38" t="str">
        <f>IFERROR(INDEX(TableTime[Time],MATCH(B183,TableTime[Date],0)),"")</f>
        <v/>
      </c>
      <c r="L183" s="4" t="str">
        <f>IF(SUMIFS(TableTime[Duration],TableTime[Date],B183,TableTime[Activity],Projects!$C$9)+SUMIFS(TableTime[Duration],TableTime[Date],B183,TableTime[Activity],Projects!$C$10)+SUMIFS(TableTime[Duration],TableTime[Date],B183,TableTime[Activity],Projects!$C$11)=0,"",SUMIFS(TableTime[Duration],TableTime[Date],B183,TableTime[Activity],Projects!$C$9)+SUMIFS(TableTime[Duration],TableTime[Date],B183,TableTime[Activity],Projects!$C$10)+SUMIFS(TableTime[Duration],TableTime[Date],B183,TableTime[Activity],Projects!$C$11))</f>
        <v/>
      </c>
      <c r="M183" s="4" t="str" cm="1">
        <f t="array" ref="M183">IFERROR(LOOKUP(2,1/(TableTime[Date]=B183),TableTime[Time]),"")</f>
        <v/>
      </c>
      <c r="N183" s="38" t="str">
        <f>IF(SUMIFS(TableTime[[Duration]:[Duration]],TableTime[[Date]:[Date]],$B183,TableTime[[Activity]:[Activity]],N$1)=0,"",SUMIFS(TableTime[[Duration]:[Duration]],TableTime[[Date]:[Date]],$B183,TableTime[[Activity]:[Activity]],N$1))</f>
        <v/>
      </c>
      <c r="O183" s="4" t="str">
        <f>IF(SUMIFS(TableTime[[Duration]:[Duration]],TableTime[[Date]:[Date]],$B183,TableTime[[Activity]:[Activity]],O$1)=0,"",SUMIFS(TableTime[[Duration]:[Duration]],TableTime[[Date]:[Date]],$B183,TableTime[[Activity]:[Activity]],O$1))</f>
        <v/>
      </c>
      <c r="P183" s="4" t="str">
        <f>IF(SUMIFS(TableTime[[Duration]:[Duration]],TableTime[[Date]:[Date]],$B183,TableTime[[Activity]:[Activity]],P$1)=0,"",SUMIFS(TableTime[[Duration]:[Duration]],TableTime[[Date]:[Date]],$B183,TableTime[[Activity]:[Activity]],P$1))</f>
        <v/>
      </c>
      <c r="Q183" s="4" t="str">
        <f>IF(SUMIFS(TableTime[[Duration]:[Duration]],TableTime[[Date]:[Date]],$B183,TableTime[[Activity]:[Activity]],Q$1)=0,"",SUMIFS(TableTime[[Duration]:[Duration]],TableTime[[Date]:[Date]],$B183,TableTime[[Activity]:[Activity]],Q$1))</f>
        <v/>
      </c>
      <c r="R183" s="4" t="str">
        <f>IF(SUMIFS(TableTime[[Duration]:[Duration]],TableTime[[Date]:[Date]],$B183,TableTime[[Activity]:[Activity]],R$1)=0,"",SUMIFS(TableTime[[Duration]:[Duration]],TableTime[[Date]:[Date]],$B183,TableTime[[Activity]:[Activity]],R$1))</f>
        <v/>
      </c>
      <c r="S183" s="130" t="str">
        <f>IF(SUMIFS(TableTime[[Duration]:[Duration]],TableTime[[Date]:[Date]],$B183,TableTime[[Activity]:[Activity]],S$1)=0,"",SUMIFS(TableTime[[Duration]:[Duration]],TableTime[[Date]:[Date]],$B183,TableTime[[Activity]:[Activity]],S$1))</f>
        <v/>
      </c>
      <c r="T183" s="4" t="str">
        <f>IF(SUMIFS(TableTime[[Duration]:[Duration]],TableTime[[Date]:[Date]],$B183,TableTime[[Activity]:[Activity]],T$1)=0,"",SUMIFS(TableTime[[Duration]:[Duration]],TableTime[[Date]:[Date]],$B183,TableTime[[Activity]:[Activity]],T$1))</f>
        <v/>
      </c>
      <c r="U183" s="39" t="str">
        <f>IF(SUMIFS(TableTime[[Duration]:[Duration]],TableTime[[Date]:[Date]],$B183,TableTime[[Activity]:[Activity]],U$1)=0,"",SUMIFS(TableTime[[Duration]:[Duration]],TableTime[[Date]:[Date]],$B183,TableTime[[Activity]:[Activity]],U$1))</f>
        <v/>
      </c>
    </row>
    <row r="184" spans="1:21" x14ac:dyDescent="0.35">
      <c r="A184" s="59" t="str">
        <f t="shared" si="12"/>
        <v>Sun</v>
      </c>
      <c r="B184" s="91">
        <f t="shared" si="14"/>
        <v>45109</v>
      </c>
      <c r="C184" s="60">
        <f t="shared" si="15"/>
        <v>7</v>
      </c>
      <c r="D184" s="61">
        <f t="shared" si="13"/>
        <v>26</v>
      </c>
      <c r="E184" s="103"/>
      <c r="F184" s="60" t="str">
        <f>IFERROR(IF(OR(WEEKDAY(B184,2)=6,WEEKDAY(B184,2)=7),'Month summary'!$D$11,IF(E184="",'Month summary'!$C$11,E184)),"")</f>
        <v>WE</v>
      </c>
      <c r="G184" s="62">
        <f>IF(B184&lt;Time!$B$2,"",IF(F184='Month summary'!$C$11,'Month summary'!$F$2/24,IF(F184="H/2",'Month summary'!$F$2/24/2,0)))</f>
        <v>0</v>
      </c>
      <c r="H184" s="62">
        <f t="shared" si="16"/>
        <v>0</v>
      </c>
      <c r="I184" s="62" t="str">
        <f t="shared" si="17"/>
        <v/>
      </c>
      <c r="J184" s="108"/>
      <c r="K184" s="63" t="str">
        <f>IFERROR(INDEX(TableTime[Time],MATCH(B184,TableTime[Date],0)),"")</f>
        <v/>
      </c>
      <c r="L184" s="62" t="str">
        <f>IF(SUMIFS(TableTime[Duration],TableTime[Date],B184,TableTime[Activity],Projects!$C$9)+SUMIFS(TableTime[Duration],TableTime[Date],B184,TableTime[Activity],Projects!$C$10)+SUMIFS(TableTime[Duration],TableTime[Date],B184,TableTime[Activity],Projects!$C$11)=0,"",SUMIFS(TableTime[Duration],TableTime[Date],B184,TableTime[Activity],Projects!$C$9)+SUMIFS(TableTime[Duration],TableTime[Date],B184,TableTime[Activity],Projects!$C$10)+SUMIFS(TableTime[Duration],TableTime[Date],B184,TableTime[Activity],Projects!$C$11))</f>
        <v/>
      </c>
      <c r="M184" s="62" t="str" cm="1">
        <f t="array" ref="M184">IFERROR(LOOKUP(2,1/(TableTime[Date]=B184),TableTime[Time]),"")</f>
        <v/>
      </c>
      <c r="N184" s="63" t="str">
        <f>IF(SUMIFS(TableTime[[Duration]:[Duration]],TableTime[[Date]:[Date]],$B184,TableTime[[Activity]:[Activity]],N$1)=0,"",SUMIFS(TableTime[[Duration]:[Duration]],TableTime[[Date]:[Date]],$B184,TableTime[[Activity]:[Activity]],N$1))</f>
        <v/>
      </c>
      <c r="O184" s="62" t="str">
        <f>IF(SUMIFS(TableTime[[Duration]:[Duration]],TableTime[[Date]:[Date]],$B184,TableTime[[Activity]:[Activity]],O$1)=0,"",SUMIFS(TableTime[[Duration]:[Duration]],TableTime[[Date]:[Date]],$B184,TableTime[[Activity]:[Activity]],O$1))</f>
        <v/>
      </c>
      <c r="P184" s="62" t="str">
        <f>IF(SUMIFS(TableTime[[Duration]:[Duration]],TableTime[[Date]:[Date]],$B184,TableTime[[Activity]:[Activity]],P$1)=0,"",SUMIFS(TableTime[[Duration]:[Duration]],TableTime[[Date]:[Date]],$B184,TableTime[[Activity]:[Activity]],P$1))</f>
        <v/>
      </c>
      <c r="Q184" s="62" t="str">
        <f>IF(SUMIFS(TableTime[[Duration]:[Duration]],TableTime[[Date]:[Date]],$B184,TableTime[[Activity]:[Activity]],Q$1)=0,"",SUMIFS(TableTime[[Duration]:[Duration]],TableTime[[Date]:[Date]],$B184,TableTime[[Activity]:[Activity]],Q$1))</f>
        <v/>
      </c>
      <c r="R184" s="62" t="str">
        <f>IF(SUMIFS(TableTime[[Duration]:[Duration]],TableTime[[Date]:[Date]],$B184,TableTime[[Activity]:[Activity]],R$1)=0,"",SUMIFS(TableTime[[Duration]:[Duration]],TableTime[[Date]:[Date]],$B184,TableTime[[Activity]:[Activity]],R$1))</f>
        <v/>
      </c>
      <c r="S184" s="131" t="str">
        <f>IF(SUMIFS(TableTime[[Duration]:[Duration]],TableTime[[Date]:[Date]],$B184,TableTime[[Activity]:[Activity]],S$1)=0,"",SUMIFS(TableTime[[Duration]:[Duration]],TableTime[[Date]:[Date]],$B184,TableTime[[Activity]:[Activity]],S$1))</f>
        <v/>
      </c>
      <c r="T184" s="62" t="str">
        <f>IF(SUMIFS(TableTime[[Duration]:[Duration]],TableTime[[Date]:[Date]],$B184,TableTime[[Activity]:[Activity]],T$1)=0,"",SUMIFS(TableTime[[Duration]:[Duration]],TableTime[[Date]:[Date]],$B184,TableTime[[Activity]:[Activity]],T$1))</f>
        <v/>
      </c>
      <c r="U184" s="64" t="str">
        <f>IF(SUMIFS(TableTime[[Duration]:[Duration]],TableTime[[Date]:[Date]],$B184,TableTime[[Activity]:[Activity]],U$1)=0,"",SUMIFS(TableTime[[Duration]:[Duration]],TableTime[[Date]:[Date]],$B184,TableTime[[Activity]:[Activity]],U$1))</f>
        <v/>
      </c>
    </row>
    <row r="185" spans="1:21" x14ac:dyDescent="0.35">
      <c r="A185" s="35" t="str">
        <f t="shared" si="12"/>
        <v>Mon</v>
      </c>
      <c r="B185" s="5">
        <f t="shared" si="14"/>
        <v>45110</v>
      </c>
      <c r="C185" s="1">
        <f t="shared" si="15"/>
        <v>7</v>
      </c>
      <c r="D185" s="2">
        <f t="shared" si="13"/>
        <v>27</v>
      </c>
      <c r="E185" s="102"/>
      <c r="F185" s="1" t="str">
        <f>IFERROR(IF(OR(WEEKDAY(B185,2)=6,WEEKDAY(B185,2)=7),'Month summary'!$D$11,IF(E185="",'Month summary'!$C$11,E185)),"")</f>
        <v>W</v>
      </c>
      <c r="G185" s="4">
        <f>IF(B185&lt;Time!$B$2,"",IF(F185='Month summary'!$C$11,'Month summary'!$F$2/24,IF(F185="H/2",'Month summary'!$F$2/24/2,0)))</f>
        <v>0.33333333333333331</v>
      </c>
      <c r="H185" s="4">
        <f t="shared" si="16"/>
        <v>0</v>
      </c>
      <c r="I185" s="4" t="str">
        <f t="shared" si="17"/>
        <v/>
      </c>
      <c r="J185" s="107"/>
      <c r="K185" s="38" t="str">
        <f>IFERROR(INDEX(TableTime[Time],MATCH(B185,TableTime[Date],0)),"")</f>
        <v/>
      </c>
      <c r="L185" s="4" t="str">
        <f>IF(SUMIFS(TableTime[Duration],TableTime[Date],B185,TableTime[Activity],Projects!$C$9)+SUMIFS(TableTime[Duration],TableTime[Date],B185,TableTime[Activity],Projects!$C$10)+SUMIFS(TableTime[Duration],TableTime[Date],B185,TableTime[Activity],Projects!$C$11)=0,"",SUMIFS(TableTime[Duration],TableTime[Date],B185,TableTime[Activity],Projects!$C$9)+SUMIFS(TableTime[Duration],TableTime[Date],B185,TableTime[Activity],Projects!$C$10)+SUMIFS(TableTime[Duration],TableTime[Date],B185,TableTime[Activity],Projects!$C$11))</f>
        <v/>
      </c>
      <c r="M185" s="4" t="str" cm="1">
        <f t="array" ref="M185">IFERROR(LOOKUP(2,1/(TableTime[Date]=B185),TableTime[Time]),"")</f>
        <v/>
      </c>
      <c r="N185" s="38" t="str">
        <f>IF(SUMIFS(TableTime[[Duration]:[Duration]],TableTime[[Date]:[Date]],$B185,TableTime[[Activity]:[Activity]],N$1)=0,"",SUMIFS(TableTime[[Duration]:[Duration]],TableTime[[Date]:[Date]],$B185,TableTime[[Activity]:[Activity]],N$1))</f>
        <v/>
      </c>
      <c r="O185" s="4" t="str">
        <f>IF(SUMIFS(TableTime[[Duration]:[Duration]],TableTime[[Date]:[Date]],$B185,TableTime[[Activity]:[Activity]],O$1)=0,"",SUMIFS(TableTime[[Duration]:[Duration]],TableTime[[Date]:[Date]],$B185,TableTime[[Activity]:[Activity]],O$1))</f>
        <v/>
      </c>
      <c r="P185" s="4" t="str">
        <f>IF(SUMIFS(TableTime[[Duration]:[Duration]],TableTime[[Date]:[Date]],$B185,TableTime[[Activity]:[Activity]],P$1)=0,"",SUMIFS(TableTime[[Duration]:[Duration]],TableTime[[Date]:[Date]],$B185,TableTime[[Activity]:[Activity]],P$1))</f>
        <v/>
      </c>
      <c r="Q185" s="4" t="str">
        <f>IF(SUMIFS(TableTime[[Duration]:[Duration]],TableTime[[Date]:[Date]],$B185,TableTime[[Activity]:[Activity]],Q$1)=0,"",SUMIFS(TableTime[[Duration]:[Duration]],TableTime[[Date]:[Date]],$B185,TableTime[[Activity]:[Activity]],Q$1))</f>
        <v/>
      </c>
      <c r="R185" s="4" t="str">
        <f>IF(SUMIFS(TableTime[[Duration]:[Duration]],TableTime[[Date]:[Date]],$B185,TableTime[[Activity]:[Activity]],R$1)=0,"",SUMIFS(TableTime[[Duration]:[Duration]],TableTime[[Date]:[Date]],$B185,TableTime[[Activity]:[Activity]],R$1))</f>
        <v/>
      </c>
      <c r="S185" s="130" t="str">
        <f>IF(SUMIFS(TableTime[[Duration]:[Duration]],TableTime[[Date]:[Date]],$B185,TableTime[[Activity]:[Activity]],S$1)=0,"",SUMIFS(TableTime[[Duration]:[Duration]],TableTime[[Date]:[Date]],$B185,TableTime[[Activity]:[Activity]],S$1))</f>
        <v/>
      </c>
      <c r="T185" s="4" t="str">
        <f>IF(SUMIFS(TableTime[[Duration]:[Duration]],TableTime[[Date]:[Date]],$B185,TableTime[[Activity]:[Activity]],T$1)=0,"",SUMIFS(TableTime[[Duration]:[Duration]],TableTime[[Date]:[Date]],$B185,TableTime[[Activity]:[Activity]],T$1))</f>
        <v/>
      </c>
      <c r="U185" s="39" t="str">
        <f>IF(SUMIFS(TableTime[[Duration]:[Duration]],TableTime[[Date]:[Date]],$B185,TableTime[[Activity]:[Activity]],U$1)=0,"",SUMIFS(TableTime[[Duration]:[Duration]],TableTime[[Date]:[Date]],$B185,TableTime[[Activity]:[Activity]],U$1))</f>
        <v/>
      </c>
    </row>
    <row r="186" spans="1:21" x14ac:dyDescent="0.35">
      <c r="A186" s="59" t="str">
        <f t="shared" si="12"/>
        <v>Tue</v>
      </c>
      <c r="B186" s="91">
        <f t="shared" si="14"/>
        <v>45111</v>
      </c>
      <c r="C186" s="60">
        <f t="shared" si="15"/>
        <v>7</v>
      </c>
      <c r="D186" s="61">
        <f t="shared" si="13"/>
        <v>27</v>
      </c>
      <c r="E186" s="103"/>
      <c r="F186" s="60" t="str">
        <f>IFERROR(IF(OR(WEEKDAY(B186,2)=6,WEEKDAY(B186,2)=7),'Month summary'!$D$11,IF(E186="",'Month summary'!$C$11,E186)),"")</f>
        <v>W</v>
      </c>
      <c r="G186" s="62">
        <f>IF(B186&lt;Time!$B$2,"",IF(F186='Month summary'!$C$11,'Month summary'!$F$2/24,IF(F186="H/2",'Month summary'!$F$2/24/2,0)))</f>
        <v>0.33333333333333331</v>
      </c>
      <c r="H186" s="62">
        <f t="shared" si="16"/>
        <v>0</v>
      </c>
      <c r="I186" s="62" t="str">
        <f t="shared" si="17"/>
        <v/>
      </c>
      <c r="J186" s="108"/>
      <c r="K186" s="63" t="str">
        <f>IFERROR(INDEX(TableTime[Time],MATCH(B186,TableTime[Date],0)),"")</f>
        <v/>
      </c>
      <c r="L186" s="62" t="str">
        <f>IF(SUMIFS(TableTime[Duration],TableTime[Date],B186,TableTime[Activity],Projects!$C$9)+SUMIFS(TableTime[Duration],TableTime[Date],B186,TableTime[Activity],Projects!$C$10)+SUMIFS(TableTime[Duration],TableTime[Date],B186,TableTime[Activity],Projects!$C$11)=0,"",SUMIFS(TableTime[Duration],TableTime[Date],B186,TableTime[Activity],Projects!$C$9)+SUMIFS(TableTime[Duration],TableTime[Date],B186,TableTime[Activity],Projects!$C$10)+SUMIFS(TableTime[Duration],TableTime[Date],B186,TableTime[Activity],Projects!$C$11))</f>
        <v/>
      </c>
      <c r="M186" s="62" t="str" cm="1">
        <f t="array" ref="M186">IFERROR(LOOKUP(2,1/(TableTime[Date]=B186),TableTime[Time]),"")</f>
        <v/>
      </c>
      <c r="N186" s="63" t="str">
        <f>IF(SUMIFS(TableTime[[Duration]:[Duration]],TableTime[[Date]:[Date]],$B186,TableTime[[Activity]:[Activity]],N$1)=0,"",SUMIFS(TableTime[[Duration]:[Duration]],TableTime[[Date]:[Date]],$B186,TableTime[[Activity]:[Activity]],N$1))</f>
        <v/>
      </c>
      <c r="O186" s="62" t="str">
        <f>IF(SUMIFS(TableTime[[Duration]:[Duration]],TableTime[[Date]:[Date]],$B186,TableTime[[Activity]:[Activity]],O$1)=0,"",SUMIFS(TableTime[[Duration]:[Duration]],TableTime[[Date]:[Date]],$B186,TableTime[[Activity]:[Activity]],O$1))</f>
        <v/>
      </c>
      <c r="P186" s="62" t="str">
        <f>IF(SUMIFS(TableTime[[Duration]:[Duration]],TableTime[[Date]:[Date]],$B186,TableTime[[Activity]:[Activity]],P$1)=0,"",SUMIFS(TableTime[[Duration]:[Duration]],TableTime[[Date]:[Date]],$B186,TableTime[[Activity]:[Activity]],P$1))</f>
        <v/>
      </c>
      <c r="Q186" s="62" t="str">
        <f>IF(SUMIFS(TableTime[[Duration]:[Duration]],TableTime[[Date]:[Date]],$B186,TableTime[[Activity]:[Activity]],Q$1)=0,"",SUMIFS(TableTime[[Duration]:[Duration]],TableTime[[Date]:[Date]],$B186,TableTime[[Activity]:[Activity]],Q$1))</f>
        <v/>
      </c>
      <c r="R186" s="62" t="str">
        <f>IF(SUMIFS(TableTime[[Duration]:[Duration]],TableTime[[Date]:[Date]],$B186,TableTime[[Activity]:[Activity]],R$1)=0,"",SUMIFS(TableTime[[Duration]:[Duration]],TableTime[[Date]:[Date]],$B186,TableTime[[Activity]:[Activity]],R$1))</f>
        <v/>
      </c>
      <c r="S186" s="131" t="str">
        <f>IF(SUMIFS(TableTime[[Duration]:[Duration]],TableTime[[Date]:[Date]],$B186,TableTime[[Activity]:[Activity]],S$1)=0,"",SUMIFS(TableTime[[Duration]:[Duration]],TableTime[[Date]:[Date]],$B186,TableTime[[Activity]:[Activity]],S$1))</f>
        <v/>
      </c>
      <c r="T186" s="62" t="str">
        <f>IF(SUMIFS(TableTime[[Duration]:[Duration]],TableTime[[Date]:[Date]],$B186,TableTime[[Activity]:[Activity]],T$1)=0,"",SUMIFS(TableTime[[Duration]:[Duration]],TableTime[[Date]:[Date]],$B186,TableTime[[Activity]:[Activity]],T$1))</f>
        <v/>
      </c>
      <c r="U186" s="64" t="str">
        <f>IF(SUMIFS(TableTime[[Duration]:[Duration]],TableTime[[Date]:[Date]],$B186,TableTime[[Activity]:[Activity]],U$1)=0,"",SUMIFS(TableTime[[Duration]:[Duration]],TableTime[[Date]:[Date]],$B186,TableTime[[Activity]:[Activity]],U$1))</f>
        <v/>
      </c>
    </row>
    <row r="187" spans="1:21" x14ac:dyDescent="0.35">
      <c r="A187" s="35" t="str">
        <f t="shared" si="12"/>
        <v>Wed</v>
      </c>
      <c r="B187" s="5">
        <f t="shared" si="14"/>
        <v>45112</v>
      </c>
      <c r="C187" s="1">
        <f t="shared" si="15"/>
        <v>7</v>
      </c>
      <c r="D187" s="2">
        <f t="shared" si="13"/>
        <v>27</v>
      </c>
      <c r="E187" s="102"/>
      <c r="F187" s="1" t="str">
        <f>IFERROR(IF(OR(WEEKDAY(B187,2)=6,WEEKDAY(B187,2)=7),'Month summary'!$D$11,IF(E187="",'Month summary'!$C$11,E187)),"")</f>
        <v>W</v>
      </c>
      <c r="G187" s="4">
        <f>IF(B187&lt;Time!$B$2,"",IF(F187='Month summary'!$C$11,'Month summary'!$F$2/24,IF(F187="H/2",'Month summary'!$F$2/24/2,0)))</f>
        <v>0.33333333333333331</v>
      </c>
      <c r="H187" s="4">
        <f t="shared" si="16"/>
        <v>0</v>
      </c>
      <c r="I187" s="4" t="str">
        <f t="shared" si="17"/>
        <v/>
      </c>
      <c r="J187" s="107"/>
      <c r="K187" s="38" t="str">
        <f>IFERROR(INDEX(TableTime[Time],MATCH(B187,TableTime[Date],0)),"")</f>
        <v/>
      </c>
      <c r="L187" s="4" t="str">
        <f>IF(SUMIFS(TableTime[Duration],TableTime[Date],B187,TableTime[Activity],Projects!$C$9)+SUMIFS(TableTime[Duration],TableTime[Date],B187,TableTime[Activity],Projects!$C$10)+SUMIFS(TableTime[Duration],TableTime[Date],B187,TableTime[Activity],Projects!$C$11)=0,"",SUMIFS(TableTime[Duration],TableTime[Date],B187,TableTime[Activity],Projects!$C$9)+SUMIFS(TableTime[Duration],TableTime[Date],B187,TableTime[Activity],Projects!$C$10)+SUMIFS(TableTime[Duration],TableTime[Date],B187,TableTime[Activity],Projects!$C$11))</f>
        <v/>
      </c>
      <c r="M187" s="4" t="str" cm="1">
        <f t="array" ref="M187">IFERROR(LOOKUP(2,1/(TableTime[Date]=B187),TableTime[Time]),"")</f>
        <v/>
      </c>
      <c r="N187" s="38" t="str">
        <f>IF(SUMIFS(TableTime[[Duration]:[Duration]],TableTime[[Date]:[Date]],$B187,TableTime[[Activity]:[Activity]],N$1)=0,"",SUMIFS(TableTime[[Duration]:[Duration]],TableTime[[Date]:[Date]],$B187,TableTime[[Activity]:[Activity]],N$1))</f>
        <v/>
      </c>
      <c r="O187" s="4" t="str">
        <f>IF(SUMIFS(TableTime[[Duration]:[Duration]],TableTime[[Date]:[Date]],$B187,TableTime[[Activity]:[Activity]],O$1)=0,"",SUMIFS(TableTime[[Duration]:[Duration]],TableTime[[Date]:[Date]],$B187,TableTime[[Activity]:[Activity]],O$1))</f>
        <v/>
      </c>
      <c r="P187" s="4" t="str">
        <f>IF(SUMIFS(TableTime[[Duration]:[Duration]],TableTime[[Date]:[Date]],$B187,TableTime[[Activity]:[Activity]],P$1)=0,"",SUMIFS(TableTime[[Duration]:[Duration]],TableTime[[Date]:[Date]],$B187,TableTime[[Activity]:[Activity]],P$1))</f>
        <v/>
      </c>
      <c r="Q187" s="4" t="str">
        <f>IF(SUMIFS(TableTime[[Duration]:[Duration]],TableTime[[Date]:[Date]],$B187,TableTime[[Activity]:[Activity]],Q$1)=0,"",SUMIFS(TableTime[[Duration]:[Duration]],TableTime[[Date]:[Date]],$B187,TableTime[[Activity]:[Activity]],Q$1))</f>
        <v/>
      </c>
      <c r="R187" s="4" t="str">
        <f>IF(SUMIFS(TableTime[[Duration]:[Duration]],TableTime[[Date]:[Date]],$B187,TableTime[[Activity]:[Activity]],R$1)=0,"",SUMIFS(TableTime[[Duration]:[Duration]],TableTime[[Date]:[Date]],$B187,TableTime[[Activity]:[Activity]],R$1))</f>
        <v/>
      </c>
      <c r="S187" s="130" t="str">
        <f>IF(SUMIFS(TableTime[[Duration]:[Duration]],TableTime[[Date]:[Date]],$B187,TableTime[[Activity]:[Activity]],S$1)=0,"",SUMIFS(TableTime[[Duration]:[Duration]],TableTime[[Date]:[Date]],$B187,TableTime[[Activity]:[Activity]],S$1))</f>
        <v/>
      </c>
      <c r="T187" s="4" t="str">
        <f>IF(SUMIFS(TableTime[[Duration]:[Duration]],TableTime[[Date]:[Date]],$B187,TableTime[[Activity]:[Activity]],T$1)=0,"",SUMIFS(TableTime[[Duration]:[Duration]],TableTime[[Date]:[Date]],$B187,TableTime[[Activity]:[Activity]],T$1))</f>
        <v/>
      </c>
      <c r="U187" s="39" t="str">
        <f>IF(SUMIFS(TableTime[[Duration]:[Duration]],TableTime[[Date]:[Date]],$B187,TableTime[[Activity]:[Activity]],U$1)=0,"",SUMIFS(TableTime[[Duration]:[Duration]],TableTime[[Date]:[Date]],$B187,TableTime[[Activity]:[Activity]],U$1))</f>
        <v/>
      </c>
    </row>
    <row r="188" spans="1:21" x14ac:dyDescent="0.35">
      <c r="A188" s="59" t="str">
        <f t="shared" si="12"/>
        <v>Thr</v>
      </c>
      <c r="B188" s="91">
        <f t="shared" si="14"/>
        <v>45113</v>
      </c>
      <c r="C188" s="60">
        <f t="shared" si="15"/>
        <v>7</v>
      </c>
      <c r="D188" s="61">
        <f t="shared" si="13"/>
        <v>27</v>
      </c>
      <c r="E188" s="103"/>
      <c r="F188" s="60" t="str">
        <f>IFERROR(IF(OR(WEEKDAY(B188,2)=6,WEEKDAY(B188,2)=7),'Month summary'!$D$11,IF(E188="",'Month summary'!$C$11,E188)),"")</f>
        <v>W</v>
      </c>
      <c r="G188" s="62">
        <f>IF(B188&lt;Time!$B$2,"",IF(F188='Month summary'!$C$11,'Month summary'!$F$2/24,IF(F188="H/2",'Month summary'!$F$2/24/2,0)))</f>
        <v>0.33333333333333331</v>
      </c>
      <c r="H188" s="62">
        <f t="shared" si="16"/>
        <v>0</v>
      </c>
      <c r="I188" s="62" t="str">
        <f t="shared" si="17"/>
        <v/>
      </c>
      <c r="J188" s="108"/>
      <c r="K188" s="63" t="str">
        <f>IFERROR(INDEX(TableTime[Time],MATCH(B188,TableTime[Date],0)),"")</f>
        <v/>
      </c>
      <c r="L188" s="62" t="str">
        <f>IF(SUMIFS(TableTime[Duration],TableTime[Date],B188,TableTime[Activity],Projects!$C$9)+SUMIFS(TableTime[Duration],TableTime[Date],B188,TableTime[Activity],Projects!$C$10)+SUMIFS(TableTime[Duration],TableTime[Date],B188,TableTime[Activity],Projects!$C$11)=0,"",SUMIFS(TableTime[Duration],TableTime[Date],B188,TableTime[Activity],Projects!$C$9)+SUMIFS(TableTime[Duration],TableTime[Date],B188,TableTime[Activity],Projects!$C$10)+SUMIFS(TableTime[Duration],TableTime[Date],B188,TableTime[Activity],Projects!$C$11))</f>
        <v/>
      </c>
      <c r="M188" s="62" t="str" cm="1">
        <f t="array" ref="M188">IFERROR(LOOKUP(2,1/(TableTime[Date]=B188),TableTime[Time]),"")</f>
        <v/>
      </c>
      <c r="N188" s="63" t="str">
        <f>IF(SUMIFS(TableTime[[Duration]:[Duration]],TableTime[[Date]:[Date]],$B188,TableTime[[Activity]:[Activity]],N$1)=0,"",SUMIFS(TableTime[[Duration]:[Duration]],TableTime[[Date]:[Date]],$B188,TableTime[[Activity]:[Activity]],N$1))</f>
        <v/>
      </c>
      <c r="O188" s="62" t="str">
        <f>IF(SUMIFS(TableTime[[Duration]:[Duration]],TableTime[[Date]:[Date]],$B188,TableTime[[Activity]:[Activity]],O$1)=0,"",SUMIFS(TableTime[[Duration]:[Duration]],TableTime[[Date]:[Date]],$B188,TableTime[[Activity]:[Activity]],O$1))</f>
        <v/>
      </c>
      <c r="P188" s="62" t="str">
        <f>IF(SUMIFS(TableTime[[Duration]:[Duration]],TableTime[[Date]:[Date]],$B188,TableTime[[Activity]:[Activity]],P$1)=0,"",SUMIFS(TableTime[[Duration]:[Duration]],TableTime[[Date]:[Date]],$B188,TableTime[[Activity]:[Activity]],P$1))</f>
        <v/>
      </c>
      <c r="Q188" s="62" t="str">
        <f>IF(SUMIFS(TableTime[[Duration]:[Duration]],TableTime[[Date]:[Date]],$B188,TableTime[[Activity]:[Activity]],Q$1)=0,"",SUMIFS(TableTime[[Duration]:[Duration]],TableTime[[Date]:[Date]],$B188,TableTime[[Activity]:[Activity]],Q$1))</f>
        <v/>
      </c>
      <c r="R188" s="62" t="str">
        <f>IF(SUMIFS(TableTime[[Duration]:[Duration]],TableTime[[Date]:[Date]],$B188,TableTime[[Activity]:[Activity]],R$1)=0,"",SUMIFS(TableTime[[Duration]:[Duration]],TableTime[[Date]:[Date]],$B188,TableTime[[Activity]:[Activity]],R$1))</f>
        <v/>
      </c>
      <c r="S188" s="131" t="str">
        <f>IF(SUMIFS(TableTime[[Duration]:[Duration]],TableTime[[Date]:[Date]],$B188,TableTime[[Activity]:[Activity]],S$1)=0,"",SUMIFS(TableTime[[Duration]:[Duration]],TableTime[[Date]:[Date]],$B188,TableTime[[Activity]:[Activity]],S$1))</f>
        <v/>
      </c>
      <c r="T188" s="62" t="str">
        <f>IF(SUMIFS(TableTime[[Duration]:[Duration]],TableTime[[Date]:[Date]],$B188,TableTime[[Activity]:[Activity]],T$1)=0,"",SUMIFS(TableTime[[Duration]:[Duration]],TableTime[[Date]:[Date]],$B188,TableTime[[Activity]:[Activity]],T$1))</f>
        <v/>
      </c>
      <c r="U188" s="64" t="str">
        <f>IF(SUMIFS(TableTime[[Duration]:[Duration]],TableTime[[Date]:[Date]],$B188,TableTime[[Activity]:[Activity]],U$1)=0,"",SUMIFS(TableTime[[Duration]:[Duration]],TableTime[[Date]:[Date]],$B188,TableTime[[Activity]:[Activity]],U$1))</f>
        <v/>
      </c>
    </row>
    <row r="189" spans="1:21" x14ac:dyDescent="0.35">
      <c r="A189" s="35" t="str">
        <f t="shared" si="12"/>
        <v>Fri</v>
      </c>
      <c r="B189" s="5">
        <f t="shared" si="14"/>
        <v>45114</v>
      </c>
      <c r="C189" s="1">
        <f t="shared" si="15"/>
        <v>7</v>
      </c>
      <c r="D189" s="2">
        <f t="shared" si="13"/>
        <v>27</v>
      </c>
      <c r="E189" s="102"/>
      <c r="F189" s="1" t="str">
        <f>IFERROR(IF(OR(WEEKDAY(B189,2)=6,WEEKDAY(B189,2)=7),'Month summary'!$D$11,IF(E189="",'Month summary'!$C$11,E189)),"")</f>
        <v>W</v>
      </c>
      <c r="G189" s="4">
        <f>IF(B189&lt;Time!$B$2,"",IF(F189='Month summary'!$C$11,'Month summary'!$F$2/24,IF(F189="H/2",'Month summary'!$F$2/24/2,0)))</f>
        <v>0.33333333333333331</v>
      </c>
      <c r="H189" s="4">
        <f t="shared" si="16"/>
        <v>0</v>
      </c>
      <c r="I189" s="4" t="str">
        <f t="shared" si="17"/>
        <v/>
      </c>
      <c r="J189" s="107"/>
      <c r="K189" s="38" t="str">
        <f>IFERROR(INDEX(TableTime[Time],MATCH(B189,TableTime[Date],0)),"")</f>
        <v/>
      </c>
      <c r="L189" s="4" t="str">
        <f>IF(SUMIFS(TableTime[Duration],TableTime[Date],B189,TableTime[Activity],Projects!$C$9)+SUMIFS(TableTime[Duration],TableTime[Date],B189,TableTime[Activity],Projects!$C$10)+SUMIFS(TableTime[Duration],TableTime[Date],B189,TableTime[Activity],Projects!$C$11)=0,"",SUMIFS(TableTime[Duration],TableTime[Date],B189,TableTime[Activity],Projects!$C$9)+SUMIFS(TableTime[Duration],TableTime[Date],B189,TableTime[Activity],Projects!$C$10)+SUMIFS(TableTime[Duration],TableTime[Date],B189,TableTime[Activity],Projects!$C$11))</f>
        <v/>
      </c>
      <c r="M189" s="4" t="str" cm="1">
        <f t="array" ref="M189">IFERROR(LOOKUP(2,1/(TableTime[Date]=B189),TableTime[Time]),"")</f>
        <v/>
      </c>
      <c r="N189" s="38" t="str">
        <f>IF(SUMIFS(TableTime[[Duration]:[Duration]],TableTime[[Date]:[Date]],$B189,TableTime[[Activity]:[Activity]],N$1)=0,"",SUMIFS(TableTime[[Duration]:[Duration]],TableTime[[Date]:[Date]],$B189,TableTime[[Activity]:[Activity]],N$1))</f>
        <v/>
      </c>
      <c r="O189" s="4" t="str">
        <f>IF(SUMIFS(TableTime[[Duration]:[Duration]],TableTime[[Date]:[Date]],$B189,TableTime[[Activity]:[Activity]],O$1)=0,"",SUMIFS(TableTime[[Duration]:[Duration]],TableTime[[Date]:[Date]],$B189,TableTime[[Activity]:[Activity]],O$1))</f>
        <v/>
      </c>
      <c r="P189" s="4" t="str">
        <f>IF(SUMIFS(TableTime[[Duration]:[Duration]],TableTime[[Date]:[Date]],$B189,TableTime[[Activity]:[Activity]],P$1)=0,"",SUMIFS(TableTime[[Duration]:[Duration]],TableTime[[Date]:[Date]],$B189,TableTime[[Activity]:[Activity]],P$1))</f>
        <v/>
      </c>
      <c r="Q189" s="4" t="str">
        <f>IF(SUMIFS(TableTime[[Duration]:[Duration]],TableTime[[Date]:[Date]],$B189,TableTime[[Activity]:[Activity]],Q$1)=0,"",SUMIFS(TableTime[[Duration]:[Duration]],TableTime[[Date]:[Date]],$B189,TableTime[[Activity]:[Activity]],Q$1))</f>
        <v/>
      </c>
      <c r="R189" s="4" t="str">
        <f>IF(SUMIFS(TableTime[[Duration]:[Duration]],TableTime[[Date]:[Date]],$B189,TableTime[[Activity]:[Activity]],R$1)=0,"",SUMIFS(TableTime[[Duration]:[Duration]],TableTime[[Date]:[Date]],$B189,TableTime[[Activity]:[Activity]],R$1))</f>
        <v/>
      </c>
      <c r="S189" s="130" t="str">
        <f>IF(SUMIFS(TableTime[[Duration]:[Duration]],TableTime[[Date]:[Date]],$B189,TableTime[[Activity]:[Activity]],S$1)=0,"",SUMIFS(TableTime[[Duration]:[Duration]],TableTime[[Date]:[Date]],$B189,TableTime[[Activity]:[Activity]],S$1))</f>
        <v/>
      </c>
      <c r="T189" s="4" t="str">
        <f>IF(SUMIFS(TableTime[[Duration]:[Duration]],TableTime[[Date]:[Date]],$B189,TableTime[[Activity]:[Activity]],T$1)=0,"",SUMIFS(TableTime[[Duration]:[Duration]],TableTime[[Date]:[Date]],$B189,TableTime[[Activity]:[Activity]],T$1))</f>
        <v/>
      </c>
      <c r="U189" s="39" t="str">
        <f>IF(SUMIFS(TableTime[[Duration]:[Duration]],TableTime[[Date]:[Date]],$B189,TableTime[[Activity]:[Activity]],U$1)=0,"",SUMIFS(TableTime[[Duration]:[Duration]],TableTime[[Date]:[Date]],$B189,TableTime[[Activity]:[Activity]],U$1))</f>
        <v/>
      </c>
    </row>
    <row r="190" spans="1:21" x14ac:dyDescent="0.35">
      <c r="A190" s="59" t="str">
        <f t="shared" si="12"/>
        <v>Sat</v>
      </c>
      <c r="B190" s="91">
        <f t="shared" si="14"/>
        <v>45115</v>
      </c>
      <c r="C190" s="60">
        <f t="shared" si="15"/>
        <v>7</v>
      </c>
      <c r="D190" s="61">
        <f t="shared" si="13"/>
        <v>27</v>
      </c>
      <c r="E190" s="103"/>
      <c r="F190" s="60" t="str">
        <f>IFERROR(IF(OR(WEEKDAY(B190,2)=6,WEEKDAY(B190,2)=7),'Month summary'!$D$11,IF(E190="",'Month summary'!$C$11,E190)),"")</f>
        <v>WE</v>
      </c>
      <c r="G190" s="62">
        <f>IF(B190&lt;Time!$B$2,"",IF(F190='Month summary'!$C$11,'Month summary'!$F$2/24,IF(F190="H/2",'Month summary'!$F$2/24/2,0)))</f>
        <v>0</v>
      </c>
      <c r="H190" s="62">
        <f t="shared" si="16"/>
        <v>0</v>
      </c>
      <c r="I190" s="62" t="str">
        <f t="shared" si="17"/>
        <v/>
      </c>
      <c r="J190" s="108"/>
      <c r="K190" s="63" t="str">
        <f>IFERROR(INDEX(TableTime[Time],MATCH(B190,TableTime[Date],0)),"")</f>
        <v/>
      </c>
      <c r="L190" s="62" t="str">
        <f>IF(SUMIFS(TableTime[Duration],TableTime[Date],B190,TableTime[Activity],Projects!$C$9)+SUMIFS(TableTime[Duration],TableTime[Date],B190,TableTime[Activity],Projects!$C$10)+SUMIFS(TableTime[Duration],TableTime[Date],B190,TableTime[Activity],Projects!$C$11)=0,"",SUMIFS(TableTime[Duration],TableTime[Date],B190,TableTime[Activity],Projects!$C$9)+SUMIFS(TableTime[Duration],TableTime[Date],B190,TableTime[Activity],Projects!$C$10)+SUMIFS(TableTime[Duration],TableTime[Date],B190,TableTime[Activity],Projects!$C$11))</f>
        <v/>
      </c>
      <c r="M190" s="62" t="str" cm="1">
        <f t="array" ref="M190">IFERROR(LOOKUP(2,1/(TableTime[Date]=B190),TableTime[Time]),"")</f>
        <v/>
      </c>
      <c r="N190" s="63" t="str">
        <f>IF(SUMIFS(TableTime[[Duration]:[Duration]],TableTime[[Date]:[Date]],$B190,TableTime[[Activity]:[Activity]],N$1)=0,"",SUMIFS(TableTime[[Duration]:[Duration]],TableTime[[Date]:[Date]],$B190,TableTime[[Activity]:[Activity]],N$1))</f>
        <v/>
      </c>
      <c r="O190" s="62" t="str">
        <f>IF(SUMIFS(TableTime[[Duration]:[Duration]],TableTime[[Date]:[Date]],$B190,TableTime[[Activity]:[Activity]],O$1)=0,"",SUMIFS(TableTime[[Duration]:[Duration]],TableTime[[Date]:[Date]],$B190,TableTime[[Activity]:[Activity]],O$1))</f>
        <v/>
      </c>
      <c r="P190" s="62" t="str">
        <f>IF(SUMIFS(TableTime[[Duration]:[Duration]],TableTime[[Date]:[Date]],$B190,TableTime[[Activity]:[Activity]],P$1)=0,"",SUMIFS(TableTime[[Duration]:[Duration]],TableTime[[Date]:[Date]],$B190,TableTime[[Activity]:[Activity]],P$1))</f>
        <v/>
      </c>
      <c r="Q190" s="62" t="str">
        <f>IF(SUMIFS(TableTime[[Duration]:[Duration]],TableTime[[Date]:[Date]],$B190,TableTime[[Activity]:[Activity]],Q$1)=0,"",SUMIFS(TableTime[[Duration]:[Duration]],TableTime[[Date]:[Date]],$B190,TableTime[[Activity]:[Activity]],Q$1))</f>
        <v/>
      </c>
      <c r="R190" s="62" t="str">
        <f>IF(SUMIFS(TableTime[[Duration]:[Duration]],TableTime[[Date]:[Date]],$B190,TableTime[[Activity]:[Activity]],R$1)=0,"",SUMIFS(TableTime[[Duration]:[Duration]],TableTime[[Date]:[Date]],$B190,TableTime[[Activity]:[Activity]],R$1))</f>
        <v/>
      </c>
      <c r="S190" s="131" t="str">
        <f>IF(SUMIFS(TableTime[[Duration]:[Duration]],TableTime[[Date]:[Date]],$B190,TableTime[[Activity]:[Activity]],S$1)=0,"",SUMIFS(TableTime[[Duration]:[Duration]],TableTime[[Date]:[Date]],$B190,TableTime[[Activity]:[Activity]],S$1))</f>
        <v/>
      </c>
      <c r="T190" s="62" t="str">
        <f>IF(SUMIFS(TableTime[[Duration]:[Duration]],TableTime[[Date]:[Date]],$B190,TableTime[[Activity]:[Activity]],T$1)=0,"",SUMIFS(TableTime[[Duration]:[Duration]],TableTime[[Date]:[Date]],$B190,TableTime[[Activity]:[Activity]],T$1))</f>
        <v/>
      </c>
      <c r="U190" s="64" t="str">
        <f>IF(SUMIFS(TableTime[[Duration]:[Duration]],TableTime[[Date]:[Date]],$B190,TableTime[[Activity]:[Activity]],U$1)=0,"",SUMIFS(TableTime[[Duration]:[Duration]],TableTime[[Date]:[Date]],$B190,TableTime[[Activity]:[Activity]],U$1))</f>
        <v/>
      </c>
    </row>
    <row r="191" spans="1:21" x14ac:dyDescent="0.35">
      <c r="A191" s="35" t="str">
        <f t="shared" si="12"/>
        <v>Sun</v>
      </c>
      <c r="B191" s="5">
        <f t="shared" si="14"/>
        <v>45116</v>
      </c>
      <c r="C191" s="1">
        <f t="shared" si="15"/>
        <v>7</v>
      </c>
      <c r="D191" s="2">
        <f t="shared" si="13"/>
        <v>27</v>
      </c>
      <c r="E191" s="102"/>
      <c r="F191" s="1" t="str">
        <f>IFERROR(IF(OR(WEEKDAY(B191,2)=6,WEEKDAY(B191,2)=7),'Month summary'!$D$11,IF(E191="",'Month summary'!$C$11,E191)),"")</f>
        <v>WE</v>
      </c>
      <c r="G191" s="4">
        <f>IF(B191&lt;Time!$B$2,"",IF(F191='Month summary'!$C$11,'Month summary'!$F$2/24,IF(F191="H/2",'Month summary'!$F$2/24/2,0)))</f>
        <v>0</v>
      </c>
      <c r="H191" s="4">
        <f t="shared" si="16"/>
        <v>0</v>
      </c>
      <c r="I191" s="4" t="str">
        <f t="shared" si="17"/>
        <v/>
      </c>
      <c r="J191" s="107"/>
      <c r="K191" s="38" t="str">
        <f>IFERROR(INDEX(TableTime[Time],MATCH(B191,TableTime[Date],0)),"")</f>
        <v/>
      </c>
      <c r="L191" s="4" t="str">
        <f>IF(SUMIFS(TableTime[Duration],TableTime[Date],B191,TableTime[Activity],Projects!$C$9)+SUMIFS(TableTime[Duration],TableTime[Date],B191,TableTime[Activity],Projects!$C$10)+SUMIFS(TableTime[Duration],TableTime[Date],B191,TableTime[Activity],Projects!$C$11)=0,"",SUMIFS(TableTime[Duration],TableTime[Date],B191,TableTime[Activity],Projects!$C$9)+SUMIFS(TableTime[Duration],TableTime[Date],B191,TableTime[Activity],Projects!$C$10)+SUMIFS(TableTime[Duration],TableTime[Date],B191,TableTime[Activity],Projects!$C$11))</f>
        <v/>
      </c>
      <c r="M191" s="4" t="str" cm="1">
        <f t="array" ref="M191">IFERROR(LOOKUP(2,1/(TableTime[Date]=B191),TableTime[Time]),"")</f>
        <v/>
      </c>
      <c r="N191" s="38" t="str">
        <f>IF(SUMIFS(TableTime[[Duration]:[Duration]],TableTime[[Date]:[Date]],$B191,TableTime[[Activity]:[Activity]],N$1)=0,"",SUMIFS(TableTime[[Duration]:[Duration]],TableTime[[Date]:[Date]],$B191,TableTime[[Activity]:[Activity]],N$1))</f>
        <v/>
      </c>
      <c r="O191" s="4" t="str">
        <f>IF(SUMIFS(TableTime[[Duration]:[Duration]],TableTime[[Date]:[Date]],$B191,TableTime[[Activity]:[Activity]],O$1)=0,"",SUMIFS(TableTime[[Duration]:[Duration]],TableTime[[Date]:[Date]],$B191,TableTime[[Activity]:[Activity]],O$1))</f>
        <v/>
      </c>
      <c r="P191" s="4" t="str">
        <f>IF(SUMIFS(TableTime[[Duration]:[Duration]],TableTime[[Date]:[Date]],$B191,TableTime[[Activity]:[Activity]],P$1)=0,"",SUMIFS(TableTime[[Duration]:[Duration]],TableTime[[Date]:[Date]],$B191,TableTime[[Activity]:[Activity]],P$1))</f>
        <v/>
      </c>
      <c r="Q191" s="4" t="str">
        <f>IF(SUMIFS(TableTime[[Duration]:[Duration]],TableTime[[Date]:[Date]],$B191,TableTime[[Activity]:[Activity]],Q$1)=0,"",SUMIFS(TableTime[[Duration]:[Duration]],TableTime[[Date]:[Date]],$B191,TableTime[[Activity]:[Activity]],Q$1))</f>
        <v/>
      </c>
      <c r="R191" s="4" t="str">
        <f>IF(SUMIFS(TableTime[[Duration]:[Duration]],TableTime[[Date]:[Date]],$B191,TableTime[[Activity]:[Activity]],R$1)=0,"",SUMIFS(TableTime[[Duration]:[Duration]],TableTime[[Date]:[Date]],$B191,TableTime[[Activity]:[Activity]],R$1))</f>
        <v/>
      </c>
      <c r="S191" s="130" t="str">
        <f>IF(SUMIFS(TableTime[[Duration]:[Duration]],TableTime[[Date]:[Date]],$B191,TableTime[[Activity]:[Activity]],S$1)=0,"",SUMIFS(TableTime[[Duration]:[Duration]],TableTime[[Date]:[Date]],$B191,TableTime[[Activity]:[Activity]],S$1))</f>
        <v/>
      </c>
      <c r="T191" s="4" t="str">
        <f>IF(SUMIFS(TableTime[[Duration]:[Duration]],TableTime[[Date]:[Date]],$B191,TableTime[[Activity]:[Activity]],T$1)=0,"",SUMIFS(TableTime[[Duration]:[Duration]],TableTime[[Date]:[Date]],$B191,TableTime[[Activity]:[Activity]],T$1))</f>
        <v/>
      </c>
      <c r="U191" s="39" t="str">
        <f>IF(SUMIFS(TableTime[[Duration]:[Duration]],TableTime[[Date]:[Date]],$B191,TableTime[[Activity]:[Activity]],U$1)=0,"",SUMIFS(TableTime[[Duration]:[Duration]],TableTime[[Date]:[Date]],$B191,TableTime[[Activity]:[Activity]],U$1))</f>
        <v/>
      </c>
    </row>
    <row r="192" spans="1:21" x14ac:dyDescent="0.35">
      <c r="A192" s="59" t="str">
        <f t="shared" si="12"/>
        <v>Mon</v>
      </c>
      <c r="B192" s="91">
        <f t="shared" si="14"/>
        <v>45117</v>
      </c>
      <c r="C192" s="60">
        <f t="shared" si="15"/>
        <v>7</v>
      </c>
      <c r="D192" s="61">
        <f t="shared" si="13"/>
        <v>28</v>
      </c>
      <c r="E192" s="103"/>
      <c r="F192" s="60" t="str">
        <f>IFERROR(IF(OR(WEEKDAY(B192,2)=6,WEEKDAY(B192,2)=7),'Month summary'!$D$11,IF(E192="",'Month summary'!$C$11,E192)),"")</f>
        <v>W</v>
      </c>
      <c r="G192" s="62">
        <f>IF(B192&lt;Time!$B$2,"",IF(F192='Month summary'!$C$11,'Month summary'!$F$2/24,IF(F192="H/2",'Month summary'!$F$2/24/2,0)))</f>
        <v>0.33333333333333331</v>
      </c>
      <c r="H192" s="62">
        <f t="shared" si="16"/>
        <v>0</v>
      </c>
      <c r="I192" s="62" t="str">
        <f t="shared" si="17"/>
        <v/>
      </c>
      <c r="J192" s="108"/>
      <c r="K192" s="63" t="str">
        <f>IFERROR(INDEX(TableTime[Time],MATCH(B192,TableTime[Date],0)),"")</f>
        <v/>
      </c>
      <c r="L192" s="62" t="str">
        <f>IF(SUMIFS(TableTime[Duration],TableTime[Date],B192,TableTime[Activity],Projects!$C$9)+SUMIFS(TableTime[Duration],TableTime[Date],B192,TableTime[Activity],Projects!$C$10)+SUMIFS(TableTime[Duration],TableTime[Date],B192,TableTime[Activity],Projects!$C$11)=0,"",SUMIFS(TableTime[Duration],TableTime[Date],B192,TableTime[Activity],Projects!$C$9)+SUMIFS(TableTime[Duration],TableTime[Date],B192,TableTime[Activity],Projects!$C$10)+SUMIFS(TableTime[Duration],TableTime[Date],B192,TableTime[Activity],Projects!$C$11))</f>
        <v/>
      </c>
      <c r="M192" s="62" t="str" cm="1">
        <f t="array" ref="M192">IFERROR(LOOKUP(2,1/(TableTime[Date]=B192),TableTime[Time]),"")</f>
        <v/>
      </c>
      <c r="N192" s="63" t="str">
        <f>IF(SUMIFS(TableTime[[Duration]:[Duration]],TableTime[[Date]:[Date]],$B192,TableTime[[Activity]:[Activity]],N$1)=0,"",SUMIFS(TableTime[[Duration]:[Duration]],TableTime[[Date]:[Date]],$B192,TableTime[[Activity]:[Activity]],N$1))</f>
        <v/>
      </c>
      <c r="O192" s="62" t="str">
        <f>IF(SUMIFS(TableTime[[Duration]:[Duration]],TableTime[[Date]:[Date]],$B192,TableTime[[Activity]:[Activity]],O$1)=0,"",SUMIFS(TableTime[[Duration]:[Duration]],TableTime[[Date]:[Date]],$B192,TableTime[[Activity]:[Activity]],O$1))</f>
        <v/>
      </c>
      <c r="P192" s="62" t="str">
        <f>IF(SUMIFS(TableTime[[Duration]:[Duration]],TableTime[[Date]:[Date]],$B192,TableTime[[Activity]:[Activity]],P$1)=0,"",SUMIFS(TableTime[[Duration]:[Duration]],TableTime[[Date]:[Date]],$B192,TableTime[[Activity]:[Activity]],P$1))</f>
        <v/>
      </c>
      <c r="Q192" s="62" t="str">
        <f>IF(SUMIFS(TableTime[[Duration]:[Duration]],TableTime[[Date]:[Date]],$B192,TableTime[[Activity]:[Activity]],Q$1)=0,"",SUMIFS(TableTime[[Duration]:[Duration]],TableTime[[Date]:[Date]],$B192,TableTime[[Activity]:[Activity]],Q$1))</f>
        <v/>
      </c>
      <c r="R192" s="62" t="str">
        <f>IF(SUMIFS(TableTime[[Duration]:[Duration]],TableTime[[Date]:[Date]],$B192,TableTime[[Activity]:[Activity]],R$1)=0,"",SUMIFS(TableTime[[Duration]:[Duration]],TableTime[[Date]:[Date]],$B192,TableTime[[Activity]:[Activity]],R$1))</f>
        <v/>
      </c>
      <c r="S192" s="131" t="str">
        <f>IF(SUMIFS(TableTime[[Duration]:[Duration]],TableTime[[Date]:[Date]],$B192,TableTime[[Activity]:[Activity]],S$1)=0,"",SUMIFS(TableTime[[Duration]:[Duration]],TableTime[[Date]:[Date]],$B192,TableTime[[Activity]:[Activity]],S$1))</f>
        <v/>
      </c>
      <c r="T192" s="62" t="str">
        <f>IF(SUMIFS(TableTime[[Duration]:[Duration]],TableTime[[Date]:[Date]],$B192,TableTime[[Activity]:[Activity]],T$1)=0,"",SUMIFS(TableTime[[Duration]:[Duration]],TableTime[[Date]:[Date]],$B192,TableTime[[Activity]:[Activity]],T$1))</f>
        <v/>
      </c>
      <c r="U192" s="64" t="str">
        <f>IF(SUMIFS(TableTime[[Duration]:[Duration]],TableTime[[Date]:[Date]],$B192,TableTime[[Activity]:[Activity]],U$1)=0,"",SUMIFS(TableTime[[Duration]:[Duration]],TableTime[[Date]:[Date]],$B192,TableTime[[Activity]:[Activity]],U$1))</f>
        <v/>
      </c>
    </row>
    <row r="193" spans="1:21" x14ac:dyDescent="0.35">
      <c r="A193" s="35" t="str">
        <f t="shared" si="12"/>
        <v>Tue</v>
      </c>
      <c r="B193" s="5">
        <f t="shared" si="14"/>
        <v>45118</v>
      </c>
      <c r="C193" s="1">
        <f t="shared" si="15"/>
        <v>7</v>
      </c>
      <c r="D193" s="2">
        <f t="shared" si="13"/>
        <v>28</v>
      </c>
      <c r="E193" s="102"/>
      <c r="F193" s="1" t="str">
        <f>IFERROR(IF(OR(WEEKDAY(B193,2)=6,WEEKDAY(B193,2)=7),'Month summary'!$D$11,IF(E193="",'Month summary'!$C$11,E193)),"")</f>
        <v>W</v>
      </c>
      <c r="G193" s="4">
        <f>IF(B193&lt;Time!$B$2,"",IF(F193='Month summary'!$C$11,'Month summary'!$F$2/24,IF(F193="H/2",'Month summary'!$F$2/24/2,0)))</f>
        <v>0.33333333333333331</v>
      </c>
      <c r="H193" s="4">
        <f t="shared" si="16"/>
        <v>0</v>
      </c>
      <c r="I193" s="4" t="str">
        <f t="shared" si="17"/>
        <v/>
      </c>
      <c r="J193" s="107"/>
      <c r="K193" s="38" t="str">
        <f>IFERROR(INDEX(TableTime[Time],MATCH(B193,TableTime[Date],0)),"")</f>
        <v/>
      </c>
      <c r="L193" s="4" t="str">
        <f>IF(SUMIFS(TableTime[Duration],TableTime[Date],B193,TableTime[Activity],Projects!$C$9)+SUMIFS(TableTime[Duration],TableTime[Date],B193,TableTime[Activity],Projects!$C$10)+SUMIFS(TableTime[Duration],TableTime[Date],B193,TableTime[Activity],Projects!$C$11)=0,"",SUMIFS(TableTime[Duration],TableTime[Date],B193,TableTime[Activity],Projects!$C$9)+SUMIFS(TableTime[Duration],TableTime[Date],B193,TableTime[Activity],Projects!$C$10)+SUMIFS(TableTime[Duration],TableTime[Date],B193,TableTime[Activity],Projects!$C$11))</f>
        <v/>
      </c>
      <c r="M193" s="4" t="str" cm="1">
        <f t="array" ref="M193">IFERROR(LOOKUP(2,1/(TableTime[Date]=B193),TableTime[Time]),"")</f>
        <v/>
      </c>
      <c r="N193" s="38" t="str">
        <f>IF(SUMIFS(TableTime[[Duration]:[Duration]],TableTime[[Date]:[Date]],$B193,TableTime[[Activity]:[Activity]],N$1)=0,"",SUMIFS(TableTime[[Duration]:[Duration]],TableTime[[Date]:[Date]],$B193,TableTime[[Activity]:[Activity]],N$1))</f>
        <v/>
      </c>
      <c r="O193" s="4" t="str">
        <f>IF(SUMIFS(TableTime[[Duration]:[Duration]],TableTime[[Date]:[Date]],$B193,TableTime[[Activity]:[Activity]],O$1)=0,"",SUMIFS(TableTime[[Duration]:[Duration]],TableTime[[Date]:[Date]],$B193,TableTime[[Activity]:[Activity]],O$1))</f>
        <v/>
      </c>
      <c r="P193" s="4" t="str">
        <f>IF(SUMIFS(TableTime[[Duration]:[Duration]],TableTime[[Date]:[Date]],$B193,TableTime[[Activity]:[Activity]],P$1)=0,"",SUMIFS(TableTime[[Duration]:[Duration]],TableTime[[Date]:[Date]],$B193,TableTime[[Activity]:[Activity]],P$1))</f>
        <v/>
      </c>
      <c r="Q193" s="4" t="str">
        <f>IF(SUMIFS(TableTime[[Duration]:[Duration]],TableTime[[Date]:[Date]],$B193,TableTime[[Activity]:[Activity]],Q$1)=0,"",SUMIFS(TableTime[[Duration]:[Duration]],TableTime[[Date]:[Date]],$B193,TableTime[[Activity]:[Activity]],Q$1))</f>
        <v/>
      </c>
      <c r="R193" s="4" t="str">
        <f>IF(SUMIFS(TableTime[[Duration]:[Duration]],TableTime[[Date]:[Date]],$B193,TableTime[[Activity]:[Activity]],R$1)=0,"",SUMIFS(TableTime[[Duration]:[Duration]],TableTime[[Date]:[Date]],$B193,TableTime[[Activity]:[Activity]],R$1))</f>
        <v/>
      </c>
      <c r="S193" s="130" t="str">
        <f>IF(SUMIFS(TableTime[[Duration]:[Duration]],TableTime[[Date]:[Date]],$B193,TableTime[[Activity]:[Activity]],S$1)=0,"",SUMIFS(TableTime[[Duration]:[Duration]],TableTime[[Date]:[Date]],$B193,TableTime[[Activity]:[Activity]],S$1))</f>
        <v/>
      </c>
      <c r="T193" s="4" t="str">
        <f>IF(SUMIFS(TableTime[[Duration]:[Duration]],TableTime[[Date]:[Date]],$B193,TableTime[[Activity]:[Activity]],T$1)=0,"",SUMIFS(TableTime[[Duration]:[Duration]],TableTime[[Date]:[Date]],$B193,TableTime[[Activity]:[Activity]],T$1))</f>
        <v/>
      </c>
      <c r="U193" s="39" t="str">
        <f>IF(SUMIFS(TableTime[[Duration]:[Duration]],TableTime[[Date]:[Date]],$B193,TableTime[[Activity]:[Activity]],U$1)=0,"",SUMIFS(TableTime[[Duration]:[Duration]],TableTime[[Date]:[Date]],$B193,TableTime[[Activity]:[Activity]],U$1))</f>
        <v/>
      </c>
    </row>
    <row r="194" spans="1:21" x14ac:dyDescent="0.35">
      <c r="A194" s="59" t="str">
        <f t="shared" ref="A194:A257" si="18">IFERROR(CHOOSE(WEEKDAY(B194,2),"Mon","Tue","Wed","Thr","Fri","Sat","Sun"),"")</f>
        <v>Wed</v>
      </c>
      <c r="B194" s="91">
        <f t="shared" si="14"/>
        <v>45119</v>
      </c>
      <c r="C194" s="60">
        <f t="shared" si="15"/>
        <v>7</v>
      </c>
      <c r="D194" s="61">
        <f t="shared" ref="D194:D257" si="19">IFERROR(WEEKNUM(B194,21),"")</f>
        <v>28</v>
      </c>
      <c r="E194" s="103"/>
      <c r="F194" s="60" t="str">
        <f>IFERROR(IF(OR(WEEKDAY(B194,2)=6,WEEKDAY(B194,2)=7),'Month summary'!$D$11,IF(E194="",'Month summary'!$C$11,E194)),"")</f>
        <v>W</v>
      </c>
      <c r="G194" s="62">
        <f>IF(B194&lt;Time!$B$2,"",IF(F194='Month summary'!$C$11,'Month summary'!$F$2/24,IF(F194="H/2",'Month summary'!$F$2/24/2,0)))</f>
        <v>0.33333333333333331</v>
      </c>
      <c r="H194" s="62">
        <f t="shared" si="16"/>
        <v>0</v>
      </c>
      <c r="I194" s="62" t="str">
        <f t="shared" si="17"/>
        <v/>
      </c>
      <c r="J194" s="108"/>
      <c r="K194" s="63" t="str">
        <f>IFERROR(INDEX(TableTime[Time],MATCH(B194,TableTime[Date],0)),"")</f>
        <v/>
      </c>
      <c r="L194" s="62" t="str">
        <f>IF(SUMIFS(TableTime[Duration],TableTime[Date],B194,TableTime[Activity],Projects!$C$9)+SUMIFS(TableTime[Duration],TableTime[Date],B194,TableTime[Activity],Projects!$C$10)+SUMIFS(TableTime[Duration],TableTime[Date],B194,TableTime[Activity],Projects!$C$11)=0,"",SUMIFS(TableTime[Duration],TableTime[Date],B194,TableTime[Activity],Projects!$C$9)+SUMIFS(TableTime[Duration],TableTime[Date],B194,TableTime[Activity],Projects!$C$10)+SUMIFS(TableTime[Duration],TableTime[Date],B194,TableTime[Activity],Projects!$C$11))</f>
        <v/>
      </c>
      <c r="M194" s="62" t="str" cm="1">
        <f t="array" ref="M194">IFERROR(LOOKUP(2,1/(TableTime[Date]=B194),TableTime[Time]),"")</f>
        <v/>
      </c>
      <c r="N194" s="63" t="str">
        <f>IF(SUMIFS(TableTime[[Duration]:[Duration]],TableTime[[Date]:[Date]],$B194,TableTime[[Activity]:[Activity]],N$1)=0,"",SUMIFS(TableTime[[Duration]:[Duration]],TableTime[[Date]:[Date]],$B194,TableTime[[Activity]:[Activity]],N$1))</f>
        <v/>
      </c>
      <c r="O194" s="62" t="str">
        <f>IF(SUMIFS(TableTime[[Duration]:[Duration]],TableTime[[Date]:[Date]],$B194,TableTime[[Activity]:[Activity]],O$1)=0,"",SUMIFS(TableTime[[Duration]:[Duration]],TableTime[[Date]:[Date]],$B194,TableTime[[Activity]:[Activity]],O$1))</f>
        <v/>
      </c>
      <c r="P194" s="62" t="str">
        <f>IF(SUMIFS(TableTime[[Duration]:[Duration]],TableTime[[Date]:[Date]],$B194,TableTime[[Activity]:[Activity]],P$1)=0,"",SUMIFS(TableTime[[Duration]:[Duration]],TableTime[[Date]:[Date]],$B194,TableTime[[Activity]:[Activity]],P$1))</f>
        <v/>
      </c>
      <c r="Q194" s="62" t="str">
        <f>IF(SUMIFS(TableTime[[Duration]:[Duration]],TableTime[[Date]:[Date]],$B194,TableTime[[Activity]:[Activity]],Q$1)=0,"",SUMIFS(TableTime[[Duration]:[Duration]],TableTime[[Date]:[Date]],$B194,TableTime[[Activity]:[Activity]],Q$1))</f>
        <v/>
      </c>
      <c r="R194" s="62" t="str">
        <f>IF(SUMIFS(TableTime[[Duration]:[Duration]],TableTime[[Date]:[Date]],$B194,TableTime[[Activity]:[Activity]],R$1)=0,"",SUMIFS(TableTime[[Duration]:[Duration]],TableTime[[Date]:[Date]],$B194,TableTime[[Activity]:[Activity]],R$1))</f>
        <v/>
      </c>
      <c r="S194" s="131" t="str">
        <f>IF(SUMIFS(TableTime[[Duration]:[Duration]],TableTime[[Date]:[Date]],$B194,TableTime[[Activity]:[Activity]],S$1)=0,"",SUMIFS(TableTime[[Duration]:[Duration]],TableTime[[Date]:[Date]],$B194,TableTime[[Activity]:[Activity]],S$1))</f>
        <v/>
      </c>
      <c r="T194" s="62" t="str">
        <f>IF(SUMIFS(TableTime[[Duration]:[Duration]],TableTime[[Date]:[Date]],$B194,TableTime[[Activity]:[Activity]],T$1)=0,"",SUMIFS(TableTime[[Duration]:[Duration]],TableTime[[Date]:[Date]],$B194,TableTime[[Activity]:[Activity]],T$1))</f>
        <v/>
      </c>
      <c r="U194" s="64" t="str">
        <f>IF(SUMIFS(TableTime[[Duration]:[Duration]],TableTime[[Date]:[Date]],$B194,TableTime[[Activity]:[Activity]],U$1)=0,"",SUMIFS(TableTime[[Duration]:[Duration]],TableTime[[Date]:[Date]],$B194,TableTime[[Activity]:[Activity]],U$1))</f>
        <v/>
      </c>
    </row>
    <row r="195" spans="1:21" x14ac:dyDescent="0.35">
      <c r="A195" s="35" t="str">
        <f t="shared" si="18"/>
        <v>Thr</v>
      </c>
      <c r="B195" s="5">
        <f t="shared" ref="B195:B258" si="20">IF(YEAR(B194+1)=Year,B194+1,"")</f>
        <v>45120</v>
      </c>
      <c r="C195" s="1">
        <f t="shared" ref="C195:C258" si="21">MONTH(B195)</f>
        <v>7</v>
      </c>
      <c r="D195" s="2">
        <f t="shared" si="19"/>
        <v>28</v>
      </c>
      <c r="E195" s="102"/>
      <c r="F195" s="1" t="str">
        <f>IFERROR(IF(OR(WEEKDAY(B195,2)=6,WEEKDAY(B195,2)=7),'Month summary'!$D$11,IF(E195="",'Month summary'!$C$11,E195)),"")</f>
        <v>W</v>
      </c>
      <c r="G195" s="4">
        <f>IF(B195&lt;Time!$B$2,"",IF(F195='Month summary'!$C$11,'Month summary'!$F$2/24,IF(F195="H/2",'Month summary'!$F$2/24/2,0)))</f>
        <v>0.33333333333333331</v>
      </c>
      <c r="H195" s="4">
        <f t="shared" ref="H195:H258" si="22">SUM(N195:S195)</f>
        <v>0</v>
      </c>
      <c r="I195" s="4" t="str">
        <f t="shared" ref="I195:I258" si="23">IF(ROUND(H195,2)=0,"",H195)</f>
        <v/>
      </c>
      <c r="J195" s="107"/>
      <c r="K195" s="38" t="str">
        <f>IFERROR(INDEX(TableTime[Time],MATCH(B195,TableTime[Date],0)),"")</f>
        <v/>
      </c>
      <c r="L195" s="4" t="str">
        <f>IF(SUMIFS(TableTime[Duration],TableTime[Date],B195,TableTime[Activity],Projects!$C$9)+SUMIFS(TableTime[Duration],TableTime[Date],B195,TableTime[Activity],Projects!$C$10)+SUMIFS(TableTime[Duration],TableTime[Date],B195,TableTime[Activity],Projects!$C$11)=0,"",SUMIFS(TableTime[Duration],TableTime[Date],B195,TableTime[Activity],Projects!$C$9)+SUMIFS(TableTime[Duration],TableTime[Date],B195,TableTime[Activity],Projects!$C$10)+SUMIFS(TableTime[Duration],TableTime[Date],B195,TableTime[Activity],Projects!$C$11))</f>
        <v/>
      </c>
      <c r="M195" s="4" t="str" cm="1">
        <f t="array" ref="M195">IFERROR(LOOKUP(2,1/(TableTime[Date]=B195),TableTime[Time]),"")</f>
        <v/>
      </c>
      <c r="N195" s="38" t="str">
        <f>IF(SUMIFS(TableTime[[Duration]:[Duration]],TableTime[[Date]:[Date]],$B195,TableTime[[Activity]:[Activity]],N$1)=0,"",SUMIFS(TableTime[[Duration]:[Duration]],TableTime[[Date]:[Date]],$B195,TableTime[[Activity]:[Activity]],N$1))</f>
        <v/>
      </c>
      <c r="O195" s="4" t="str">
        <f>IF(SUMIFS(TableTime[[Duration]:[Duration]],TableTime[[Date]:[Date]],$B195,TableTime[[Activity]:[Activity]],O$1)=0,"",SUMIFS(TableTime[[Duration]:[Duration]],TableTime[[Date]:[Date]],$B195,TableTime[[Activity]:[Activity]],O$1))</f>
        <v/>
      </c>
      <c r="P195" s="4" t="str">
        <f>IF(SUMIFS(TableTime[[Duration]:[Duration]],TableTime[[Date]:[Date]],$B195,TableTime[[Activity]:[Activity]],P$1)=0,"",SUMIFS(TableTime[[Duration]:[Duration]],TableTime[[Date]:[Date]],$B195,TableTime[[Activity]:[Activity]],P$1))</f>
        <v/>
      </c>
      <c r="Q195" s="4" t="str">
        <f>IF(SUMIFS(TableTime[[Duration]:[Duration]],TableTime[[Date]:[Date]],$B195,TableTime[[Activity]:[Activity]],Q$1)=0,"",SUMIFS(TableTime[[Duration]:[Duration]],TableTime[[Date]:[Date]],$B195,TableTime[[Activity]:[Activity]],Q$1))</f>
        <v/>
      </c>
      <c r="R195" s="4" t="str">
        <f>IF(SUMIFS(TableTime[[Duration]:[Duration]],TableTime[[Date]:[Date]],$B195,TableTime[[Activity]:[Activity]],R$1)=0,"",SUMIFS(TableTime[[Duration]:[Duration]],TableTime[[Date]:[Date]],$B195,TableTime[[Activity]:[Activity]],R$1))</f>
        <v/>
      </c>
      <c r="S195" s="130" t="str">
        <f>IF(SUMIFS(TableTime[[Duration]:[Duration]],TableTime[[Date]:[Date]],$B195,TableTime[[Activity]:[Activity]],S$1)=0,"",SUMIFS(TableTime[[Duration]:[Duration]],TableTime[[Date]:[Date]],$B195,TableTime[[Activity]:[Activity]],S$1))</f>
        <v/>
      </c>
      <c r="T195" s="4" t="str">
        <f>IF(SUMIFS(TableTime[[Duration]:[Duration]],TableTime[[Date]:[Date]],$B195,TableTime[[Activity]:[Activity]],T$1)=0,"",SUMIFS(TableTime[[Duration]:[Duration]],TableTime[[Date]:[Date]],$B195,TableTime[[Activity]:[Activity]],T$1))</f>
        <v/>
      </c>
      <c r="U195" s="39" t="str">
        <f>IF(SUMIFS(TableTime[[Duration]:[Duration]],TableTime[[Date]:[Date]],$B195,TableTime[[Activity]:[Activity]],U$1)=0,"",SUMIFS(TableTime[[Duration]:[Duration]],TableTime[[Date]:[Date]],$B195,TableTime[[Activity]:[Activity]],U$1))</f>
        <v/>
      </c>
    </row>
    <row r="196" spans="1:21" x14ac:dyDescent="0.35">
      <c r="A196" s="59" t="str">
        <f t="shared" si="18"/>
        <v>Fri</v>
      </c>
      <c r="B196" s="91">
        <f t="shared" si="20"/>
        <v>45121</v>
      </c>
      <c r="C196" s="60">
        <f t="shared" si="21"/>
        <v>7</v>
      </c>
      <c r="D196" s="61">
        <f t="shared" si="19"/>
        <v>28</v>
      </c>
      <c r="E196" s="103"/>
      <c r="F196" s="60" t="str">
        <f>IFERROR(IF(OR(WEEKDAY(B196,2)=6,WEEKDAY(B196,2)=7),'Month summary'!$D$11,IF(E196="",'Month summary'!$C$11,E196)),"")</f>
        <v>W</v>
      </c>
      <c r="G196" s="62">
        <f>IF(B196&lt;Time!$B$2,"",IF(F196='Month summary'!$C$11,'Month summary'!$F$2/24,IF(F196="H/2",'Month summary'!$F$2/24/2,0)))</f>
        <v>0.33333333333333331</v>
      </c>
      <c r="H196" s="62">
        <f t="shared" si="22"/>
        <v>0</v>
      </c>
      <c r="I196" s="62" t="str">
        <f t="shared" si="23"/>
        <v/>
      </c>
      <c r="J196" s="108"/>
      <c r="K196" s="63" t="str">
        <f>IFERROR(INDEX(TableTime[Time],MATCH(B196,TableTime[Date],0)),"")</f>
        <v/>
      </c>
      <c r="L196" s="62" t="str">
        <f>IF(SUMIFS(TableTime[Duration],TableTime[Date],B196,TableTime[Activity],Projects!$C$9)+SUMIFS(TableTime[Duration],TableTime[Date],B196,TableTime[Activity],Projects!$C$10)+SUMIFS(TableTime[Duration],TableTime[Date],B196,TableTime[Activity],Projects!$C$11)=0,"",SUMIFS(TableTime[Duration],TableTime[Date],B196,TableTime[Activity],Projects!$C$9)+SUMIFS(TableTime[Duration],TableTime[Date],B196,TableTime[Activity],Projects!$C$10)+SUMIFS(TableTime[Duration],TableTime[Date],B196,TableTime[Activity],Projects!$C$11))</f>
        <v/>
      </c>
      <c r="M196" s="62" t="str" cm="1">
        <f t="array" ref="M196">IFERROR(LOOKUP(2,1/(TableTime[Date]=B196),TableTime[Time]),"")</f>
        <v/>
      </c>
      <c r="N196" s="63" t="str">
        <f>IF(SUMIFS(TableTime[[Duration]:[Duration]],TableTime[[Date]:[Date]],$B196,TableTime[[Activity]:[Activity]],N$1)=0,"",SUMIFS(TableTime[[Duration]:[Duration]],TableTime[[Date]:[Date]],$B196,TableTime[[Activity]:[Activity]],N$1))</f>
        <v/>
      </c>
      <c r="O196" s="62" t="str">
        <f>IF(SUMIFS(TableTime[[Duration]:[Duration]],TableTime[[Date]:[Date]],$B196,TableTime[[Activity]:[Activity]],O$1)=0,"",SUMIFS(TableTime[[Duration]:[Duration]],TableTime[[Date]:[Date]],$B196,TableTime[[Activity]:[Activity]],O$1))</f>
        <v/>
      </c>
      <c r="P196" s="62" t="str">
        <f>IF(SUMIFS(TableTime[[Duration]:[Duration]],TableTime[[Date]:[Date]],$B196,TableTime[[Activity]:[Activity]],P$1)=0,"",SUMIFS(TableTime[[Duration]:[Duration]],TableTime[[Date]:[Date]],$B196,TableTime[[Activity]:[Activity]],P$1))</f>
        <v/>
      </c>
      <c r="Q196" s="62" t="str">
        <f>IF(SUMIFS(TableTime[[Duration]:[Duration]],TableTime[[Date]:[Date]],$B196,TableTime[[Activity]:[Activity]],Q$1)=0,"",SUMIFS(TableTime[[Duration]:[Duration]],TableTime[[Date]:[Date]],$B196,TableTime[[Activity]:[Activity]],Q$1))</f>
        <v/>
      </c>
      <c r="R196" s="62" t="str">
        <f>IF(SUMIFS(TableTime[[Duration]:[Duration]],TableTime[[Date]:[Date]],$B196,TableTime[[Activity]:[Activity]],R$1)=0,"",SUMIFS(TableTime[[Duration]:[Duration]],TableTime[[Date]:[Date]],$B196,TableTime[[Activity]:[Activity]],R$1))</f>
        <v/>
      </c>
      <c r="S196" s="131" t="str">
        <f>IF(SUMIFS(TableTime[[Duration]:[Duration]],TableTime[[Date]:[Date]],$B196,TableTime[[Activity]:[Activity]],S$1)=0,"",SUMIFS(TableTime[[Duration]:[Duration]],TableTime[[Date]:[Date]],$B196,TableTime[[Activity]:[Activity]],S$1))</f>
        <v/>
      </c>
      <c r="T196" s="62" t="str">
        <f>IF(SUMIFS(TableTime[[Duration]:[Duration]],TableTime[[Date]:[Date]],$B196,TableTime[[Activity]:[Activity]],T$1)=0,"",SUMIFS(TableTime[[Duration]:[Duration]],TableTime[[Date]:[Date]],$B196,TableTime[[Activity]:[Activity]],T$1))</f>
        <v/>
      </c>
      <c r="U196" s="64" t="str">
        <f>IF(SUMIFS(TableTime[[Duration]:[Duration]],TableTime[[Date]:[Date]],$B196,TableTime[[Activity]:[Activity]],U$1)=0,"",SUMIFS(TableTime[[Duration]:[Duration]],TableTime[[Date]:[Date]],$B196,TableTime[[Activity]:[Activity]],U$1))</f>
        <v/>
      </c>
    </row>
    <row r="197" spans="1:21" x14ac:dyDescent="0.35">
      <c r="A197" s="35" t="str">
        <f t="shared" si="18"/>
        <v>Sat</v>
      </c>
      <c r="B197" s="5">
        <f t="shared" si="20"/>
        <v>45122</v>
      </c>
      <c r="C197" s="1">
        <f t="shared" si="21"/>
        <v>7</v>
      </c>
      <c r="D197" s="2">
        <f t="shared" si="19"/>
        <v>28</v>
      </c>
      <c r="E197" s="102"/>
      <c r="F197" s="1" t="str">
        <f>IFERROR(IF(OR(WEEKDAY(B197,2)=6,WEEKDAY(B197,2)=7),'Month summary'!$D$11,IF(E197="",'Month summary'!$C$11,E197)),"")</f>
        <v>WE</v>
      </c>
      <c r="G197" s="4">
        <f>IF(B197&lt;Time!$B$2,"",IF(F197='Month summary'!$C$11,'Month summary'!$F$2/24,IF(F197="H/2",'Month summary'!$F$2/24/2,0)))</f>
        <v>0</v>
      </c>
      <c r="H197" s="4">
        <f t="shared" si="22"/>
        <v>0</v>
      </c>
      <c r="I197" s="4" t="str">
        <f t="shared" si="23"/>
        <v/>
      </c>
      <c r="J197" s="107"/>
      <c r="K197" s="38" t="str">
        <f>IFERROR(INDEX(TableTime[Time],MATCH(B197,TableTime[Date],0)),"")</f>
        <v/>
      </c>
      <c r="L197" s="4" t="str">
        <f>IF(SUMIFS(TableTime[Duration],TableTime[Date],B197,TableTime[Activity],Projects!$C$9)+SUMIFS(TableTime[Duration],TableTime[Date],B197,TableTime[Activity],Projects!$C$10)+SUMIFS(TableTime[Duration],TableTime[Date],B197,TableTime[Activity],Projects!$C$11)=0,"",SUMIFS(TableTime[Duration],TableTime[Date],B197,TableTime[Activity],Projects!$C$9)+SUMIFS(TableTime[Duration],TableTime[Date],B197,TableTime[Activity],Projects!$C$10)+SUMIFS(TableTime[Duration],TableTime[Date],B197,TableTime[Activity],Projects!$C$11))</f>
        <v/>
      </c>
      <c r="M197" s="4" t="str" cm="1">
        <f t="array" ref="M197">IFERROR(LOOKUP(2,1/(TableTime[Date]=B197),TableTime[Time]),"")</f>
        <v/>
      </c>
      <c r="N197" s="38" t="str">
        <f>IF(SUMIFS(TableTime[[Duration]:[Duration]],TableTime[[Date]:[Date]],$B197,TableTime[[Activity]:[Activity]],N$1)=0,"",SUMIFS(TableTime[[Duration]:[Duration]],TableTime[[Date]:[Date]],$B197,TableTime[[Activity]:[Activity]],N$1))</f>
        <v/>
      </c>
      <c r="O197" s="4" t="str">
        <f>IF(SUMIFS(TableTime[[Duration]:[Duration]],TableTime[[Date]:[Date]],$B197,TableTime[[Activity]:[Activity]],O$1)=0,"",SUMIFS(TableTime[[Duration]:[Duration]],TableTime[[Date]:[Date]],$B197,TableTime[[Activity]:[Activity]],O$1))</f>
        <v/>
      </c>
      <c r="P197" s="4" t="str">
        <f>IF(SUMIFS(TableTime[[Duration]:[Duration]],TableTime[[Date]:[Date]],$B197,TableTime[[Activity]:[Activity]],P$1)=0,"",SUMIFS(TableTime[[Duration]:[Duration]],TableTime[[Date]:[Date]],$B197,TableTime[[Activity]:[Activity]],P$1))</f>
        <v/>
      </c>
      <c r="Q197" s="4" t="str">
        <f>IF(SUMIFS(TableTime[[Duration]:[Duration]],TableTime[[Date]:[Date]],$B197,TableTime[[Activity]:[Activity]],Q$1)=0,"",SUMIFS(TableTime[[Duration]:[Duration]],TableTime[[Date]:[Date]],$B197,TableTime[[Activity]:[Activity]],Q$1))</f>
        <v/>
      </c>
      <c r="R197" s="4" t="str">
        <f>IF(SUMIFS(TableTime[[Duration]:[Duration]],TableTime[[Date]:[Date]],$B197,TableTime[[Activity]:[Activity]],R$1)=0,"",SUMIFS(TableTime[[Duration]:[Duration]],TableTime[[Date]:[Date]],$B197,TableTime[[Activity]:[Activity]],R$1))</f>
        <v/>
      </c>
      <c r="S197" s="130" t="str">
        <f>IF(SUMIFS(TableTime[[Duration]:[Duration]],TableTime[[Date]:[Date]],$B197,TableTime[[Activity]:[Activity]],S$1)=0,"",SUMIFS(TableTime[[Duration]:[Duration]],TableTime[[Date]:[Date]],$B197,TableTime[[Activity]:[Activity]],S$1))</f>
        <v/>
      </c>
      <c r="T197" s="4" t="str">
        <f>IF(SUMIFS(TableTime[[Duration]:[Duration]],TableTime[[Date]:[Date]],$B197,TableTime[[Activity]:[Activity]],T$1)=0,"",SUMIFS(TableTime[[Duration]:[Duration]],TableTime[[Date]:[Date]],$B197,TableTime[[Activity]:[Activity]],T$1))</f>
        <v/>
      </c>
      <c r="U197" s="39" t="str">
        <f>IF(SUMIFS(TableTime[[Duration]:[Duration]],TableTime[[Date]:[Date]],$B197,TableTime[[Activity]:[Activity]],U$1)=0,"",SUMIFS(TableTime[[Duration]:[Duration]],TableTime[[Date]:[Date]],$B197,TableTime[[Activity]:[Activity]],U$1))</f>
        <v/>
      </c>
    </row>
    <row r="198" spans="1:21" x14ac:dyDescent="0.35">
      <c r="A198" s="59" t="str">
        <f t="shared" si="18"/>
        <v>Sun</v>
      </c>
      <c r="B198" s="91">
        <f t="shared" si="20"/>
        <v>45123</v>
      </c>
      <c r="C198" s="60">
        <f t="shared" si="21"/>
        <v>7</v>
      </c>
      <c r="D198" s="61">
        <f t="shared" si="19"/>
        <v>28</v>
      </c>
      <c r="E198" s="103"/>
      <c r="F198" s="60" t="str">
        <f>IFERROR(IF(OR(WEEKDAY(B198,2)=6,WEEKDAY(B198,2)=7),'Month summary'!$D$11,IF(E198="",'Month summary'!$C$11,E198)),"")</f>
        <v>WE</v>
      </c>
      <c r="G198" s="62">
        <f>IF(B198&lt;Time!$B$2,"",IF(F198='Month summary'!$C$11,'Month summary'!$F$2/24,IF(F198="H/2",'Month summary'!$F$2/24/2,0)))</f>
        <v>0</v>
      </c>
      <c r="H198" s="62">
        <f t="shared" si="22"/>
        <v>0</v>
      </c>
      <c r="I198" s="62" t="str">
        <f t="shared" si="23"/>
        <v/>
      </c>
      <c r="J198" s="108"/>
      <c r="K198" s="63" t="str">
        <f>IFERROR(INDEX(TableTime[Time],MATCH(B198,TableTime[Date],0)),"")</f>
        <v/>
      </c>
      <c r="L198" s="62" t="str">
        <f>IF(SUMIFS(TableTime[Duration],TableTime[Date],B198,TableTime[Activity],Projects!$C$9)+SUMIFS(TableTime[Duration],TableTime[Date],B198,TableTime[Activity],Projects!$C$10)+SUMIFS(TableTime[Duration],TableTime[Date],B198,TableTime[Activity],Projects!$C$11)=0,"",SUMIFS(TableTime[Duration],TableTime[Date],B198,TableTime[Activity],Projects!$C$9)+SUMIFS(TableTime[Duration],TableTime[Date],B198,TableTime[Activity],Projects!$C$10)+SUMIFS(TableTime[Duration],TableTime[Date],B198,TableTime[Activity],Projects!$C$11))</f>
        <v/>
      </c>
      <c r="M198" s="62" t="str" cm="1">
        <f t="array" ref="M198">IFERROR(LOOKUP(2,1/(TableTime[Date]=B198),TableTime[Time]),"")</f>
        <v/>
      </c>
      <c r="N198" s="63" t="str">
        <f>IF(SUMIFS(TableTime[[Duration]:[Duration]],TableTime[[Date]:[Date]],$B198,TableTime[[Activity]:[Activity]],N$1)=0,"",SUMIFS(TableTime[[Duration]:[Duration]],TableTime[[Date]:[Date]],$B198,TableTime[[Activity]:[Activity]],N$1))</f>
        <v/>
      </c>
      <c r="O198" s="62" t="str">
        <f>IF(SUMIFS(TableTime[[Duration]:[Duration]],TableTime[[Date]:[Date]],$B198,TableTime[[Activity]:[Activity]],O$1)=0,"",SUMIFS(TableTime[[Duration]:[Duration]],TableTime[[Date]:[Date]],$B198,TableTime[[Activity]:[Activity]],O$1))</f>
        <v/>
      </c>
      <c r="P198" s="62" t="str">
        <f>IF(SUMIFS(TableTime[[Duration]:[Duration]],TableTime[[Date]:[Date]],$B198,TableTime[[Activity]:[Activity]],P$1)=0,"",SUMIFS(TableTime[[Duration]:[Duration]],TableTime[[Date]:[Date]],$B198,TableTime[[Activity]:[Activity]],P$1))</f>
        <v/>
      </c>
      <c r="Q198" s="62" t="str">
        <f>IF(SUMIFS(TableTime[[Duration]:[Duration]],TableTime[[Date]:[Date]],$B198,TableTime[[Activity]:[Activity]],Q$1)=0,"",SUMIFS(TableTime[[Duration]:[Duration]],TableTime[[Date]:[Date]],$B198,TableTime[[Activity]:[Activity]],Q$1))</f>
        <v/>
      </c>
      <c r="R198" s="62" t="str">
        <f>IF(SUMIFS(TableTime[[Duration]:[Duration]],TableTime[[Date]:[Date]],$B198,TableTime[[Activity]:[Activity]],R$1)=0,"",SUMIFS(TableTime[[Duration]:[Duration]],TableTime[[Date]:[Date]],$B198,TableTime[[Activity]:[Activity]],R$1))</f>
        <v/>
      </c>
      <c r="S198" s="131" t="str">
        <f>IF(SUMIFS(TableTime[[Duration]:[Duration]],TableTime[[Date]:[Date]],$B198,TableTime[[Activity]:[Activity]],S$1)=0,"",SUMIFS(TableTime[[Duration]:[Duration]],TableTime[[Date]:[Date]],$B198,TableTime[[Activity]:[Activity]],S$1))</f>
        <v/>
      </c>
      <c r="T198" s="62" t="str">
        <f>IF(SUMIFS(TableTime[[Duration]:[Duration]],TableTime[[Date]:[Date]],$B198,TableTime[[Activity]:[Activity]],T$1)=0,"",SUMIFS(TableTime[[Duration]:[Duration]],TableTime[[Date]:[Date]],$B198,TableTime[[Activity]:[Activity]],T$1))</f>
        <v/>
      </c>
      <c r="U198" s="64" t="str">
        <f>IF(SUMIFS(TableTime[[Duration]:[Duration]],TableTime[[Date]:[Date]],$B198,TableTime[[Activity]:[Activity]],U$1)=0,"",SUMIFS(TableTime[[Duration]:[Duration]],TableTime[[Date]:[Date]],$B198,TableTime[[Activity]:[Activity]],U$1))</f>
        <v/>
      </c>
    </row>
    <row r="199" spans="1:21" x14ac:dyDescent="0.35">
      <c r="A199" s="35" t="str">
        <f t="shared" si="18"/>
        <v>Mon</v>
      </c>
      <c r="B199" s="5">
        <f t="shared" si="20"/>
        <v>45124</v>
      </c>
      <c r="C199" s="1">
        <f t="shared" si="21"/>
        <v>7</v>
      </c>
      <c r="D199" s="2">
        <f t="shared" si="19"/>
        <v>29</v>
      </c>
      <c r="E199" s="102"/>
      <c r="F199" s="1" t="str">
        <f>IFERROR(IF(OR(WEEKDAY(B199,2)=6,WEEKDAY(B199,2)=7),'Month summary'!$D$11,IF(E199="",'Month summary'!$C$11,E199)),"")</f>
        <v>W</v>
      </c>
      <c r="G199" s="4">
        <f>IF(B199&lt;Time!$B$2,"",IF(F199='Month summary'!$C$11,'Month summary'!$F$2/24,IF(F199="H/2",'Month summary'!$F$2/24/2,0)))</f>
        <v>0.33333333333333331</v>
      </c>
      <c r="H199" s="4">
        <f t="shared" si="22"/>
        <v>0</v>
      </c>
      <c r="I199" s="4" t="str">
        <f t="shared" si="23"/>
        <v/>
      </c>
      <c r="J199" s="107"/>
      <c r="K199" s="38" t="str">
        <f>IFERROR(INDEX(TableTime[Time],MATCH(B199,TableTime[Date],0)),"")</f>
        <v/>
      </c>
      <c r="L199" s="4" t="str">
        <f>IF(SUMIFS(TableTime[Duration],TableTime[Date],B199,TableTime[Activity],Projects!$C$9)+SUMIFS(TableTime[Duration],TableTime[Date],B199,TableTime[Activity],Projects!$C$10)+SUMIFS(TableTime[Duration],TableTime[Date],B199,TableTime[Activity],Projects!$C$11)=0,"",SUMIFS(TableTime[Duration],TableTime[Date],B199,TableTime[Activity],Projects!$C$9)+SUMIFS(TableTime[Duration],TableTime[Date],B199,TableTime[Activity],Projects!$C$10)+SUMIFS(TableTime[Duration],TableTime[Date],B199,TableTime[Activity],Projects!$C$11))</f>
        <v/>
      </c>
      <c r="M199" s="4" t="str" cm="1">
        <f t="array" ref="M199">IFERROR(LOOKUP(2,1/(TableTime[Date]=B199),TableTime[Time]),"")</f>
        <v/>
      </c>
      <c r="N199" s="38" t="str">
        <f>IF(SUMIFS(TableTime[[Duration]:[Duration]],TableTime[[Date]:[Date]],$B199,TableTime[[Activity]:[Activity]],N$1)=0,"",SUMIFS(TableTime[[Duration]:[Duration]],TableTime[[Date]:[Date]],$B199,TableTime[[Activity]:[Activity]],N$1))</f>
        <v/>
      </c>
      <c r="O199" s="4" t="str">
        <f>IF(SUMIFS(TableTime[[Duration]:[Duration]],TableTime[[Date]:[Date]],$B199,TableTime[[Activity]:[Activity]],O$1)=0,"",SUMIFS(TableTime[[Duration]:[Duration]],TableTime[[Date]:[Date]],$B199,TableTime[[Activity]:[Activity]],O$1))</f>
        <v/>
      </c>
      <c r="P199" s="4" t="str">
        <f>IF(SUMIFS(TableTime[[Duration]:[Duration]],TableTime[[Date]:[Date]],$B199,TableTime[[Activity]:[Activity]],P$1)=0,"",SUMIFS(TableTime[[Duration]:[Duration]],TableTime[[Date]:[Date]],$B199,TableTime[[Activity]:[Activity]],P$1))</f>
        <v/>
      </c>
      <c r="Q199" s="4" t="str">
        <f>IF(SUMIFS(TableTime[[Duration]:[Duration]],TableTime[[Date]:[Date]],$B199,TableTime[[Activity]:[Activity]],Q$1)=0,"",SUMIFS(TableTime[[Duration]:[Duration]],TableTime[[Date]:[Date]],$B199,TableTime[[Activity]:[Activity]],Q$1))</f>
        <v/>
      </c>
      <c r="R199" s="4" t="str">
        <f>IF(SUMIFS(TableTime[[Duration]:[Duration]],TableTime[[Date]:[Date]],$B199,TableTime[[Activity]:[Activity]],R$1)=0,"",SUMIFS(TableTime[[Duration]:[Duration]],TableTime[[Date]:[Date]],$B199,TableTime[[Activity]:[Activity]],R$1))</f>
        <v/>
      </c>
      <c r="S199" s="130" t="str">
        <f>IF(SUMIFS(TableTime[[Duration]:[Duration]],TableTime[[Date]:[Date]],$B199,TableTime[[Activity]:[Activity]],S$1)=0,"",SUMIFS(TableTime[[Duration]:[Duration]],TableTime[[Date]:[Date]],$B199,TableTime[[Activity]:[Activity]],S$1))</f>
        <v/>
      </c>
      <c r="T199" s="4" t="str">
        <f>IF(SUMIFS(TableTime[[Duration]:[Duration]],TableTime[[Date]:[Date]],$B199,TableTime[[Activity]:[Activity]],T$1)=0,"",SUMIFS(TableTime[[Duration]:[Duration]],TableTime[[Date]:[Date]],$B199,TableTime[[Activity]:[Activity]],T$1))</f>
        <v/>
      </c>
      <c r="U199" s="39" t="str">
        <f>IF(SUMIFS(TableTime[[Duration]:[Duration]],TableTime[[Date]:[Date]],$B199,TableTime[[Activity]:[Activity]],U$1)=0,"",SUMIFS(TableTime[[Duration]:[Duration]],TableTime[[Date]:[Date]],$B199,TableTime[[Activity]:[Activity]],U$1))</f>
        <v/>
      </c>
    </row>
    <row r="200" spans="1:21" x14ac:dyDescent="0.35">
      <c r="A200" s="59" t="str">
        <f t="shared" si="18"/>
        <v>Tue</v>
      </c>
      <c r="B200" s="91">
        <f t="shared" si="20"/>
        <v>45125</v>
      </c>
      <c r="C200" s="60">
        <f t="shared" si="21"/>
        <v>7</v>
      </c>
      <c r="D200" s="61">
        <f t="shared" si="19"/>
        <v>29</v>
      </c>
      <c r="E200" s="103"/>
      <c r="F200" s="60" t="str">
        <f>IFERROR(IF(OR(WEEKDAY(B200,2)=6,WEEKDAY(B200,2)=7),'Month summary'!$D$11,IF(E200="",'Month summary'!$C$11,E200)),"")</f>
        <v>W</v>
      </c>
      <c r="G200" s="62">
        <f>IF(B200&lt;Time!$B$2,"",IF(F200='Month summary'!$C$11,'Month summary'!$F$2/24,IF(F200="H/2",'Month summary'!$F$2/24/2,0)))</f>
        <v>0.33333333333333331</v>
      </c>
      <c r="H200" s="62">
        <f t="shared" si="22"/>
        <v>0</v>
      </c>
      <c r="I200" s="62" t="str">
        <f t="shared" si="23"/>
        <v/>
      </c>
      <c r="J200" s="108"/>
      <c r="K200" s="63" t="str">
        <f>IFERROR(INDEX(TableTime[Time],MATCH(B200,TableTime[Date],0)),"")</f>
        <v/>
      </c>
      <c r="L200" s="62" t="str">
        <f>IF(SUMIFS(TableTime[Duration],TableTime[Date],B200,TableTime[Activity],Projects!$C$9)+SUMIFS(TableTime[Duration],TableTime[Date],B200,TableTime[Activity],Projects!$C$10)+SUMIFS(TableTime[Duration],TableTime[Date],B200,TableTime[Activity],Projects!$C$11)=0,"",SUMIFS(TableTime[Duration],TableTime[Date],B200,TableTime[Activity],Projects!$C$9)+SUMIFS(TableTime[Duration],TableTime[Date],B200,TableTime[Activity],Projects!$C$10)+SUMIFS(TableTime[Duration],TableTime[Date],B200,TableTime[Activity],Projects!$C$11))</f>
        <v/>
      </c>
      <c r="M200" s="62" t="str" cm="1">
        <f t="array" ref="M200">IFERROR(LOOKUP(2,1/(TableTime[Date]=B200),TableTime[Time]),"")</f>
        <v/>
      </c>
      <c r="N200" s="63" t="str">
        <f>IF(SUMIFS(TableTime[[Duration]:[Duration]],TableTime[[Date]:[Date]],$B200,TableTime[[Activity]:[Activity]],N$1)=0,"",SUMIFS(TableTime[[Duration]:[Duration]],TableTime[[Date]:[Date]],$B200,TableTime[[Activity]:[Activity]],N$1))</f>
        <v/>
      </c>
      <c r="O200" s="62" t="str">
        <f>IF(SUMIFS(TableTime[[Duration]:[Duration]],TableTime[[Date]:[Date]],$B200,TableTime[[Activity]:[Activity]],O$1)=0,"",SUMIFS(TableTime[[Duration]:[Duration]],TableTime[[Date]:[Date]],$B200,TableTime[[Activity]:[Activity]],O$1))</f>
        <v/>
      </c>
      <c r="P200" s="62" t="str">
        <f>IF(SUMIFS(TableTime[[Duration]:[Duration]],TableTime[[Date]:[Date]],$B200,TableTime[[Activity]:[Activity]],P$1)=0,"",SUMIFS(TableTime[[Duration]:[Duration]],TableTime[[Date]:[Date]],$B200,TableTime[[Activity]:[Activity]],P$1))</f>
        <v/>
      </c>
      <c r="Q200" s="62" t="str">
        <f>IF(SUMIFS(TableTime[[Duration]:[Duration]],TableTime[[Date]:[Date]],$B200,TableTime[[Activity]:[Activity]],Q$1)=0,"",SUMIFS(TableTime[[Duration]:[Duration]],TableTime[[Date]:[Date]],$B200,TableTime[[Activity]:[Activity]],Q$1))</f>
        <v/>
      </c>
      <c r="R200" s="62" t="str">
        <f>IF(SUMIFS(TableTime[[Duration]:[Duration]],TableTime[[Date]:[Date]],$B200,TableTime[[Activity]:[Activity]],R$1)=0,"",SUMIFS(TableTime[[Duration]:[Duration]],TableTime[[Date]:[Date]],$B200,TableTime[[Activity]:[Activity]],R$1))</f>
        <v/>
      </c>
      <c r="S200" s="131" t="str">
        <f>IF(SUMIFS(TableTime[[Duration]:[Duration]],TableTime[[Date]:[Date]],$B200,TableTime[[Activity]:[Activity]],S$1)=0,"",SUMIFS(TableTime[[Duration]:[Duration]],TableTime[[Date]:[Date]],$B200,TableTime[[Activity]:[Activity]],S$1))</f>
        <v/>
      </c>
      <c r="T200" s="62" t="str">
        <f>IF(SUMIFS(TableTime[[Duration]:[Duration]],TableTime[[Date]:[Date]],$B200,TableTime[[Activity]:[Activity]],T$1)=0,"",SUMIFS(TableTime[[Duration]:[Duration]],TableTime[[Date]:[Date]],$B200,TableTime[[Activity]:[Activity]],T$1))</f>
        <v/>
      </c>
      <c r="U200" s="64" t="str">
        <f>IF(SUMIFS(TableTime[[Duration]:[Duration]],TableTime[[Date]:[Date]],$B200,TableTime[[Activity]:[Activity]],U$1)=0,"",SUMIFS(TableTime[[Duration]:[Duration]],TableTime[[Date]:[Date]],$B200,TableTime[[Activity]:[Activity]],U$1))</f>
        <v/>
      </c>
    </row>
    <row r="201" spans="1:21" x14ac:dyDescent="0.35">
      <c r="A201" s="35" t="str">
        <f t="shared" si="18"/>
        <v>Wed</v>
      </c>
      <c r="B201" s="5">
        <f t="shared" si="20"/>
        <v>45126</v>
      </c>
      <c r="C201" s="1">
        <f t="shared" si="21"/>
        <v>7</v>
      </c>
      <c r="D201" s="2">
        <f t="shared" si="19"/>
        <v>29</v>
      </c>
      <c r="E201" s="102"/>
      <c r="F201" s="1" t="str">
        <f>IFERROR(IF(OR(WEEKDAY(B201,2)=6,WEEKDAY(B201,2)=7),'Month summary'!$D$11,IF(E201="",'Month summary'!$C$11,E201)),"")</f>
        <v>W</v>
      </c>
      <c r="G201" s="4">
        <f>IF(B201&lt;Time!$B$2,"",IF(F201='Month summary'!$C$11,'Month summary'!$F$2/24,IF(F201="H/2",'Month summary'!$F$2/24/2,0)))</f>
        <v>0.33333333333333331</v>
      </c>
      <c r="H201" s="4">
        <f t="shared" si="22"/>
        <v>0</v>
      </c>
      <c r="I201" s="4" t="str">
        <f t="shared" si="23"/>
        <v/>
      </c>
      <c r="J201" s="107"/>
      <c r="K201" s="38" t="str">
        <f>IFERROR(INDEX(TableTime[Time],MATCH(B201,TableTime[Date],0)),"")</f>
        <v/>
      </c>
      <c r="L201" s="4" t="str">
        <f>IF(SUMIFS(TableTime[Duration],TableTime[Date],B201,TableTime[Activity],Projects!$C$9)+SUMIFS(TableTime[Duration],TableTime[Date],B201,TableTime[Activity],Projects!$C$10)+SUMIFS(TableTime[Duration],TableTime[Date],B201,TableTime[Activity],Projects!$C$11)=0,"",SUMIFS(TableTime[Duration],TableTime[Date],B201,TableTime[Activity],Projects!$C$9)+SUMIFS(TableTime[Duration],TableTime[Date],B201,TableTime[Activity],Projects!$C$10)+SUMIFS(TableTime[Duration],TableTime[Date],B201,TableTime[Activity],Projects!$C$11))</f>
        <v/>
      </c>
      <c r="M201" s="4" t="str" cm="1">
        <f t="array" ref="M201">IFERROR(LOOKUP(2,1/(TableTime[Date]=B201),TableTime[Time]),"")</f>
        <v/>
      </c>
      <c r="N201" s="38" t="str">
        <f>IF(SUMIFS(TableTime[[Duration]:[Duration]],TableTime[[Date]:[Date]],$B201,TableTime[[Activity]:[Activity]],N$1)=0,"",SUMIFS(TableTime[[Duration]:[Duration]],TableTime[[Date]:[Date]],$B201,TableTime[[Activity]:[Activity]],N$1))</f>
        <v/>
      </c>
      <c r="O201" s="4" t="str">
        <f>IF(SUMIFS(TableTime[[Duration]:[Duration]],TableTime[[Date]:[Date]],$B201,TableTime[[Activity]:[Activity]],O$1)=0,"",SUMIFS(TableTime[[Duration]:[Duration]],TableTime[[Date]:[Date]],$B201,TableTime[[Activity]:[Activity]],O$1))</f>
        <v/>
      </c>
      <c r="P201" s="4" t="str">
        <f>IF(SUMIFS(TableTime[[Duration]:[Duration]],TableTime[[Date]:[Date]],$B201,TableTime[[Activity]:[Activity]],P$1)=0,"",SUMIFS(TableTime[[Duration]:[Duration]],TableTime[[Date]:[Date]],$B201,TableTime[[Activity]:[Activity]],P$1))</f>
        <v/>
      </c>
      <c r="Q201" s="4" t="str">
        <f>IF(SUMIFS(TableTime[[Duration]:[Duration]],TableTime[[Date]:[Date]],$B201,TableTime[[Activity]:[Activity]],Q$1)=0,"",SUMIFS(TableTime[[Duration]:[Duration]],TableTime[[Date]:[Date]],$B201,TableTime[[Activity]:[Activity]],Q$1))</f>
        <v/>
      </c>
      <c r="R201" s="4" t="str">
        <f>IF(SUMIFS(TableTime[[Duration]:[Duration]],TableTime[[Date]:[Date]],$B201,TableTime[[Activity]:[Activity]],R$1)=0,"",SUMIFS(TableTime[[Duration]:[Duration]],TableTime[[Date]:[Date]],$B201,TableTime[[Activity]:[Activity]],R$1))</f>
        <v/>
      </c>
      <c r="S201" s="130" t="str">
        <f>IF(SUMIFS(TableTime[[Duration]:[Duration]],TableTime[[Date]:[Date]],$B201,TableTime[[Activity]:[Activity]],S$1)=0,"",SUMIFS(TableTime[[Duration]:[Duration]],TableTime[[Date]:[Date]],$B201,TableTime[[Activity]:[Activity]],S$1))</f>
        <v/>
      </c>
      <c r="T201" s="4" t="str">
        <f>IF(SUMIFS(TableTime[[Duration]:[Duration]],TableTime[[Date]:[Date]],$B201,TableTime[[Activity]:[Activity]],T$1)=0,"",SUMIFS(TableTime[[Duration]:[Duration]],TableTime[[Date]:[Date]],$B201,TableTime[[Activity]:[Activity]],T$1))</f>
        <v/>
      </c>
      <c r="U201" s="39" t="str">
        <f>IF(SUMIFS(TableTime[[Duration]:[Duration]],TableTime[[Date]:[Date]],$B201,TableTime[[Activity]:[Activity]],U$1)=0,"",SUMIFS(TableTime[[Duration]:[Duration]],TableTime[[Date]:[Date]],$B201,TableTime[[Activity]:[Activity]],U$1))</f>
        <v/>
      </c>
    </row>
    <row r="202" spans="1:21" x14ac:dyDescent="0.35">
      <c r="A202" s="59" t="str">
        <f t="shared" si="18"/>
        <v>Thr</v>
      </c>
      <c r="B202" s="91">
        <f t="shared" si="20"/>
        <v>45127</v>
      </c>
      <c r="C202" s="60">
        <f t="shared" si="21"/>
        <v>7</v>
      </c>
      <c r="D202" s="61">
        <f t="shared" si="19"/>
        <v>29</v>
      </c>
      <c r="E202" s="103"/>
      <c r="F202" s="60" t="str">
        <f>IFERROR(IF(OR(WEEKDAY(B202,2)=6,WEEKDAY(B202,2)=7),'Month summary'!$D$11,IF(E202="",'Month summary'!$C$11,E202)),"")</f>
        <v>W</v>
      </c>
      <c r="G202" s="62">
        <f>IF(B202&lt;Time!$B$2,"",IF(F202='Month summary'!$C$11,'Month summary'!$F$2/24,IF(F202="H/2",'Month summary'!$F$2/24/2,0)))</f>
        <v>0.33333333333333331</v>
      </c>
      <c r="H202" s="62">
        <f t="shared" si="22"/>
        <v>0</v>
      </c>
      <c r="I202" s="62" t="str">
        <f t="shared" si="23"/>
        <v/>
      </c>
      <c r="J202" s="108"/>
      <c r="K202" s="63" t="str">
        <f>IFERROR(INDEX(TableTime[Time],MATCH(B202,TableTime[Date],0)),"")</f>
        <v/>
      </c>
      <c r="L202" s="62" t="str">
        <f>IF(SUMIFS(TableTime[Duration],TableTime[Date],B202,TableTime[Activity],Projects!$C$9)+SUMIFS(TableTime[Duration],TableTime[Date],B202,TableTime[Activity],Projects!$C$10)+SUMIFS(TableTime[Duration],TableTime[Date],B202,TableTime[Activity],Projects!$C$11)=0,"",SUMIFS(TableTime[Duration],TableTime[Date],B202,TableTime[Activity],Projects!$C$9)+SUMIFS(TableTime[Duration],TableTime[Date],B202,TableTime[Activity],Projects!$C$10)+SUMIFS(TableTime[Duration],TableTime[Date],B202,TableTime[Activity],Projects!$C$11))</f>
        <v/>
      </c>
      <c r="M202" s="62" t="str" cm="1">
        <f t="array" ref="M202">IFERROR(LOOKUP(2,1/(TableTime[Date]=B202),TableTime[Time]),"")</f>
        <v/>
      </c>
      <c r="N202" s="63" t="str">
        <f>IF(SUMIFS(TableTime[[Duration]:[Duration]],TableTime[[Date]:[Date]],$B202,TableTime[[Activity]:[Activity]],N$1)=0,"",SUMIFS(TableTime[[Duration]:[Duration]],TableTime[[Date]:[Date]],$B202,TableTime[[Activity]:[Activity]],N$1))</f>
        <v/>
      </c>
      <c r="O202" s="62" t="str">
        <f>IF(SUMIFS(TableTime[[Duration]:[Duration]],TableTime[[Date]:[Date]],$B202,TableTime[[Activity]:[Activity]],O$1)=0,"",SUMIFS(TableTime[[Duration]:[Duration]],TableTime[[Date]:[Date]],$B202,TableTime[[Activity]:[Activity]],O$1))</f>
        <v/>
      </c>
      <c r="P202" s="62" t="str">
        <f>IF(SUMIFS(TableTime[[Duration]:[Duration]],TableTime[[Date]:[Date]],$B202,TableTime[[Activity]:[Activity]],P$1)=0,"",SUMIFS(TableTime[[Duration]:[Duration]],TableTime[[Date]:[Date]],$B202,TableTime[[Activity]:[Activity]],P$1))</f>
        <v/>
      </c>
      <c r="Q202" s="62" t="str">
        <f>IF(SUMIFS(TableTime[[Duration]:[Duration]],TableTime[[Date]:[Date]],$B202,TableTime[[Activity]:[Activity]],Q$1)=0,"",SUMIFS(TableTime[[Duration]:[Duration]],TableTime[[Date]:[Date]],$B202,TableTime[[Activity]:[Activity]],Q$1))</f>
        <v/>
      </c>
      <c r="R202" s="62" t="str">
        <f>IF(SUMIFS(TableTime[[Duration]:[Duration]],TableTime[[Date]:[Date]],$B202,TableTime[[Activity]:[Activity]],R$1)=0,"",SUMIFS(TableTime[[Duration]:[Duration]],TableTime[[Date]:[Date]],$B202,TableTime[[Activity]:[Activity]],R$1))</f>
        <v/>
      </c>
      <c r="S202" s="131" t="str">
        <f>IF(SUMIFS(TableTime[[Duration]:[Duration]],TableTime[[Date]:[Date]],$B202,TableTime[[Activity]:[Activity]],S$1)=0,"",SUMIFS(TableTime[[Duration]:[Duration]],TableTime[[Date]:[Date]],$B202,TableTime[[Activity]:[Activity]],S$1))</f>
        <v/>
      </c>
      <c r="T202" s="62" t="str">
        <f>IF(SUMIFS(TableTime[[Duration]:[Duration]],TableTime[[Date]:[Date]],$B202,TableTime[[Activity]:[Activity]],T$1)=0,"",SUMIFS(TableTime[[Duration]:[Duration]],TableTime[[Date]:[Date]],$B202,TableTime[[Activity]:[Activity]],T$1))</f>
        <v/>
      </c>
      <c r="U202" s="64" t="str">
        <f>IF(SUMIFS(TableTime[[Duration]:[Duration]],TableTime[[Date]:[Date]],$B202,TableTime[[Activity]:[Activity]],U$1)=0,"",SUMIFS(TableTime[[Duration]:[Duration]],TableTime[[Date]:[Date]],$B202,TableTime[[Activity]:[Activity]],U$1))</f>
        <v/>
      </c>
    </row>
    <row r="203" spans="1:21" x14ac:dyDescent="0.35">
      <c r="A203" s="35" t="str">
        <f t="shared" si="18"/>
        <v>Fri</v>
      </c>
      <c r="B203" s="5">
        <f t="shared" si="20"/>
        <v>45128</v>
      </c>
      <c r="C203" s="1">
        <f t="shared" si="21"/>
        <v>7</v>
      </c>
      <c r="D203" s="2">
        <f t="shared" si="19"/>
        <v>29</v>
      </c>
      <c r="E203" s="102"/>
      <c r="F203" s="1" t="str">
        <f>IFERROR(IF(OR(WEEKDAY(B203,2)=6,WEEKDAY(B203,2)=7),'Month summary'!$D$11,IF(E203="",'Month summary'!$C$11,E203)),"")</f>
        <v>W</v>
      </c>
      <c r="G203" s="4">
        <f>IF(B203&lt;Time!$B$2,"",IF(F203='Month summary'!$C$11,'Month summary'!$F$2/24,IF(F203="H/2",'Month summary'!$F$2/24/2,0)))</f>
        <v>0.33333333333333331</v>
      </c>
      <c r="H203" s="4">
        <f t="shared" si="22"/>
        <v>0</v>
      </c>
      <c r="I203" s="4" t="str">
        <f t="shared" si="23"/>
        <v/>
      </c>
      <c r="J203" s="107"/>
      <c r="K203" s="38" t="str">
        <f>IFERROR(INDEX(TableTime[Time],MATCH(B203,TableTime[Date],0)),"")</f>
        <v/>
      </c>
      <c r="L203" s="4" t="str">
        <f>IF(SUMIFS(TableTime[Duration],TableTime[Date],B203,TableTime[Activity],Projects!$C$9)+SUMIFS(TableTime[Duration],TableTime[Date],B203,TableTime[Activity],Projects!$C$10)+SUMIFS(TableTime[Duration],TableTime[Date],B203,TableTime[Activity],Projects!$C$11)=0,"",SUMIFS(TableTime[Duration],TableTime[Date],B203,TableTime[Activity],Projects!$C$9)+SUMIFS(TableTime[Duration],TableTime[Date],B203,TableTime[Activity],Projects!$C$10)+SUMIFS(TableTime[Duration],TableTime[Date],B203,TableTime[Activity],Projects!$C$11))</f>
        <v/>
      </c>
      <c r="M203" s="4" t="str" cm="1">
        <f t="array" ref="M203">IFERROR(LOOKUP(2,1/(TableTime[Date]=B203),TableTime[Time]),"")</f>
        <v/>
      </c>
      <c r="N203" s="38" t="str">
        <f>IF(SUMIFS(TableTime[[Duration]:[Duration]],TableTime[[Date]:[Date]],$B203,TableTime[[Activity]:[Activity]],N$1)=0,"",SUMIFS(TableTime[[Duration]:[Duration]],TableTime[[Date]:[Date]],$B203,TableTime[[Activity]:[Activity]],N$1))</f>
        <v/>
      </c>
      <c r="O203" s="4" t="str">
        <f>IF(SUMIFS(TableTime[[Duration]:[Duration]],TableTime[[Date]:[Date]],$B203,TableTime[[Activity]:[Activity]],O$1)=0,"",SUMIFS(TableTime[[Duration]:[Duration]],TableTime[[Date]:[Date]],$B203,TableTime[[Activity]:[Activity]],O$1))</f>
        <v/>
      </c>
      <c r="P203" s="4" t="str">
        <f>IF(SUMIFS(TableTime[[Duration]:[Duration]],TableTime[[Date]:[Date]],$B203,TableTime[[Activity]:[Activity]],P$1)=0,"",SUMIFS(TableTime[[Duration]:[Duration]],TableTime[[Date]:[Date]],$B203,TableTime[[Activity]:[Activity]],P$1))</f>
        <v/>
      </c>
      <c r="Q203" s="4" t="str">
        <f>IF(SUMIFS(TableTime[[Duration]:[Duration]],TableTime[[Date]:[Date]],$B203,TableTime[[Activity]:[Activity]],Q$1)=0,"",SUMIFS(TableTime[[Duration]:[Duration]],TableTime[[Date]:[Date]],$B203,TableTime[[Activity]:[Activity]],Q$1))</f>
        <v/>
      </c>
      <c r="R203" s="4" t="str">
        <f>IF(SUMIFS(TableTime[[Duration]:[Duration]],TableTime[[Date]:[Date]],$B203,TableTime[[Activity]:[Activity]],R$1)=0,"",SUMIFS(TableTime[[Duration]:[Duration]],TableTime[[Date]:[Date]],$B203,TableTime[[Activity]:[Activity]],R$1))</f>
        <v/>
      </c>
      <c r="S203" s="130" t="str">
        <f>IF(SUMIFS(TableTime[[Duration]:[Duration]],TableTime[[Date]:[Date]],$B203,TableTime[[Activity]:[Activity]],S$1)=0,"",SUMIFS(TableTime[[Duration]:[Duration]],TableTime[[Date]:[Date]],$B203,TableTime[[Activity]:[Activity]],S$1))</f>
        <v/>
      </c>
      <c r="T203" s="4" t="str">
        <f>IF(SUMIFS(TableTime[[Duration]:[Duration]],TableTime[[Date]:[Date]],$B203,TableTime[[Activity]:[Activity]],T$1)=0,"",SUMIFS(TableTime[[Duration]:[Duration]],TableTime[[Date]:[Date]],$B203,TableTime[[Activity]:[Activity]],T$1))</f>
        <v/>
      </c>
      <c r="U203" s="39" t="str">
        <f>IF(SUMIFS(TableTime[[Duration]:[Duration]],TableTime[[Date]:[Date]],$B203,TableTime[[Activity]:[Activity]],U$1)=0,"",SUMIFS(TableTime[[Duration]:[Duration]],TableTime[[Date]:[Date]],$B203,TableTime[[Activity]:[Activity]],U$1))</f>
        <v/>
      </c>
    </row>
    <row r="204" spans="1:21" x14ac:dyDescent="0.35">
      <c r="A204" s="59" t="str">
        <f t="shared" si="18"/>
        <v>Sat</v>
      </c>
      <c r="B204" s="91">
        <f t="shared" si="20"/>
        <v>45129</v>
      </c>
      <c r="C204" s="60">
        <f t="shared" si="21"/>
        <v>7</v>
      </c>
      <c r="D204" s="61">
        <f t="shared" si="19"/>
        <v>29</v>
      </c>
      <c r="E204" s="103"/>
      <c r="F204" s="60" t="str">
        <f>IFERROR(IF(OR(WEEKDAY(B204,2)=6,WEEKDAY(B204,2)=7),'Month summary'!$D$11,IF(E204="",'Month summary'!$C$11,E204)),"")</f>
        <v>WE</v>
      </c>
      <c r="G204" s="62">
        <f>IF(B204&lt;Time!$B$2,"",IF(F204='Month summary'!$C$11,'Month summary'!$F$2/24,IF(F204="H/2",'Month summary'!$F$2/24/2,0)))</f>
        <v>0</v>
      </c>
      <c r="H204" s="62">
        <f t="shared" si="22"/>
        <v>0</v>
      </c>
      <c r="I204" s="62" t="str">
        <f t="shared" si="23"/>
        <v/>
      </c>
      <c r="J204" s="108"/>
      <c r="K204" s="63" t="str">
        <f>IFERROR(INDEX(TableTime[Time],MATCH(B204,TableTime[Date],0)),"")</f>
        <v/>
      </c>
      <c r="L204" s="62" t="str">
        <f>IF(SUMIFS(TableTime[Duration],TableTime[Date],B204,TableTime[Activity],Projects!$C$9)+SUMIFS(TableTime[Duration],TableTime[Date],B204,TableTime[Activity],Projects!$C$10)+SUMIFS(TableTime[Duration],TableTime[Date],B204,TableTime[Activity],Projects!$C$11)=0,"",SUMIFS(TableTime[Duration],TableTime[Date],B204,TableTime[Activity],Projects!$C$9)+SUMIFS(TableTime[Duration],TableTime[Date],B204,TableTime[Activity],Projects!$C$10)+SUMIFS(TableTime[Duration],TableTime[Date],B204,TableTime[Activity],Projects!$C$11))</f>
        <v/>
      </c>
      <c r="M204" s="62" t="str" cm="1">
        <f t="array" ref="M204">IFERROR(LOOKUP(2,1/(TableTime[Date]=B204),TableTime[Time]),"")</f>
        <v/>
      </c>
      <c r="N204" s="63" t="str">
        <f>IF(SUMIFS(TableTime[[Duration]:[Duration]],TableTime[[Date]:[Date]],$B204,TableTime[[Activity]:[Activity]],N$1)=0,"",SUMIFS(TableTime[[Duration]:[Duration]],TableTime[[Date]:[Date]],$B204,TableTime[[Activity]:[Activity]],N$1))</f>
        <v/>
      </c>
      <c r="O204" s="62" t="str">
        <f>IF(SUMIFS(TableTime[[Duration]:[Duration]],TableTime[[Date]:[Date]],$B204,TableTime[[Activity]:[Activity]],O$1)=0,"",SUMIFS(TableTime[[Duration]:[Duration]],TableTime[[Date]:[Date]],$B204,TableTime[[Activity]:[Activity]],O$1))</f>
        <v/>
      </c>
      <c r="P204" s="62" t="str">
        <f>IF(SUMIFS(TableTime[[Duration]:[Duration]],TableTime[[Date]:[Date]],$B204,TableTime[[Activity]:[Activity]],P$1)=0,"",SUMIFS(TableTime[[Duration]:[Duration]],TableTime[[Date]:[Date]],$B204,TableTime[[Activity]:[Activity]],P$1))</f>
        <v/>
      </c>
      <c r="Q204" s="62" t="str">
        <f>IF(SUMIFS(TableTime[[Duration]:[Duration]],TableTime[[Date]:[Date]],$B204,TableTime[[Activity]:[Activity]],Q$1)=0,"",SUMIFS(TableTime[[Duration]:[Duration]],TableTime[[Date]:[Date]],$B204,TableTime[[Activity]:[Activity]],Q$1))</f>
        <v/>
      </c>
      <c r="R204" s="62" t="str">
        <f>IF(SUMIFS(TableTime[[Duration]:[Duration]],TableTime[[Date]:[Date]],$B204,TableTime[[Activity]:[Activity]],R$1)=0,"",SUMIFS(TableTime[[Duration]:[Duration]],TableTime[[Date]:[Date]],$B204,TableTime[[Activity]:[Activity]],R$1))</f>
        <v/>
      </c>
      <c r="S204" s="131" t="str">
        <f>IF(SUMIFS(TableTime[[Duration]:[Duration]],TableTime[[Date]:[Date]],$B204,TableTime[[Activity]:[Activity]],S$1)=0,"",SUMIFS(TableTime[[Duration]:[Duration]],TableTime[[Date]:[Date]],$B204,TableTime[[Activity]:[Activity]],S$1))</f>
        <v/>
      </c>
      <c r="T204" s="62" t="str">
        <f>IF(SUMIFS(TableTime[[Duration]:[Duration]],TableTime[[Date]:[Date]],$B204,TableTime[[Activity]:[Activity]],T$1)=0,"",SUMIFS(TableTime[[Duration]:[Duration]],TableTime[[Date]:[Date]],$B204,TableTime[[Activity]:[Activity]],T$1))</f>
        <v/>
      </c>
      <c r="U204" s="64" t="str">
        <f>IF(SUMIFS(TableTime[[Duration]:[Duration]],TableTime[[Date]:[Date]],$B204,TableTime[[Activity]:[Activity]],U$1)=0,"",SUMIFS(TableTime[[Duration]:[Duration]],TableTime[[Date]:[Date]],$B204,TableTime[[Activity]:[Activity]],U$1))</f>
        <v/>
      </c>
    </row>
    <row r="205" spans="1:21" x14ac:dyDescent="0.35">
      <c r="A205" s="35" t="str">
        <f t="shared" si="18"/>
        <v>Sun</v>
      </c>
      <c r="B205" s="5">
        <f t="shared" si="20"/>
        <v>45130</v>
      </c>
      <c r="C205" s="1">
        <f t="shared" si="21"/>
        <v>7</v>
      </c>
      <c r="D205" s="2">
        <f t="shared" si="19"/>
        <v>29</v>
      </c>
      <c r="E205" s="102"/>
      <c r="F205" s="1" t="str">
        <f>IFERROR(IF(OR(WEEKDAY(B205,2)=6,WEEKDAY(B205,2)=7),'Month summary'!$D$11,IF(E205="",'Month summary'!$C$11,E205)),"")</f>
        <v>WE</v>
      </c>
      <c r="G205" s="4">
        <f>IF(B205&lt;Time!$B$2,"",IF(F205='Month summary'!$C$11,'Month summary'!$F$2/24,IF(F205="H/2",'Month summary'!$F$2/24/2,0)))</f>
        <v>0</v>
      </c>
      <c r="H205" s="4">
        <f t="shared" si="22"/>
        <v>0</v>
      </c>
      <c r="I205" s="4" t="str">
        <f t="shared" si="23"/>
        <v/>
      </c>
      <c r="J205" s="107"/>
      <c r="K205" s="38" t="str">
        <f>IFERROR(INDEX(TableTime[Time],MATCH(B205,TableTime[Date],0)),"")</f>
        <v/>
      </c>
      <c r="L205" s="4" t="str">
        <f>IF(SUMIFS(TableTime[Duration],TableTime[Date],B205,TableTime[Activity],Projects!$C$9)+SUMIFS(TableTime[Duration],TableTime[Date],B205,TableTime[Activity],Projects!$C$10)+SUMIFS(TableTime[Duration],TableTime[Date],B205,TableTime[Activity],Projects!$C$11)=0,"",SUMIFS(TableTime[Duration],TableTime[Date],B205,TableTime[Activity],Projects!$C$9)+SUMIFS(TableTime[Duration],TableTime[Date],B205,TableTime[Activity],Projects!$C$10)+SUMIFS(TableTime[Duration],TableTime[Date],B205,TableTime[Activity],Projects!$C$11))</f>
        <v/>
      </c>
      <c r="M205" s="4" t="str" cm="1">
        <f t="array" ref="M205">IFERROR(LOOKUP(2,1/(TableTime[Date]=B205),TableTime[Time]),"")</f>
        <v/>
      </c>
      <c r="N205" s="38" t="str">
        <f>IF(SUMIFS(TableTime[[Duration]:[Duration]],TableTime[[Date]:[Date]],$B205,TableTime[[Activity]:[Activity]],N$1)=0,"",SUMIFS(TableTime[[Duration]:[Duration]],TableTime[[Date]:[Date]],$B205,TableTime[[Activity]:[Activity]],N$1))</f>
        <v/>
      </c>
      <c r="O205" s="4" t="str">
        <f>IF(SUMIFS(TableTime[[Duration]:[Duration]],TableTime[[Date]:[Date]],$B205,TableTime[[Activity]:[Activity]],O$1)=0,"",SUMIFS(TableTime[[Duration]:[Duration]],TableTime[[Date]:[Date]],$B205,TableTime[[Activity]:[Activity]],O$1))</f>
        <v/>
      </c>
      <c r="P205" s="4" t="str">
        <f>IF(SUMIFS(TableTime[[Duration]:[Duration]],TableTime[[Date]:[Date]],$B205,TableTime[[Activity]:[Activity]],P$1)=0,"",SUMIFS(TableTime[[Duration]:[Duration]],TableTime[[Date]:[Date]],$B205,TableTime[[Activity]:[Activity]],P$1))</f>
        <v/>
      </c>
      <c r="Q205" s="4" t="str">
        <f>IF(SUMIFS(TableTime[[Duration]:[Duration]],TableTime[[Date]:[Date]],$B205,TableTime[[Activity]:[Activity]],Q$1)=0,"",SUMIFS(TableTime[[Duration]:[Duration]],TableTime[[Date]:[Date]],$B205,TableTime[[Activity]:[Activity]],Q$1))</f>
        <v/>
      </c>
      <c r="R205" s="4" t="str">
        <f>IF(SUMIFS(TableTime[[Duration]:[Duration]],TableTime[[Date]:[Date]],$B205,TableTime[[Activity]:[Activity]],R$1)=0,"",SUMIFS(TableTime[[Duration]:[Duration]],TableTime[[Date]:[Date]],$B205,TableTime[[Activity]:[Activity]],R$1))</f>
        <v/>
      </c>
      <c r="S205" s="130" t="str">
        <f>IF(SUMIFS(TableTime[[Duration]:[Duration]],TableTime[[Date]:[Date]],$B205,TableTime[[Activity]:[Activity]],S$1)=0,"",SUMIFS(TableTime[[Duration]:[Duration]],TableTime[[Date]:[Date]],$B205,TableTime[[Activity]:[Activity]],S$1))</f>
        <v/>
      </c>
      <c r="T205" s="4" t="str">
        <f>IF(SUMIFS(TableTime[[Duration]:[Duration]],TableTime[[Date]:[Date]],$B205,TableTime[[Activity]:[Activity]],T$1)=0,"",SUMIFS(TableTime[[Duration]:[Duration]],TableTime[[Date]:[Date]],$B205,TableTime[[Activity]:[Activity]],T$1))</f>
        <v/>
      </c>
      <c r="U205" s="39" t="str">
        <f>IF(SUMIFS(TableTime[[Duration]:[Duration]],TableTime[[Date]:[Date]],$B205,TableTime[[Activity]:[Activity]],U$1)=0,"",SUMIFS(TableTime[[Duration]:[Duration]],TableTime[[Date]:[Date]],$B205,TableTime[[Activity]:[Activity]],U$1))</f>
        <v/>
      </c>
    </row>
    <row r="206" spans="1:21" x14ac:dyDescent="0.35">
      <c r="A206" s="59" t="str">
        <f t="shared" si="18"/>
        <v>Mon</v>
      </c>
      <c r="B206" s="91">
        <f t="shared" si="20"/>
        <v>45131</v>
      </c>
      <c r="C206" s="60">
        <f t="shared" si="21"/>
        <v>7</v>
      </c>
      <c r="D206" s="61">
        <f t="shared" si="19"/>
        <v>30</v>
      </c>
      <c r="E206" s="103"/>
      <c r="F206" s="60" t="str">
        <f>IFERROR(IF(OR(WEEKDAY(B206,2)=6,WEEKDAY(B206,2)=7),'Month summary'!$D$11,IF(E206="",'Month summary'!$C$11,E206)),"")</f>
        <v>W</v>
      </c>
      <c r="G206" s="62">
        <f>IF(B206&lt;Time!$B$2,"",IF(F206='Month summary'!$C$11,'Month summary'!$F$2/24,IF(F206="H/2",'Month summary'!$F$2/24/2,0)))</f>
        <v>0.33333333333333331</v>
      </c>
      <c r="H206" s="62">
        <f t="shared" si="22"/>
        <v>0</v>
      </c>
      <c r="I206" s="62" t="str">
        <f t="shared" si="23"/>
        <v/>
      </c>
      <c r="J206" s="108"/>
      <c r="K206" s="63" t="str">
        <f>IFERROR(INDEX(TableTime[Time],MATCH(B206,TableTime[Date],0)),"")</f>
        <v/>
      </c>
      <c r="L206" s="62" t="str">
        <f>IF(SUMIFS(TableTime[Duration],TableTime[Date],B206,TableTime[Activity],Projects!$C$9)+SUMIFS(TableTime[Duration],TableTime[Date],B206,TableTime[Activity],Projects!$C$10)+SUMIFS(TableTime[Duration],TableTime[Date],B206,TableTime[Activity],Projects!$C$11)=0,"",SUMIFS(TableTime[Duration],TableTime[Date],B206,TableTime[Activity],Projects!$C$9)+SUMIFS(TableTime[Duration],TableTime[Date],B206,TableTime[Activity],Projects!$C$10)+SUMIFS(TableTime[Duration],TableTime[Date],B206,TableTime[Activity],Projects!$C$11))</f>
        <v/>
      </c>
      <c r="M206" s="62" t="str" cm="1">
        <f t="array" ref="M206">IFERROR(LOOKUP(2,1/(TableTime[Date]=B206),TableTime[Time]),"")</f>
        <v/>
      </c>
      <c r="N206" s="63" t="str">
        <f>IF(SUMIFS(TableTime[[Duration]:[Duration]],TableTime[[Date]:[Date]],$B206,TableTime[[Activity]:[Activity]],N$1)=0,"",SUMIFS(TableTime[[Duration]:[Duration]],TableTime[[Date]:[Date]],$B206,TableTime[[Activity]:[Activity]],N$1))</f>
        <v/>
      </c>
      <c r="O206" s="62" t="str">
        <f>IF(SUMIFS(TableTime[[Duration]:[Duration]],TableTime[[Date]:[Date]],$B206,TableTime[[Activity]:[Activity]],O$1)=0,"",SUMIFS(TableTime[[Duration]:[Duration]],TableTime[[Date]:[Date]],$B206,TableTime[[Activity]:[Activity]],O$1))</f>
        <v/>
      </c>
      <c r="P206" s="62" t="str">
        <f>IF(SUMIFS(TableTime[[Duration]:[Duration]],TableTime[[Date]:[Date]],$B206,TableTime[[Activity]:[Activity]],P$1)=0,"",SUMIFS(TableTime[[Duration]:[Duration]],TableTime[[Date]:[Date]],$B206,TableTime[[Activity]:[Activity]],P$1))</f>
        <v/>
      </c>
      <c r="Q206" s="62" t="str">
        <f>IF(SUMIFS(TableTime[[Duration]:[Duration]],TableTime[[Date]:[Date]],$B206,TableTime[[Activity]:[Activity]],Q$1)=0,"",SUMIFS(TableTime[[Duration]:[Duration]],TableTime[[Date]:[Date]],$B206,TableTime[[Activity]:[Activity]],Q$1))</f>
        <v/>
      </c>
      <c r="R206" s="62" t="str">
        <f>IF(SUMIFS(TableTime[[Duration]:[Duration]],TableTime[[Date]:[Date]],$B206,TableTime[[Activity]:[Activity]],R$1)=0,"",SUMIFS(TableTime[[Duration]:[Duration]],TableTime[[Date]:[Date]],$B206,TableTime[[Activity]:[Activity]],R$1))</f>
        <v/>
      </c>
      <c r="S206" s="131" t="str">
        <f>IF(SUMIFS(TableTime[[Duration]:[Duration]],TableTime[[Date]:[Date]],$B206,TableTime[[Activity]:[Activity]],S$1)=0,"",SUMIFS(TableTime[[Duration]:[Duration]],TableTime[[Date]:[Date]],$B206,TableTime[[Activity]:[Activity]],S$1))</f>
        <v/>
      </c>
      <c r="T206" s="62" t="str">
        <f>IF(SUMIFS(TableTime[[Duration]:[Duration]],TableTime[[Date]:[Date]],$B206,TableTime[[Activity]:[Activity]],T$1)=0,"",SUMIFS(TableTime[[Duration]:[Duration]],TableTime[[Date]:[Date]],$B206,TableTime[[Activity]:[Activity]],T$1))</f>
        <v/>
      </c>
      <c r="U206" s="64" t="str">
        <f>IF(SUMIFS(TableTime[[Duration]:[Duration]],TableTime[[Date]:[Date]],$B206,TableTime[[Activity]:[Activity]],U$1)=0,"",SUMIFS(TableTime[[Duration]:[Duration]],TableTime[[Date]:[Date]],$B206,TableTime[[Activity]:[Activity]],U$1))</f>
        <v/>
      </c>
    </row>
    <row r="207" spans="1:21" x14ac:dyDescent="0.35">
      <c r="A207" s="35" t="str">
        <f t="shared" si="18"/>
        <v>Tue</v>
      </c>
      <c r="B207" s="5">
        <f t="shared" si="20"/>
        <v>45132</v>
      </c>
      <c r="C207" s="1">
        <f t="shared" si="21"/>
        <v>7</v>
      </c>
      <c r="D207" s="2">
        <f t="shared" si="19"/>
        <v>30</v>
      </c>
      <c r="E207" s="102"/>
      <c r="F207" s="1" t="str">
        <f>IFERROR(IF(OR(WEEKDAY(B207,2)=6,WEEKDAY(B207,2)=7),'Month summary'!$D$11,IF(E207="",'Month summary'!$C$11,E207)),"")</f>
        <v>W</v>
      </c>
      <c r="G207" s="4">
        <f>IF(B207&lt;Time!$B$2,"",IF(F207='Month summary'!$C$11,'Month summary'!$F$2/24,IF(F207="H/2",'Month summary'!$F$2/24/2,0)))</f>
        <v>0.33333333333333331</v>
      </c>
      <c r="H207" s="4">
        <f t="shared" si="22"/>
        <v>0</v>
      </c>
      <c r="I207" s="4" t="str">
        <f t="shared" si="23"/>
        <v/>
      </c>
      <c r="J207" s="107"/>
      <c r="K207" s="38" t="str">
        <f>IFERROR(INDEX(TableTime[Time],MATCH(B207,TableTime[Date],0)),"")</f>
        <v/>
      </c>
      <c r="L207" s="4" t="str">
        <f>IF(SUMIFS(TableTime[Duration],TableTime[Date],B207,TableTime[Activity],Projects!$C$9)+SUMIFS(TableTime[Duration],TableTime[Date],B207,TableTime[Activity],Projects!$C$10)+SUMIFS(TableTime[Duration],TableTime[Date],B207,TableTime[Activity],Projects!$C$11)=0,"",SUMIFS(TableTime[Duration],TableTime[Date],B207,TableTime[Activity],Projects!$C$9)+SUMIFS(TableTime[Duration],TableTime[Date],B207,TableTime[Activity],Projects!$C$10)+SUMIFS(TableTime[Duration],TableTime[Date],B207,TableTime[Activity],Projects!$C$11))</f>
        <v/>
      </c>
      <c r="M207" s="4" t="str" cm="1">
        <f t="array" ref="M207">IFERROR(LOOKUP(2,1/(TableTime[Date]=B207),TableTime[Time]),"")</f>
        <v/>
      </c>
      <c r="N207" s="38" t="str">
        <f>IF(SUMIFS(TableTime[[Duration]:[Duration]],TableTime[[Date]:[Date]],$B207,TableTime[[Activity]:[Activity]],N$1)=0,"",SUMIFS(TableTime[[Duration]:[Duration]],TableTime[[Date]:[Date]],$B207,TableTime[[Activity]:[Activity]],N$1))</f>
        <v/>
      </c>
      <c r="O207" s="4" t="str">
        <f>IF(SUMIFS(TableTime[[Duration]:[Duration]],TableTime[[Date]:[Date]],$B207,TableTime[[Activity]:[Activity]],O$1)=0,"",SUMIFS(TableTime[[Duration]:[Duration]],TableTime[[Date]:[Date]],$B207,TableTime[[Activity]:[Activity]],O$1))</f>
        <v/>
      </c>
      <c r="P207" s="4" t="str">
        <f>IF(SUMIFS(TableTime[[Duration]:[Duration]],TableTime[[Date]:[Date]],$B207,TableTime[[Activity]:[Activity]],P$1)=0,"",SUMIFS(TableTime[[Duration]:[Duration]],TableTime[[Date]:[Date]],$B207,TableTime[[Activity]:[Activity]],P$1))</f>
        <v/>
      </c>
      <c r="Q207" s="4" t="str">
        <f>IF(SUMIFS(TableTime[[Duration]:[Duration]],TableTime[[Date]:[Date]],$B207,TableTime[[Activity]:[Activity]],Q$1)=0,"",SUMIFS(TableTime[[Duration]:[Duration]],TableTime[[Date]:[Date]],$B207,TableTime[[Activity]:[Activity]],Q$1))</f>
        <v/>
      </c>
      <c r="R207" s="4" t="str">
        <f>IF(SUMIFS(TableTime[[Duration]:[Duration]],TableTime[[Date]:[Date]],$B207,TableTime[[Activity]:[Activity]],R$1)=0,"",SUMIFS(TableTime[[Duration]:[Duration]],TableTime[[Date]:[Date]],$B207,TableTime[[Activity]:[Activity]],R$1))</f>
        <v/>
      </c>
      <c r="S207" s="130" t="str">
        <f>IF(SUMIFS(TableTime[[Duration]:[Duration]],TableTime[[Date]:[Date]],$B207,TableTime[[Activity]:[Activity]],S$1)=0,"",SUMIFS(TableTime[[Duration]:[Duration]],TableTime[[Date]:[Date]],$B207,TableTime[[Activity]:[Activity]],S$1))</f>
        <v/>
      </c>
      <c r="T207" s="4" t="str">
        <f>IF(SUMIFS(TableTime[[Duration]:[Duration]],TableTime[[Date]:[Date]],$B207,TableTime[[Activity]:[Activity]],T$1)=0,"",SUMIFS(TableTime[[Duration]:[Duration]],TableTime[[Date]:[Date]],$B207,TableTime[[Activity]:[Activity]],T$1))</f>
        <v/>
      </c>
      <c r="U207" s="39" t="str">
        <f>IF(SUMIFS(TableTime[[Duration]:[Duration]],TableTime[[Date]:[Date]],$B207,TableTime[[Activity]:[Activity]],U$1)=0,"",SUMIFS(TableTime[[Duration]:[Duration]],TableTime[[Date]:[Date]],$B207,TableTime[[Activity]:[Activity]],U$1))</f>
        <v/>
      </c>
    </row>
    <row r="208" spans="1:21" x14ac:dyDescent="0.35">
      <c r="A208" s="59" t="str">
        <f t="shared" si="18"/>
        <v>Wed</v>
      </c>
      <c r="B208" s="91">
        <f t="shared" si="20"/>
        <v>45133</v>
      </c>
      <c r="C208" s="60">
        <f t="shared" si="21"/>
        <v>7</v>
      </c>
      <c r="D208" s="61">
        <f t="shared" si="19"/>
        <v>30</v>
      </c>
      <c r="E208" s="103"/>
      <c r="F208" s="60" t="str">
        <f>IFERROR(IF(OR(WEEKDAY(B208,2)=6,WEEKDAY(B208,2)=7),'Month summary'!$D$11,IF(E208="",'Month summary'!$C$11,E208)),"")</f>
        <v>W</v>
      </c>
      <c r="G208" s="62">
        <f>IF(B208&lt;Time!$B$2,"",IF(F208='Month summary'!$C$11,'Month summary'!$F$2/24,IF(F208="H/2",'Month summary'!$F$2/24/2,0)))</f>
        <v>0.33333333333333331</v>
      </c>
      <c r="H208" s="62">
        <f t="shared" si="22"/>
        <v>0</v>
      </c>
      <c r="I208" s="62" t="str">
        <f t="shared" si="23"/>
        <v/>
      </c>
      <c r="J208" s="108"/>
      <c r="K208" s="63" t="str">
        <f>IFERROR(INDEX(TableTime[Time],MATCH(B208,TableTime[Date],0)),"")</f>
        <v/>
      </c>
      <c r="L208" s="62" t="str">
        <f>IF(SUMIFS(TableTime[Duration],TableTime[Date],B208,TableTime[Activity],Projects!$C$9)+SUMIFS(TableTime[Duration],TableTime[Date],B208,TableTime[Activity],Projects!$C$10)+SUMIFS(TableTime[Duration],TableTime[Date],B208,TableTime[Activity],Projects!$C$11)=0,"",SUMIFS(TableTime[Duration],TableTime[Date],B208,TableTime[Activity],Projects!$C$9)+SUMIFS(TableTime[Duration],TableTime[Date],B208,TableTime[Activity],Projects!$C$10)+SUMIFS(TableTime[Duration],TableTime[Date],B208,TableTime[Activity],Projects!$C$11))</f>
        <v/>
      </c>
      <c r="M208" s="62" t="str" cm="1">
        <f t="array" ref="M208">IFERROR(LOOKUP(2,1/(TableTime[Date]=B208),TableTime[Time]),"")</f>
        <v/>
      </c>
      <c r="N208" s="63" t="str">
        <f>IF(SUMIFS(TableTime[[Duration]:[Duration]],TableTime[[Date]:[Date]],$B208,TableTime[[Activity]:[Activity]],N$1)=0,"",SUMIFS(TableTime[[Duration]:[Duration]],TableTime[[Date]:[Date]],$B208,TableTime[[Activity]:[Activity]],N$1))</f>
        <v/>
      </c>
      <c r="O208" s="62" t="str">
        <f>IF(SUMIFS(TableTime[[Duration]:[Duration]],TableTime[[Date]:[Date]],$B208,TableTime[[Activity]:[Activity]],O$1)=0,"",SUMIFS(TableTime[[Duration]:[Duration]],TableTime[[Date]:[Date]],$B208,TableTime[[Activity]:[Activity]],O$1))</f>
        <v/>
      </c>
      <c r="P208" s="62" t="str">
        <f>IF(SUMIFS(TableTime[[Duration]:[Duration]],TableTime[[Date]:[Date]],$B208,TableTime[[Activity]:[Activity]],P$1)=0,"",SUMIFS(TableTime[[Duration]:[Duration]],TableTime[[Date]:[Date]],$B208,TableTime[[Activity]:[Activity]],P$1))</f>
        <v/>
      </c>
      <c r="Q208" s="62" t="str">
        <f>IF(SUMIFS(TableTime[[Duration]:[Duration]],TableTime[[Date]:[Date]],$B208,TableTime[[Activity]:[Activity]],Q$1)=0,"",SUMIFS(TableTime[[Duration]:[Duration]],TableTime[[Date]:[Date]],$B208,TableTime[[Activity]:[Activity]],Q$1))</f>
        <v/>
      </c>
      <c r="R208" s="62" t="str">
        <f>IF(SUMIFS(TableTime[[Duration]:[Duration]],TableTime[[Date]:[Date]],$B208,TableTime[[Activity]:[Activity]],R$1)=0,"",SUMIFS(TableTime[[Duration]:[Duration]],TableTime[[Date]:[Date]],$B208,TableTime[[Activity]:[Activity]],R$1))</f>
        <v/>
      </c>
      <c r="S208" s="131" t="str">
        <f>IF(SUMIFS(TableTime[[Duration]:[Duration]],TableTime[[Date]:[Date]],$B208,TableTime[[Activity]:[Activity]],S$1)=0,"",SUMIFS(TableTime[[Duration]:[Duration]],TableTime[[Date]:[Date]],$B208,TableTime[[Activity]:[Activity]],S$1))</f>
        <v/>
      </c>
      <c r="T208" s="62" t="str">
        <f>IF(SUMIFS(TableTime[[Duration]:[Duration]],TableTime[[Date]:[Date]],$B208,TableTime[[Activity]:[Activity]],T$1)=0,"",SUMIFS(TableTime[[Duration]:[Duration]],TableTime[[Date]:[Date]],$B208,TableTime[[Activity]:[Activity]],T$1))</f>
        <v/>
      </c>
      <c r="U208" s="64" t="str">
        <f>IF(SUMIFS(TableTime[[Duration]:[Duration]],TableTime[[Date]:[Date]],$B208,TableTime[[Activity]:[Activity]],U$1)=0,"",SUMIFS(TableTime[[Duration]:[Duration]],TableTime[[Date]:[Date]],$B208,TableTime[[Activity]:[Activity]],U$1))</f>
        <v/>
      </c>
    </row>
    <row r="209" spans="1:21" x14ac:dyDescent="0.35">
      <c r="A209" s="35" t="str">
        <f t="shared" si="18"/>
        <v>Thr</v>
      </c>
      <c r="B209" s="5">
        <f t="shared" si="20"/>
        <v>45134</v>
      </c>
      <c r="C209" s="1">
        <f t="shared" si="21"/>
        <v>7</v>
      </c>
      <c r="D209" s="2">
        <f t="shared" si="19"/>
        <v>30</v>
      </c>
      <c r="E209" s="102"/>
      <c r="F209" s="1" t="str">
        <f>IFERROR(IF(OR(WEEKDAY(B209,2)=6,WEEKDAY(B209,2)=7),'Month summary'!$D$11,IF(E209="",'Month summary'!$C$11,E209)),"")</f>
        <v>W</v>
      </c>
      <c r="G209" s="4">
        <f>IF(B209&lt;Time!$B$2,"",IF(F209='Month summary'!$C$11,'Month summary'!$F$2/24,IF(F209="H/2",'Month summary'!$F$2/24/2,0)))</f>
        <v>0.33333333333333331</v>
      </c>
      <c r="H209" s="4">
        <f t="shared" si="22"/>
        <v>0</v>
      </c>
      <c r="I209" s="4" t="str">
        <f t="shared" si="23"/>
        <v/>
      </c>
      <c r="J209" s="107"/>
      <c r="K209" s="38" t="str">
        <f>IFERROR(INDEX(TableTime[Time],MATCH(B209,TableTime[Date],0)),"")</f>
        <v/>
      </c>
      <c r="L209" s="4" t="str">
        <f>IF(SUMIFS(TableTime[Duration],TableTime[Date],B209,TableTime[Activity],Projects!$C$9)+SUMIFS(TableTime[Duration],TableTime[Date],B209,TableTime[Activity],Projects!$C$10)+SUMIFS(TableTime[Duration],TableTime[Date],B209,TableTime[Activity],Projects!$C$11)=0,"",SUMIFS(TableTime[Duration],TableTime[Date],B209,TableTime[Activity],Projects!$C$9)+SUMIFS(TableTime[Duration],TableTime[Date],B209,TableTime[Activity],Projects!$C$10)+SUMIFS(TableTime[Duration],TableTime[Date],B209,TableTime[Activity],Projects!$C$11))</f>
        <v/>
      </c>
      <c r="M209" s="4" t="str" cm="1">
        <f t="array" ref="M209">IFERROR(LOOKUP(2,1/(TableTime[Date]=B209),TableTime[Time]),"")</f>
        <v/>
      </c>
      <c r="N209" s="38" t="str">
        <f>IF(SUMIFS(TableTime[[Duration]:[Duration]],TableTime[[Date]:[Date]],$B209,TableTime[[Activity]:[Activity]],N$1)=0,"",SUMIFS(TableTime[[Duration]:[Duration]],TableTime[[Date]:[Date]],$B209,TableTime[[Activity]:[Activity]],N$1))</f>
        <v/>
      </c>
      <c r="O209" s="4" t="str">
        <f>IF(SUMIFS(TableTime[[Duration]:[Duration]],TableTime[[Date]:[Date]],$B209,TableTime[[Activity]:[Activity]],O$1)=0,"",SUMIFS(TableTime[[Duration]:[Duration]],TableTime[[Date]:[Date]],$B209,TableTime[[Activity]:[Activity]],O$1))</f>
        <v/>
      </c>
      <c r="P209" s="4" t="str">
        <f>IF(SUMIFS(TableTime[[Duration]:[Duration]],TableTime[[Date]:[Date]],$B209,TableTime[[Activity]:[Activity]],P$1)=0,"",SUMIFS(TableTime[[Duration]:[Duration]],TableTime[[Date]:[Date]],$B209,TableTime[[Activity]:[Activity]],P$1))</f>
        <v/>
      </c>
      <c r="Q209" s="4" t="str">
        <f>IF(SUMIFS(TableTime[[Duration]:[Duration]],TableTime[[Date]:[Date]],$B209,TableTime[[Activity]:[Activity]],Q$1)=0,"",SUMIFS(TableTime[[Duration]:[Duration]],TableTime[[Date]:[Date]],$B209,TableTime[[Activity]:[Activity]],Q$1))</f>
        <v/>
      </c>
      <c r="R209" s="4" t="str">
        <f>IF(SUMIFS(TableTime[[Duration]:[Duration]],TableTime[[Date]:[Date]],$B209,TableTime[[Activity]:[Activity]],R$1)=0,"",SUMIFS(TableTime[[Duration]:[Duration]],TableTime[[Date]:[Date]],$B209,TableTime[[Activity]:[Activity]],R$1))</f>
        <v/>
      </c>
      <c r="S209" s="130" t="str">
        <f>IF(SUMIFS(TableTime[[Duration]:[Duration]],TableTime[[Date]:[Date]],$B209,TableTime[[Activity]:[Activity]],S$1)=0,"",SUMIFS(TableTime[[Duration]:[Duration]],TableTime[[Date]:[Date]],$B209,TableTime[[Activity]:[Activity]],S$1))</f>
        <v/>
      </c>
      <c r="T209" s="4" t="str">
        <f>IF(SUMIFS(TableTime[[Duration]:[Duration]],TableTime[[Date]:[Date]],$B209,TableTime[[Activity]:[Activity]],T$1)=0,"",SUMIFS(TableTime[[Duration]:[Duration]],TableTime[[Date]:[Date]],$B209,TableTime[[Activity]:[Activity]],T$1))</f>
        <v/>
      </c>
      <c r="U209" s="39" t="str">
        <f>IF(SUMIFS(TableTime[[Duration]:[Duration]],TableTime[[Date]:[Date]],$B209,TableTime[[Activity]:[Activity]],U$1)=0,"",SUMIFS(TableTime[[Duration]:[Duration]],TableTime[[Date]:[Date]],$B209,TableTime[[Activity]:[Activity]],U$1))</f>
        <v/>
      </c>
    </row>
    <row r="210" spans="1:21" x14ac:dyDescent="0.35">
      <c r="A210" s="59" t="str">
        <f t="shared" si="18"/>
        <v>Fri</v>
      </c>
      <c r="B210" s="91">
        <f t="shared" si="20"/>
        <v>45135</v>
      </c>
      <c r="C210" s="60">
        <f t="shared" si="21"/>
        <v>7</v>
      </c>
      <c r="D210" s="61">
        <f t="shared" si="19"/>
        <v>30</v>
      </c>
      <c r="E210" s="103"/>
      <c r="F210" s="60" t="str">
        <f>IFERROR(IF(OR(WEEKDAY(B210,2)=6,WEEKDAY(B210,2)=7),'Month summary'!$D$11,IF(E210="",'Month summary'!$C$11,E210)),"")</f>
        <v>W</v>
      </c>
      <c r="G210" s="62">
        <f>IF(B210&lt;Time!$B$2,"",IF(F210='Month summary'!$C$11,'Month summary'!$F$2/24,IF(F210="H/2",'Month summary'!$F$2/24/2,0)))</f>
        <v>0.33333333333333331</v>
      </c>
      <c r="H210" s="62">
        <f t="shared" si="22"/>
        <v>0</v>
      </c>
      <c r="I210" s="62" t="str">
        <f t="shared" si="23"/>
        <v/>
      </c>
      <c r="J210" s="108"/>
      <c r="K210" s="63" t="str">
        <f>IFERROR(INDEX(TableTime[Time],MATCH(B210,TableTime[Date],0)),"")</f>
        <v/>
      </c>
      <c r="L210" s="62" t="str">
        <f>IF(SUMIFS(TableTime[Duration],TableTime[Date],B210,TableTime[Activity],Projects!$C$9)+SUMIFS(TableTime[Duration],TableTime[Date],B210,TableTime[Activity],Projects!$C$10)+SUMIFS(TableTime[Duration],TableTime[Date],B210,TableTime[Activity],Projects!$C$11)=0,"",SUMIFS(TableTime[Duration],TableTime[Date],B210,TableTime[Activity],Projects!$C$9)+SUMIFS(TableTime[Duration],TableTime[Date],B210,TableTime[Activity],Projects!$C$10)+SUMIFS(TableTime[Duration],TableTime[Date],B210,TableTime[Activity],Projects!$C$11))</f>
        <v/>
      </c>
      <c r="M210" s="62" t="str" cm="1">
        <f t="array" ref="M210">IFERROR(LOOKUP(2,1/(TableTime[Date]=B210),TableTime[Time]),"")</f>
        <v/>
      </c>
      <c r="N210" s="63" t="str">
        <f>IF(SUMIFS(TableTime[[Duration]:[Duration]],TableTime[[Date]:[Date]],$B210,TableTime[[Activity]:[Activity]],N$1)=0,"",SUMIFS(TableTime[[Duration]:[Duration]],TableTime[[Date]:[Date]],$B210,TableTime[[Activity]:[Activity]],N$1))</f>
        <v/>
      </c>
      <c r="O210" s="62" t="str">
        <f>IF(SUMIFS(TableTime[[Duration]:[Duration]],TableTime[[Date]:[Date]],$B210,TableTime[[Activity]:[Activity]],O$1)=0,"",SUMIFS(TableTime[[Duration]:[Duration]],TableTime[[Date]:[Date]],$B210,TableTime[[Activity]:[Activity]],O$1))</f>
        <v/>
      </c>
      <c r="P210" s="62" t="str">
        <f>IF(SUMIFS(TableTime[[Duration]:[Duration]],TableTime[[Date]:[Date]],$B210,TableTime[[Activity]:[Activity]],P$1)=0,"",SUMIFS(TableTime[[Duration]:[Duration]],TableTime[[Date]:[Date]],$B210,TableTime[[Activity]:[Activity]],P$1))</f>
        <v/>
      </c>
      <c r="Q210" s="62" t="str">
        <f>IF(SUMIFS(TableTime[[Duration]:[Duration]],TableTime[[Date]:[Date]],$B210,TableTime[[Activity]:[Activity]],Q$1)=0,"",SUMIFS(TableTime[[Duration]:[Duration]],TableTime[[Date]:[Date]],$B210,TableTime[[Activity]:[Activity]],Q$1))</f>
        <v/>
      </c>
      <c r="R210" s="62" t="str">
        <f>IF(SUMIFS(TableTime[[Duration]:[Duration]],TableTime[[Date]:[Date]],$B210,TableTime[[Activity]:[Activity]],R$1)=0,"",SUMIFS(TableTime[[Duration]:[Duration]],TableTime[[Date]:[Date]],$B210,TableTime[[Activity]:[Activity]],R$1))</f>
        <v/>
      </c>
      <c r="S210" s="131" t="str">
        <f>IF(SUMIFS(TableTime[[Duration]:[Duration]],TableTime[[Date]:[Date]],$B210,TableTime[[Activity]:[Activity]],S$1)=0,"",SUMIFS(TableTime[[Duration]:[Duration]],TableTime[[Date]:[Date]],$B210,TableTime[[Activity]:[Activity]],S$1))</f>
        <v/>
      </c>
      <c r="T210" s="62" t="str">
        <f>IF(SUMIFS(TableTime[[Duration]:[Duration]],TableTime[[Date]:[Date]],$B210,TableTime[[Activity]:[Activity]],T$1)=0,"",SUMIFS(TableTime[[Duration]:[Duration]],TableTime[[Date]:[Date]],$B210,TableTime[[Activity]:[Activity]],T$1))</f>
        <v/>
      </c>
      <c r="U210" s="64" t="str">
        <f>IF(SUMIFS(TableTime[[Duration]:[Duration]],TableTime[[Date]:[Date]],$B210,TableTime[[Activity]:[Activity]],U$1)=0,"",SUMIFS(TableTime[[Duration]:[Duration]],TableTime[[Date]:[Date]],$B210,TableTime[[Activity]:[Activity]],U$1))</f>
        <v/>
      </c>
    </row>
    <row r="211" spans="1:21" x14ac:dyDescent="0.35">
      <c r="A211" s="35" t="str">
        <f t="shared" si="18"/>
        <v>Sat</v>
      </c>
      <c r="B211" s="5">
        <f t="shared" si="20"/>
        <v>45136</v>
      </c>
      <c r="C211" s="1">
        <f t="shared" si="21"/>
        <v>7</v>
      </c>
      <c r="D211" s="2">
        <f t="shared" si="19"/>
        <v>30</v>
      </c>
      <c r="E211" s="102"/>
      <c r="F211" s="1" t="str">
        <f>IFERROR(IF(OR(WEEKDAY(B211,2)=6,WEEKDAY(B211,2)=7),'Month summary'!$D$11,IF(E211="",'Month summary'!$C$11,E211)),"")</f>
        <v>WE</v>
      </c>
      <c r="G211" s="4">
        <f>IF(B211&lt;Time!$B$2,"",IF(F211='Month summary'!$C$11,'Month summary'!$F$2/24,IF(F211="H/2",'Month summary'!$F$2/24/2,0)))</f>
        <v>0</v>
      </c>
      <c r="H211" s="4">
        <f t="shared" si="22"/>
        <v>0</v>
      </c>
      <c r="I211" s="4" t="str">
        <f t="shared" si="23"/>
        <v/>
      </c>
      <c r="J211" s="107"/>
      <c r="K211" s="38" t="str">
        <f>IFERROR(INDEX(TableTime[Time],MATCH(B211,TableTime[Date],0)),"")</f>
        <v/>
      </c>
      <c r="L211" s="4" t="str">
        <f>IF(SUMIFS(TableTime[Duration],TableTime[Date],B211,TableTime[Activity],Projects!$C$9)+SUMIFS(TableTime[Duration],TableTime[Date],B211,TableTime[Activity],Projects!$C$10)+SUMIFS(TableTime[Duration],TableTime[Date],B211,TableTime[Activity],Projects!$C$11)=0,"",SUMIFS(TableTime[Duration],TableTime[Date],B211,TableTime[Activity],Projects!$C$9)+SUMIFS(TableTime[Duration],TableTime[Date],B211,TableTime[Activity],Projects!$C$10)+SUMIFS(TableTime[Duration],TableTime[Date],B211,TableTime[Activity],Projects!$C$11))</f>
        <v/>
      </c>
      <c r="M211" s="4" t="str" cm="1">
        <f t="array" ref="M211">IFERROR(LOOKUP(2,1/(TableTime[Date]=B211),TableTime[Time]),"")</f>
        <v/>
      </c>
      <c r="N211" s="38" t="str">
        <f>IF(SUMIFS(TableTime[[Duration]:[Duration]],TableTime[[Date]:[Date]],$B211,TableTime[[Activity]:[Activity]],N$1)=0,"",SUMIFS(TableTime[[Duration]:[Duration]],TableTime[[Date]:[Date]],$B211,TableTime[[Activity]:[Activity]],N$1))</f>
        <v/>
      </c>
      <c r="O211" s="4" t="str">
        <f>IF(SUMIFS(TableTime[[Duration]:[Duration]],TableTime[[Date]:[Date]],$B211,TableTime[[Activity]:[Activity]],O$1)=0,"",SUMIFS(TableTime[[Duration]:[Duration]],TableTime[[Date]:[Date]],$B211,TableTime[[Activity]:[Activity]],O$1))</f>
        <v/>
      </c>
      <c r="P211" s="4" t="str">
        <f>IF(SUMIFS(TableTime[[Duration]:[Duration]],TableTime[[Date]:[Date]],$B211,TableTime[[Activity]:[Activity]],P$1)=0,"",SUMIFS(TableTime[[Duration]:[Duration]],TableTime[[Date]:[Date]],$B211,TableTime[[Activity]:[Activity]],P$1))</f>
        <v/>
      </c>
      <c r="Q211" s="4" t="str">
        <f>IF(SUMIFS(TableTime[[Duration]:[Duration]],TableTime[[Date]:[Date]],$B211,TableTime[[Activity]:[Activity]],Q$1)=0,"",SUMIFS(TableTime[[Duration]:[Duration]],TableTime[[Date]:[Date]],$B211,TableTime[[Activity]:[Activity]],Q$1))</f>
        <v/>
      </c>
      <c r="R211" s="4" t="str">
        <f>IF(SUMIFS(TableTime[[Duration]:[Duration]],TableTime[[Date]:[Date]],$B211,TableTime[[Activity]:[Activity]],R$1)=0,"",SUMIFS(TableTime[[Duration]:[Duration]],TableTime[[Date]:[Date]],$B211,TableTime[[Activity]:[Activity]],R$1))</f>
        <v/>
      </c>
      <c r="S211" s="130" t="str">
        <f>IF(SUMIFS(TableTime[[Duration]:[Duration]],TableTime[[Date]:[Date]],$B211,TableTime[[Activity]:[Activity]],S$1)=0,"",SUMIFS(TableTime[[Duration]:[Duration]],TableTime[[Date]:[Date]],$B211,TableTime[[Activity]:[Activity]],S$1))</f>
        <v/>
      </c>
      <c r="T211" s="4" t="str">
        <f>IF(SUMIFS(TableTime[[Duration]:[Duration]],TableTime[[Date]:[Date]],$B211,TableTime[[Activity]:[Activity]],T$1)=0,"",SUMIFS(TableTime[[Duration]:[Duration]],TableTime[[Date]:[Date]],$B211,TableTime[[Activity]:[Activity]],T$1))</f>
        <v/>
      </c>
      <c r="U211" s="39" t="str">
        <f>IF(SUMIFS(TableTime[[Duration]:[Duration]],TableTime[[Date]:[Date]],$B211,TableTime[[Activity]:[Activity]],U$1)=0,"",SUMIFS(TableTime[[Duration]:[Duration]],TableTime[[Date]:[Date]],$B211,TableTime[[Activity]:[Activity]],U$1))</f>
        <v/>
      </c>
    </row>
    <row r="212" spans="1:21" x14ac:dyDescent="0.35">
      <c r="A212" s="59" t="str">
        <f t="shared" si="18"/>
        <v>Sun</v>
      </c>
      <c r="B212" s="91">
        <f t="shared" si="20"/>
        <v>45137</v>
      </c>
      <c r="C212" s="60">
        <f t="shared" si="21"/>
        <v>7</v>
      </c>
      <c r="D212" s="61">
        <f t="shared" si="19"/>
        <v>30</v>
      </c>
      <c r="E212" s="103"/>
      <c r="F212" s="60" t="str">
        <f>IFERROR(IF(OR(WEEKDAY(B212,2)=6,WEEKDAY(B212,2)=7),'Month summary'!$D$11,IF(E212="",'Month summary'!$C$11,E212)),"")</f>
        <v>WE</v>
      </c>
      <c r="G212" s="62">
        <f>IF(B212&lt;Time!$B$2,"",IF(F212='Month summary'!$C$11,'Month summary'!$F$2/24,IF(F212="H/2",'Month summary'!$F$2/24/2,0)))</f>
        <v>0</v>
      </c>
      <c r="H212" s="62">
        <f t="shared" si="22"/>
        <v>0</v>
      </c>
      <c r="I212" s="62" t="str">
        <f t="shared" si="23"/>
        <v/>
      </c>
      <c r="J212" s="108"/>
      <c r="K212" s="63" t="str">
        <f>IFERROR(INDEX(TableTime[Time],MATCH(B212,TableTime[Date],0)),"")</f>
        <v/>
      </c>
      <c r="L212" s="62" t="str">
        <f>IF(SUMIFS(TableTime[Duration],TableTime[Date],B212,TableTime[Activity],Projects!$C$9)+SUMIFS(TableTime[Duration],TableTime[Date],B212,TableTime[Activity],Projects!$C$10)+SUMIFS(TableTime[Duration],TableTime[Date],B212,TableTime[Activity],Projects!$C$11)=0,"",SUMIFS(TableTime[Duration],TableTime[Date],B212,TableTime[Activity],Projects!$C$9)+SUMIFS(TableTime[Duration],TableTime[Date],B212,TableTime[Activity],Projects!$C$10)+SUMIFS(TableTime[Duration],TableTime[Date],B212,TableTime[Activity],Projects!$C$11))</f>
        <v/>
      </c>
      <c r="M212" s="62" t="str" cm="1">
        <f t="array" ref="M212">IFERROR(LOOKUP(2,1/(TableTime[Date]=B212),TableTime[Time]),"")</f>
        <v/>
      </c>
      <c r="N212" s="63" t="str">
        <f>IF(SUMIFS(TableTime[[Duration]:[Duration]],TableTime[[Date]:[Date]],$B212,TableTime[[Activity]:[Activity]],N$1)=0,"",SUMIFS(TableTime[[Duration]:[Duration]],TableTime[[Date]:[Date]],$B212,TableTime[[Activity]:[Activity]],N$1))</f>
        <v/>
      </c>
      <c r="O212" s="62" t="str">
        <f>IF(SUMIFS(TableTime[[Duration]:[Duration]],TableTime[[Date]:[Date]],$B212,TableTime[[Activity]:[Activity]],O$1)=0,"",SUMIFS(TableTime[[Duration]:[Duration]],TableTime[[Date]:[Date]],$B212,TableTime[[Activity]:[Activity]],O$1))</f>
        <v/>
      </c>
      <c r="P212" s="62" t="str">
        <f>IF(SUMIFS(TableTime[[Duration]:[Duration]],TableTime[[Date]:[Date]],$B212,TableTime[[Activity]:[Activity]],P$1)=0,"",SUMIFS(TableTime[[Duration]:[Duration]],TableTime[[Date]:[Date]],$B212,TableTime[[Activity]:[Activity]],P$1))</f>
        <v/>
      </c>
      <c r="Q212" s="62" t="str">
        <f>IF(SUMIFS(TableTime[[Duration]:[Duration]],TableTime[[Date]:[Date]],$B212,TableTime[[Activity]:[Activity]],Q$1)=0,"",SUMIFS(TableTime[[Duration]:[Duration]],TableTime[[Date]:[Date]],$B212,TableTime[[Activity]:[Activity]],Q$1))</f>
        <v/>
      </c>
      <c r="R212" s="62" t="str">
        <f>IF(SUMIFS(TableTime[[Duration]:[Duration]],TableTime[[Date]:[Date]],$B212,TableTime[[Activity]:[Activity]],R$1)=0,"",SUMIFS(TableTime[[Duration]:[Duration]],TableTime[[Date]:[Date]],$B212,TableTime[[Activity]:[Activity]],R$1))</f>
        <v/>
      </c>
      <c r="S212" s="131" t="str">
        <f>IF(SUMIFS(TableTime[[Duration]:[Duration]],TableTime[[Date]:[Date]],$B212,TableTime[[Activity]:[Activity]],S$1)=0,"",SUMIFS(TableTime[[Duration]:[Duration]],TableTime[[Date]:[Date]],$B212,TableTime[[Activity]:[Activity]],S$1))</f>
        <v/>
      </c>
      <c r="T212" s="62" t="str">
        <f>IF(SUMIFS(TableTime[[Duration]:[Duration]],TableTime[[Date]:[Date]],$B212,TableTime[[Activity]:[Activity]],T$1)=0,"",SUMIFS(TableTime[[Duration]:[Duration]],TableTime[[Date]:[Date]],$B212,TableTime[[Activity]:[Activity]],T$1))</f>
        <v/>
      </c>
      <c r="U212" s="64" t="str">
        <f>IF(SUMIFS(TableTime[[Duration]:[Duration]],TableTime[[Date]:[Date]],$B212,TableTime[[Activity]:[Activity]],U$1)=0,"",SUMIFS(TableTime[[Duration]:[Duration]],TableTime[[Date]:[Date]],$B212,TableTime[[Activity]:[Activity]],U$1))</f>
        <v/>
      </c>
    </row>
    <row r="213" spans="1:21" x14ac:dyDescent="0.35">
      <c r="A213" s="35" t="str">
        <f t="shared" si="18"/>
        <v>Mon</v>
      </c>
      <c r="B213" s="5">
        <f t="shared" si="20"/>
        <v>45138</v>
      </c>
      <c r="C213" s="1">
        <f t="shared" si="21"/>
        <v>7</v>
      </c>
      <c r="D213" s="2">
        <f t="shared" si="19"/>
        <v>31</v>
      </c>
      <c r="E213" s="102"/>
      <c r="F213" s="1" t="str">
        <f>IFERROR(IF(OR(WEEKDAY(B213,2)=6,WEEKDAY(B213,2)=7),'Month summary'!$D$11,IF(E213="",'Month summary'!$C$11,E213)),"")</f>
        <v>W</v>
      </c>
      <c r="G213" s="4">
        <f>IF(B213&lt;Time!$B$2,"",IF(F213='Month summary'!$C$11,'Month summary'!$F$2/24,IF(F213="H/2",'Month summary'!$F$2/24/2,0)))</f>
        <v>0.33333333333333331</v>
      </c>
      <c r="H213" s="4">
        <f t="shared" si="22"/>
        <v>0</v>
      </c>
      <c r="I213" s="4" t="str">
        <f t="shared" si="23"/>
        <v/>
      </c>
      <c r="J213" s="107"/>
      <c r="K213" s="38" t="str">
        <f>IFERROR(INDEX(TableTime[Time],MATCH(B213,TableTime[Date],0)),"")</f>
        <v/>
      </c>
      <c r="L213" s="4" t="str">
        <f>IF(SUMIFS(TableTime[Duration],TableTime[Date],B213,TableTime[Activity],Projects!$C$9)+SUMIFS(TableTime[Duration],TableTime[Date],B213,TableTime[Activity],Projects!$C$10)+SUMIFS(TableTime[Duration],TableTime[Date],B213,TableTime[Activity],Projects!$C$11)=0,"",SUMIFS(TableTime[Duration],TableTime[Date],B213,TableTime[Activity],Projects!$C$9)+SUMIFS(TableTime[Duration],TableTime[Date],B213,TableTime[Activity],Projects!$C$10)+SUMIFS(TableTime[Duration],TableTime[Date],B213,TableTime[Activity],Projects!$C$11))</f>
        <v/>
      </c>
      <c r="M213" s="4" t="str" cm="1">
        <f t="array" ref="M213">IFERROR(LOOKUP(2,1/(TableTime[Date]=B213),TableTime[Time]),"")</f>
        <v/>
      </c>
      <c r="N213" s="38" t="str">
        <f>IF(SUMIFS(TableTime[[Duration]:[Duration]],TableTime[[Date]:[Date]],$B213,TableTime[[Activity]:[Activity]],N$1)=0,"",SUMIFS(TableTime[[Duration]:[Duration]],TableTime[[Date]:[Date]],$B213,TableTime[[Activity]:[Activity]],N$1))</f>
        <v/>
      </c>
      <c r="O213" s="4" t="str">
        <f>IF(SUMIFS(TableTime[[Duration]:[Duration]],TableTime[[Date]:[Date]],$B213,TableTime[[Activity]:[Activity]],O$1)=0,"",SUMIFS(TableTime[[Duration]:[Duration]],TableTime[[Date]:[Date]],$B213,TableTime[[Activity]:[Activity]],O$1))</f>
        <v/>
      </c>
      <c r="P213" s="4" t="str">
        <f>IF(SUMIFS(TableTime[[Duration]:[Duration]],TableTime[[Date]:[Date]],$B213,TableTime[[Activity]:[Activity]],P$1)=0,"",SUMIFS(TableTime[[Duration]:[Duration]],TableTime[[Date]:[Date]],$B213,TableTime[[Activity]:[Activity]],P$1))</f>
        <v/>
      </c>
      <c r="Q213" s="4" t="str">
        <f>IF(SUMIFS(TableTime[[Duration]:[Duration]],TableTime[[Date]:[Date]],$B213,TableTime[[Activity]:[Activity]],Q$1)=0,"",SUMIFS(TableTime[[Duration]:[Duration]],TableTime[[Date]:[Date]],$B213,TableTime[[Activity]:[Activity]],Q$1))</f>
        <v/>
      </c>
      <c r="R213" s="4" t="str">
        <f>IF(SUMIFS(TableTime[[Duration]:[Duration]],TableTime[[Date]:[Date]],$B213,TableTime[[Activity]:[Activity]],R$1)=0,"",SUMIFS(TableTime[[Duration]:[Duration]],TableTime[[Date]:[Date]],$B213,TableTime[[Activity]:[Activity]],R$1))</f>
        <v/>
      </c>
      <c r="S213" s="130" t="str">
        <f>IF(SUMIFS(TableTime[[Duration]:[Duration]],TableTime[[Date]:[Date]],$B213,TableTime[[Activity]:[Activity]],S$1)=0,"",SUMIFS(TableTime[[Duration]:[Duration]],TableTime[[Date]:[Date]],$B213,TableTime[[Activity]:[Activity]],S$1))</f>
        <v/>
      </c>
      <c r="T213" s="4" t="str">
        <f>IF(SUMIFS(TableTime[[Duration]:[Duration]],TableTime[[Date]:[Date]],$B213,TableTime[[Activity]:[Activity]],T$1)=0,"",SUMIFS(TableTime[[Duration]:[Duration]],TableTime[[Date]:[Date]],$B213,TableTime[[Activity]:[Activity]],T$1))</f>
        <v/>
      </c>
      <c r="U213" s="39" t="str">
        <f>IF(SUMIFS(TableTime[[Duration]:[Duration]],TableTime[[Date]:[Date]],$B213,TableTime[[Activity]:[Activity]],U$1)=0,"",SUMIFS(TableTime[[Duration]:[Duration]],TableTime[[Date]:[Date]],$B213,TableTime[[Activity]:[Activity]],U$1))</f>
        <v/>
      </c>
    </row>
    <row r="214" spans="1:21" x14ac:dyDescent="0.35">
      <c r="A214" s="59" t="str">
        <f t="shared" si="18"/>
        <v>Tue</v>
      </c>
      <c r="B214" s="91">
        <f t="shared" si="20"/>
        <v>45139</v>
      </c>
      <c r="C214" s="60">
        <f t="shared" si="21"/>
        <v>8</v>
      </c>
      <c r="D214" s="61">
        <f t="shared" si="19"/>
        <v>31</v>
      </c>
      <c r="E214" s="103"/>
      <c r="F214" s="60" t="str">
        <f>IFERROR(IF(OR(WEEKDAY(B214,2)=6,WEEKDAY(B214,2)=7),'Month summary'!$D$11,IF(E214="",'Month summary'!$C$11,E214)),"")</f>
        <v>W</v>
      </c>
      <c r="G214" s="62">
        <f>IF(B214&lt;Time!$B$2,"",IF(F214='Month summary'!$C$11,'Month summary'!$F$2/24,IF(F214="H/2",'Month summary'!$F$2/24/2,0)))</f>
        <v>0.33333333333333331</v>
      </c>
      <c r="H214" s="62">
        <f t="shared" si="22"/>
        <v>0</v>
      </c>
      <c r="I214" s="62" t="str">
        <f t="shared" si="23"/>
        <v/>
      </c>
      <c r="J214" s="108"/>
      <c r="K214" s="63" t="str">
        <f>IFERROR(INDEX(TableTime[Time],MATCH(B214,TableTime[Date],0)),"")</f>
        <v/>
      </c>
      <c r="L214" s="62" t="str">
        <f>IF(SUMIFS(TableTime[Duration],TableTime[Date],B214,TableTime[Activity],Projects!$C$9)+SUMIFS(TableTime[Duration],TableTime[Date],B214,TableTime[Activity],Projects!$C$10)+SUMIFS(TableTime[Duration],TableTime[Date],B214,TableTime[Activity],Projects!$C$11)=0,"",SUMIFS(TableTime[Duration],TableTime[Date],B214,TableTime[Activity],Projects!$C$9)+SUMIFS(TableTime[Duration],TableTime[Date],B214,TableTime[Activity],Projects!$C$10)+SUMIFS(TableTime[Duration],TableTime[Date],B214,TableTime[Activity],Projects!$C$11))</f>
        <v/>
      </c>
      <c r="M214" s="62" t="str" cm="1">
        <f t="array" ref="M214">IFERROR(LOOKUP(2,1/(TableTime[Date]=B214),TableTime[Time]),"")</f>
        <v/>
      </c>
      <c r="N214" s="63" t="str">
        <f>IF(SUMIFS(TableTime[[Duration]:[Duration]],TableTime[[Date]:[Date]],$B214,TableTime[[Activity]:[Activity]],N$1)=0,"",SUMIFS(TableTime[[Duration]:[Duration]],TableTime[[Date]:[Date]],$B214,TableTime[[Activity]:[Activity]],N$1))</f>
        <v/>
      </c>
      <c r="O214" s="62" t="str">
        <f>IF(SUMIFS(TableTime[[Duration]:[Duration]],TableTime[[Date]:[Date]],$B214,TableTime[[Activity]:[Activity]],O$1)=0,"",SUMIFS(TableTime[[Duration]:[Duration]],TableTime[[Date]:[Date]],$B214,TableTime[[Activity]:[Activity]],O$1))</f>
        <v/>
      </c>
      <c r="P214" s="62" t="str">
        <f>IF(SUMIFS(TableTime[[Duration]:[Duration]],TableTime[[Date]:[Date]],$B214,TableTime[[Activity]:[Activity]],P$1)=0,"",SUMIFS(TableTime[[Duration]:[Duration]],TableTime[[Date]:[Date]],$B214,TableTime[[Activity]:[Activity]],P$1))</f>
        <v/>
      </c>
      <c r="Q214" s="62" t="str">
        <f>IF(SUMIFS(TableTime[[Duration]:[Duration]],TableTime[[Date]:[Date]],$B214,TableTime[[Activity]:[Activity]],Q$1)=0,"",SUMIFS(TableTime[[Duration]:[Duration]],TableTime[[Date]:[Date]],$B214,TableTime[[Activity]:[Activity]],Q$1))</f>
        <v/>
      </c>
      <c r="R214" s="62" t="str">
        <f>IF(SUMIFS(TableTime[[Duration]:[Duration]],TableTime[[Date]:[Date]],$B214,TableTime[[Activity]:[Activity]],R$1)=0,"",SUMIFS(TableTime[[Duration]:[Duration]],TableTime[[Date]:[Date]],$B214,TableTime[[Activity]:[Activity]],R$1))</f>
        <v/>
      </c>
      <c r="S214" s="131" t="str">
        <f>IF(SUMIFS(TableTime[[Duration]:[Duration]],TableTime[[Date]:[Date]],$B214,TableTime[[Activity]:[Activity]],S$1)=0,"",SUMIFS(TableTime[[Duration]:[Duration]],TableTime[[Date]:[Date]],$B214,TableTime[[Activity]:[Activity]],S$1))</f>
        <v/>
      </c>
      <c r="T214" s="62" t="str">
        <f>IF(SUMIFS(TableTime[[Duration]:[Duration]],TableTime[[Date]:[Date]],$B214,TableTime[[Activity]:[Activity]],T$1)=0,"",SUMIFS(TableTime[[Duration]:[Duration]],TableTime[[Date]:[Date]],$B214,TableTime[[Activity]:[Activity]],T$1))</f>
        <v/>
      </c>
      <c r="U214" s="64" t="str">
        <f>IF(SUMIFS(TableTime[[Duration]:[Duration]],TableTime[[Date]:[Date]],$B214,TableTime[[Activity]:[Activity]],U$1)=0,"",SUMIFS(TableTime[[Duration]:[Duration]],TableTime[[Date]:[Date]],$B214,TableTime[[Activity]:[Activity]],U$1))</f>
        <v/>
      </c>
    </row>
    <row r="215" spans="1:21" x14ac:dyDescent="0.35">
      <c r="A215" s="35" t="str">
        <f t="shared" si="18"/>
        <v>Wed</v>
      </c>
      <c r="B215" s="5">
        <f t="shared" si="20"/>
        <v>45140</v>
      </c>
      <c r="C215" s="1">
        <f t="shared" si="21"/>
        <v>8</v>
      </c>
      <c r="D215" s="2">
        <f t="shared" si="19"/>
        <v>31</v>
      </c>
      <c r="E215" s="102"/>
      <c r="F215" s="1" t="str">
        <f>IFERROR(IF(OR(WEEKDAY(B215,2)=6,WEEKDAY(B215,2)=7),'Month summary'!$D$11,IF(E215="",'Month summary'!$C$11,E215)),"")</f>
        <v>W</v>
      </c>
      <c r="G215" s="4">
        <f>IF(B215&lt;Time!$B$2,"",IF(F215='Month summary'!$C$11,'Month summary'!$F$2/24,IF(F215="H/2",'Month summary'!$F$2/24/2,0)))</f>
        <v>0.33333333333333331</v>
      </c>
      <c r="H215" s="4">
        <f t="shared" si="22"/>
        <v>0</v>
      </c>
      <c r="I215" s="4" t="str">
        <f t="shared" si="23"/>
        <v/>
      </c>
      <c r="J215" s="107"/>
      <c r="K215" s="38" t="str">
        <f>IFERROR(INDEX(TableTime[Time],MATCH(B215,TableTime[Date],0)),"")</f>
        <v/>
      </c>
      <c r="L215" s="4" t="str">
        <f>IF(SUMIFS(TableTime[Duration],TableTime[Date],B215,TableTime[Activity],Projects!$C$9)+SUMIFS(TableTime[Duration],TableTime[Date],B215,TableTime[Activity],Projects!$C$10)+SUMIFS(TableTime[Duration],TableTime[Date],B215,TableTime[Activity],Projects!$C$11)=0,"",SUMIFS(TableTime[Duration],TableTime[Date],B215,TableTime[Activity],Projects!$C$9)+SUMIFS(TableTime[Duration],TableTime[Date],B215,TableTime[Activity],Projects!$C$10)+SUMIFS(TableTime[Duration],TableTime[Date],B215,TableTime[Activity],Projects!$C$11))</f>
        <v/>
      </c>
      <c r="M215" s="4" t="str" cm="1">
        <f t="array" ref="M215">IFERROR(LOOKUP(2,1/(TableTime[Date]=B215),TableTime[Time]),"")</f>
        <v/>
      </c>
      <c r="N215" s="38" t="str">
        <f>IF(SUMIFS(TableTime[[Duration]:[Duration]],TableTime[[Date]:[Date]],$B215,TableTime[[Activity]:[Activity]],N$1)=0,"",SUMIFS(TableTime[[Duration]:[Duration]],TableTime[[Date]:[Date]],$B215,TableTime[[Activity]:[Activity]],N$1))</f>
        <v/>
      </c>
      <c r="O215" s="4" t="str">
        <f>IF(SUMIFS(TableTime[[Duration]:[Duration]],TableTime[[Date]:[Date]],$B215,TableTime[[Activity]:[Activity]],O$1)=0,"",SUMIFS(TableTime[[Duration]:[Duration]],TableTime[[Date]:[Date]],$B215,TableTime[[Activity]:[Activity]],O$1))</f>
        <v/>
      </c>
      <c r="P215" s="4" t="str">
        <f>IF(SUMIFS(TableTime[[Duration]:[Duration]],TableTime[[Date]:[Date]],$B215,TableTime[[Activity]:[Activity]],P$1)=0,"",SUMIFS(TableTime[[Duration]:[Duration]],TableTime[[Date]:[Date]],$B215,TableTime[[Activity]:[Activity]],P$1))</f>
        <v/>
      </c>
      <c r="Q215" s="4" t="str">
        <f>IF(SUMIFS(TableTime[[Duration]:[Duration]],TableTime[[Date]:[Date]],$B215,TableTime[[Activity]:[Activity]],Q$1)=0,"",SUMIFS(TableTime[[Duration]:[Duration]],TableTime[[Date]:[Date]],$B215,TableTime[[Activity]:[Activity]],Q$1))</f>
        <v/>
      </c>
      <c r="R215" s="4" t="str">
        <f>IF(SUMIFS(TableTime[[Duration]:[Duration]],TableTime[[Date]:[Date]],$B215,TableTime[[Activity]:[Activity]],R$1)=0,"",SUMIFS(TableTime[[Duration]:[Duration]],TableTime[[Date]:[Date]],$B215,TableTime[[Activity]:[Activity]],R$1))</f>
        <v/>
      </c>
      <c r="S215" s="130" t="str">
        <f>IF(SUMIFS(TableTime[[Duration]:[Duration]],TableTime[[Date]:[Date]],$B215,TableTime[[Activity]:[Activity]],S$1)=0,"",SUMIFS(TableTime[[Duration]:[Duration]],TableTime[[Date]:[Date]],$B215,TableTime[[Activity]:[Activity]],S$1))</f>
        <v/>
      </c>
      <c r="T215" s="4" t="str">
        <f>IF(SUMIFS(TableTime[[Duration]:[Duration]],TableTime[[Date]:[Date]],$B215,TableTime[[Activity]:[Activity]],T$1)=0,"",SUMIFS(TableTime[[Duration]:[Duration]],TableTime[[Date]:[Date]],$B215,TableTime[[Activity]:[Activity]],T$1))</f>
        <v/>
      </c>
      <c r="U215" s="39" t="str">
        <f>IF(SUMIFS(TableTime[[Duration]:[Duration]],TableTime[[Date]:[Date]],$B215,TableTime[[Activity]:[Activity]],U$1)=0,"",SUMIFS(TableTime[[Duration]:[Duration]],TableTime[[Date]:[Date]],$B215,TableTime[[Activity]:[Activity]],U$1))</f>
        <v/>
      </c>
    </row>
    <row r="216" spans="1:21" x14ac:dyDescent="0.35">
      <c r="A216" s="59" t="str">
        <f t="shared" si="18"/>
        <v>Thr</v>
      </c>
      <c r="B216" s="91">
        <f t="shared" si="20"/>
        <v>45141</v>
      </c>
      <c r="C216" s="60">
        <f t="shared" si="21"/>
        <v>8</v>
      </c>
      <c r="D216" s="61">
        <f t="shared" si="19"/>
        <v>31</v>
      </c>
      <c r="E216" s="103"/>
      <c r="F216" s="60" t="str">
        <f>IFERROR(IF(OR(WEEKDAY(B216,2)=6,WEEKDAY(B216,2)=7),'Month summary'!$D$11,IF(E216="",'Month summary'!$C$11,E216)),"")</f>
        <v>W</v>
      </c>
      <c r="G216" s="62">
        <f>IF(B216&lt;Time!$B$2,"",IF(F216='Month summary'!$C$11,'Month summary'!$F$2/24,IF(F216="H/2",'Month summary'!$F$2/24/2,0)))</f>
        <v>0.33333333333333331</v>
      </c>
      <c r="H216" s="62">
        <f t="shared" si="22"/>
        <v>0</v>
      </c>
      <c r="I216" s="62" t="str">
        <f t="shared" si="23"/>
        <v/>
      </c>
      <c r="J216" s="108"/>
      <c r="K216" s="63" t="str">
        <f>IFERROR(INDEX(TableTime[Time],MATCH(B216,TableTime[Date],0)),"")</f>
        <v/>
      </c>
      <c r="L216" s="62" t="str">
        <f>IF(SUMIFS(TableTime[Duration],TableTime[Date],B216,TableTime[Activity],Projects!$C$9)+SUMIFS(TableTime[Duration],TableTime[Date],B216,TableTime[Activity],Projects!$C$10)+SUMIFS(TableTime[Duration],TableTime[Date],B216,TableTime[Activity],Projects!$C$11)=0,"",SUMIFS(TableTime[Duration],TableTime[Date],B216,TableTime[Activity],Projects!$C$9)+SUMIFS(TableTime[Duration],TableTime[Date],B216,TableTime[Activity],Projects!$C$10)+SUMIFS(TableTime[Duration],TableTime[Date],B216,TableTime[Activity],Projects!$C$11))</f>
        <v/>
      </c>
      <c r="M216" s="62" t="str" cm="1">
        <f t="array" ref="M216">IFERROR(LOOKUP(2,1/(TableTime[Date]=B216),TableTime[Time]),"")</f>
        <v/>
      </c>
      <c r="N216" s="63" t="str">
        <f>IF(SUMIFS(TableTime[[Duration]:[Duration]],TableTime[[Date]:[Date]],$B216,TableTime[[Activity]:[Activity]],N$1)=0,"",SUMIFS(TableTime[[Duration]:[Duration]],TableTime[[Date]:[Date]],$B216,TableTime[[Activity]:[Activity]],N$1))</f>
        <v/>
      </c>
      <c r="O216" s="62" t="str">
        <f>IF(SUMIFS(TableTime[[Duration]:[Duration]],TableTime[[Date]:[Date]],$B216,TableTime[[Activity]:[Activity]],O$1)=0,"",SUMIFS(TableTime[[Duration]:[Duration]],TableTime[[Date]:[Date]],$B216,TableTime[[Activity]:[Activity]],O$1))</f>
        <v/>
      </c>
      <c r="P216" s="62" t="str">
        <f>IF(SUMIFS(TableTime[[Duration]:[Duration]],TableTime[[Date]:[Date]],$B216,TableTime[[Activity]:[Activity]],P$1)=0,"",SUMIFS(TableTime[[Duration]:[Duration]],TableTime[[Date]:[Date]],$B216,TableTime[[Activity]:[Activity]],P$1))</f>
        <v/>
      </c>
      <c r="Q216" s="62" t="str">
        <f>IF(SUMIFS(TableTime[[Duration]:[Duration]],TableTime[[Date]:[Date]],$B216,TableTime[[Activity]:[Activity]],Q$1)=0,"",SUMIFS(TableTime[[Duration]:[Duration]],TableTime[[Date]:[Date]],$B216,TableTime[[Activity]:[Activity]],Q$1))</f>
        <v/>
      </c>
      <c r="R216" s="62" t="str">
        <f>IF(SUMIFS(TableTime[[Duration]:[Duration]],TableTime[[Date]:[Date]],$B216,TableTime[[Activity]:[Activity]],R$1)=0,"",SUMIFS(TableTime[[Duration]:[Duration]],TableTime[[Date]:[Date]],$B216,TableTime[[Activity]:[Activity]],R$1))</f>
        <v/>
      </c>
      <c r="S216" s="131" t="str">
        <f>IF(SUMIFS(TableTime[[Duration]:[Duration]],TableTime[[Date]:[Date]],$B216,TableTime[[Activity]:[Activity]],S$1)=0,"",SUMIFS(TableTime[[Duration]:[Duration]],TableTime[[Date]:[Date]],$B216,TableTime[[Activity]:[Activity]],S$1))</f>
        <v/>
      </c>
      <c r="T216" s="62" t="str">
        <f>IF(SUMIFS(TableTime[[Duration]:[Duration]],TableTime[[Date]:[Date]],$B216,TableTime[[Activity]:[Activity]],T$1)=0,"",SUMIFS(TableTime[[Duration]:[Duration]],TableTime[[Date]:[Date]],$B216,TableTime[[Activity]:[Activity]],T$1))</f>
        <v/>
      </c>
      <c r="U216" s="64" t="str">
        <f>IF(SUMIFS(TableTime[[Duration]:[Duration]],TableTime[[Date]:[Date]],$B216,TableTime[[Activity]:[Activity]],U$1)=0,"",SUMIFS(TableTime[[Duration]:[Duration]],TableTime[[Date]:[Date]],$B216,TableTime[[Activity]:[Activity]],U$1))</f>
        <v/>
      </c>
    </row>
    <row r="217" spans="1:21" x14ac:dyDescent="0.35">
      <c r="A217" s="35" t="str">
        <f t="shared" si="18"/>
        <v>Fri</v>
      </c>
      <c r="B217" s="5">
        <f t="shared" si="20"/>
        <v>45142</v>
      </c>
      <c r="C217" s="1">
        <f t="shared" si="21"/>
        <v>8</v>
      </c>
      <c r="D217" s="2">
        <f t="shared" si="19"/>
        <v>31</v>
      </c>
      <c r="E217" s="102"/>
      <c r="F217" s="1" t="str">
        <f>IFERROR(IF(OR(WEEKDAY(B217,2)=6,WEEKDAY(B217,2)=7),'Month summary'!$D$11,IF(E217="",'Month summary'!$C$11,E217)),"")</f>
        <v>W</v>
      </c>
      <c r="G217" s="4">
        <f>IF(B217&lt;Time!$B$2,"",IF(F217='Month summary'!$C$11,'Month summary'!$F$2/24,IF(F217="H/2",'Month summary'!$F$2/24/2,0)))</f>
        <v>0.33333333333333331</v>
      </c>
      <c r="H217" s="4">
        <f t="shared" si="22"/>
        <v>0</v>
      </c>
      <c r="I217" s="4" t="str">
        <f t="shared" si="23"/>
        <v/>
      </c>
      <c r="J217" s="107"/>
      <c r="K217" s="38" t="str">
        <f>IFERROR(INDEX(TableTime[Time],MATCH(B217,TableTime[Date],0)),"")</f>
        <v/>
      </c>
      <c r="L217" s="4" t="str">
        <f>IF(SUMIFS(TableTime[Duration],TableTime[Date],B217,TableTime[Activity],Projects!$C$9)+SUMIFS(TableTime[Duration],TableTime[Date],B217,TableTime[Activity],Projects!$C$10)+SUMIFS(TableTime[Duration],TableTime[Date],B217,TableTime[Activity],Projects!$C$11)=0,"",SUMIFS(TableTime[Duration],TableTime[Date],B217,TableTime[Activity],Projects!$C$9)+SUMIFS(TableTime[Duration],TableTime[Date],B217,TableTime[Activity],Projects!$C$10)+SUMIFS(TableTime[Duration],TableTime[Date],B217,TableTime[Activity],Projects!$C$11))</f>
        <v/>
      </c>
      <c r="M217" s="4" t="str" cm="1">
        <f t="array" ref="M217">IFERROR(LOOKUP(2,1/(TableTime[Date]=B217),TableTime[Time]),"")</f>
        <v/>
      </c>
      <c r="N217" s="38" t="str">
        <f>IF(SUMIFS(TableTime[[Duration]:[Duration]],TableTime[[Date]:[Date]],$B217,TableTime[[Activity]:[Activity]],N$1)=0,"",SUMIFS(TableTime[[Duration]:[Duration]],TableTime[[Date]:[Date]],$B217,TableTime[[Activity]:[Activity]],N$1))</f>
        <v/>
      </c>
      <c r="O217" s="4" t="str">
        <f>IF(SUMIFS(TableTime[[Duration]:[Duration]],TableTime[[Date]:[Date]],$B217,TableTime[[Activity]:[Activity]],O$1)=0,"",SUMIFS(TableTime[[Duration]:[Duration]],TableTime[[Date]:[Date]],$B217,TableTime[[Activity]:[Activity]],O$1))</f>
        <v/>
      </c>
      <c r="P217" s="4" t="str">
        <f>IF(SUMIFS(TableTime[[Duration]:[Duration]],TableTime[[Date]:[Date]],$B217,TableTime[[Activity]:[Activity]],P$1)=0,"",SUMIFS(TableTime[[Duration]:[Duration]],TableTime[[Date]:[Date]],$B217,TableTime[[Activity]:[Activity]],P$1))</f>
        <v/>
      </c>
      <c r="Q217" s="4" t="str">
        <f>IF(SUMIFS(TableTime[[Duration]:[Duration]],TableTime[[Date]:[Date]],$B217,TableTime[[Activity]:[Activity]],Q$1)=0,"",SUMIFS(TableTime[[Duration]:[Duration]],TableTime[[Date]:[Date]],$B217,TableTime[[Activity]:[Activity]],Q$1))</f>
        <v/>
      </c>
      <c r="R217" s="4" t="str">
        <f>IF(SUMIFS(TableTime[[Duration]:[Duration]],TableTime[[Date]:[Date]],$B217,TableTime[[Activity]:[Activity]],R$1)=0,"",SUMIFS(TableTime[[Duration]:[Duration]],TableTime[[Date]:[Date]],$B217,TableTime[[Activity]:[Activity]],R$1))</f>
        <v/>
      </c>
      <c r="S217" s="130" t="str">
        <f>IF(SUMIFS(TableTime[[Duration]:[Duration]],TableTime[[Date]:[Date]],$B217,TableTime[[Activity]:[Activity]],S$1)=0,"",SUMIFS(TableTime[[Duration]:[Duration]],TableTime[[Date]:[Date]],$B217,TableTime[[Activity]:[Activity]],S$1))</f>
        <v/>
      </c>
      <c r="T217" s="4" t="str">
        <f>IF(SUMIFS(TableTime[[Duration]:[Duration]],TableTime[[Date]:[Date]],$B217,TableTime[[Activity]:[Activity]],T$1)=0,"",SUMIFS(TableTime[[Duration]:[Duration]],TableTime[[Date]:[Date]],$B217,TableTime[[Activity]:[Activity]],T$1))</f>
        <v/>
      </c>
      <c r="U217" s="39" t="str">
        <f>IF(SUMIFS(TableTime[[Duration]:[Duration]],TableTime[[Date]:[Date]],$B217,TableTime[[Activity]:[Activity]],U$1)=0,"",SUMIFS(TableTime[[Duration]:[Duration]],TableTime[[Date]:[Date]],$B217,TableTime[[Activity]:[Activity]],U$1))</f>
        <v/>
      </c>
    </row>
    <row r="218" spans="1:21" x14ac:dyDescent="0.35">
      <c r="A218" s="59" t="str">
        <f t="shared" si="18"/>
        <v>Sat</v>
      </c>
      <c r="B218" s="91">
        <f t="shared" si="20"/>
        <v>45143</v>
      </c>
      <c r="C218" s="60">
        <f t="shared" si="21"/>
        <v>8</v>
      </c>
      <c r="D218" s="61">
        <f t="shared" si="19"/>
        <v>31</v>
      </c>
      <c r="E218" s="103"/>
      <c r="F218" s="60" t="str">
        <f>IFERROR(IF(OR(WEEKDAY(B218,2)=6,WEEKDAY(B218,2)=7),'Month summary'!$D$11,IF(E218="",'Month summary'!$C$11,E218)),"")</f>
        <v>WE</v>
      </c>
      <c r="G218" s="62">
        <f>IF(B218&lt;Time!$B$2,"",IF(F218='Month summary'!$C$11,'Month summary'!$F$2/24,IF(F218="H/2",'Month summary'!$F$2/24/2,0)))</f>
        <v>0</v>
      </c>
      <c r="H218" s="62">
        <f t="shared" si="22"/>
        <v>0</v>
      </c>
      <c r="I218" s="62" t="str">
        <f t="shared" si="23"/>
        <v/>
      </c>
      <c r="J218" s="108"/>
      <c r="K218" s="63" t="str">
        <f>IFERROR(INDEX(TableTime[Time],MATCH(B218,TableTime[Date],0)),"")</f>
        <v/>
      </c>
      <c r="L218" s="62" t="str">
        <f>IF(SUMIFS(TableTime[Duration],TableTime[Date],B218,TableTime[Activity],Projects!$C$9)+SUMIFS(TableTime[Duration],TableTime[Date],B218,TableTime[Activity],Projects!$C$10)+SUMIFS(TableTime[Duration],TableTime[Date],B218,TableTime[Activity],Projects!$C$11)=0,"",SUMIFS(TableTime[Duration],TableTime[Date],B218,TableTime[Activity],Projects!$C$9)+SUMIFS(TableTime[Duration],TableTime[Date],B218,TableTime[Activity],Projects!$C$10)+SUMIFS(TableTime[Duration],TableTime[Date],B218,TableTime[Activity],Projects!$C$11))</f>
        <v/>
      </c>
      <c r="M218" s="62" t="str" cm="1">
        <f t="array" ref="M218">IFERROR(LOOKUP(2,1/(TableTime[Date]=B218),TableTime[Time]),"")</f>
        <v/>
      </c>
      <c r="N218" s="63" t="str">
        <f>IF(SUMIFS(TableTime[[Duration]:[Duration]],TableTime[[Date]:[Date]],$B218,TableTime[[Activity]:[Activity]],N$1)=0,"",SUMIFS(TableTime[[Duration]:[Duration]],TableTime[[Date]:[Date]],$B218,TableTime[[Activity]:[Activity]],N$1))</f>
        <v/>
      </c>
      <c r="O218" s="62" t="str">
        <f>IF(SUMIFS(TableTime[[Duration]:[Duration]],TableTime[[Date]:[Date]],$B218,TableTime[[Activity]:[Activity]],O$1)=0,"",SUMIFS(TableTime[[Duration]:[Duration]],TableTime[[Date]:[Date]],$B218,TableTime[[Activity]:[Activity]],O$1))</f>
        <v/>
      </c>
      <c r="P218" s="62" t="str">
        <f>IF(SUMIFS(TableTime[[Duration]:[Duration]],TableTime[[Date]:[Date]],$B218,TableTime[[Activity]:[Activity]],P$1)=0,"",SUMIFS(TableTime[[Duration]:[Duration]],TableTime[[Date]:[Date]],$B218,TableTime[[Activity]:[Activity]],P$1))</f>
        <v/>
      </c>
      <c r="Q218" s="62" t="str">
        <f>IF(SUMIFS(TableTime[[Duration]:[Duration]],TableTime[[Date]:[Date]],$B218,TableTime[[Activity]:[Activity]],Q$1)=0,"",SUMIFS(TableTime[[Duration]:[Duration]],TableTime[[Date]:[Date]],$B218,TableTime[[Activity]:[Activity]],Q$1))</f>
        <v/>
      </c>
      <c r="R218" s="62" t="str">
        <f>IF(SUMIFS(TableTime[[Duration]:[Duration]],TableTime[[Date]:[Date]],$B218,TableTime[[Activity]:[Activity]],R$1)=0,"",SUMIFS(TableTime[[Duration]:[Duration]],TableTime[[Date]:[Date]],$B218,TableTime[[Activity]:[Activity]],R$1))</f>
        <v/>
      </c>
      <c r="S218" s="131" t="str">
        <f>IF(SUMIFS(TableTime[[Duration]:[Duration]],TableTime[[Date]:[Date]],$B218,TableTime[[Activity]:[Activity]],S$1)=0,"",SUMIFS(TableTime[[Duration]:[Duration]],TableTime[[Date]:[Date]],$B218,TableTime[[Activity]:[Activity]],S$1))</f>
        <v/>
      </c>
      <c r="T218" s="62" t="str">
        <f>IF(SUMIFS(TableTime[[Duration]:[Duration]],TableTime[[Date]:[Date]],$B218,TableTime[[Activity]:[Activity]],T$1)=0,"",SUMIFS(TableTime[[Duration]:[Duration]],TableTime[[Date]:[Date]],$B218,TableTime[[Activity]:[Activity]],T$1))</f>
        <v/>
      </c>
      <c r="U218" s="64" t="str">
        <f>IF(SUMIFS(TableTime[[Duration]:[Duration]],TableTime[[Date]:[Date]],$B218,TableTime[[Activity]:[Activity]],U$1)=0,"",SUMIFS(TableTime[[Duration]:[Duration]],TableTime[[Date]:[Date]],$B218,TableTime[[Activity]:[Activity]],U$1))</f>
        <v/>
      </c>
    </row>
    <row r="219" spans="1:21" x14ac:dyDescent="0.35">
      <c r="A219" s="35" t="str">
        <f t="shared" si="18"/>
        <v>Sun</v>
      </c>
      <c r="B219" s="5">
        <f t="shared" si="20"/>
        <v>45144</v>
      </c>
      <c r="C219" s="1">
        <f t="shared" si="21"/>
        <v>8</v>
      </c>
      <c r="D219" s="2">
        <f t="shared" si="19"/>
        <v>31</v>
      </c>
      <c r="E219" s="102"/>
      <c r="F219" s="1" t="str">
        <f>IFERROR(IF(OR(WEEKDAY(B219,2)=6,WEEKDAY(B219,2)=7),'Month summary'!$D$11,IF(E219="",'Month summary'!$C$11,E219)),"")</f>
        <v>WE</v>
      </c>
      <c r="G219" s="4">
        <f>IF(B219&lt;Time!$B$2,"",IF(F219='Month summary'!$C$11,'Month summary'!$F$2/24,IF(F219="H/2",'Month summary'!$F$2/24/2,0)))</f>
        <v>0</v>
      </c>
      <c r="H219" s="4">
        <f t="shared" si="22"/>
        <v>0</v>
      </c>
      <c r="I219" s="4" t="str">
        <f t="shared" si="23"/>
        <v/>
      </c>
      <c r="J219" s="107"/>
      <c r="K219" s="38" t="str">
        <f>IFERROR(INDEX(TableTime[Time],MATCH(B219,TableTime[Date],0)),"")</f>
        <v/>
      </c>
      <c r="L219" s="4" t="str">
        <f>IF(SUMIFS(TableTime[Duration],TableTime[Date],B219,TableTime[Activity],Projects!$C$9)+SUMIFS(TableTime[Duration],TableTime[Date],B219,TableTime[Activity],Projects!$C$10)+SUMIFS(TableTime[Duration],TableTime[Date],B219,TableTime[Activity],Projects!$C$11)=0,"",SUMIFS(TableTime[Duration],TableTime[Date],B219,TableTime[Activity],Projects!$C$9)+SUMIFS(TableTime[Duration],TableTime[Date],B219,TableTime[Activity],Projects!$C$10)+SUMIFS(TableTime[Duration],TableTime[Date],B219,TableTime[Activity],Projects!$C$11))</f>
        <v/>
      </c>
      <c r="M219" s="4" t="str" cm="1">
        <f t="array" ref="M219">IFERROR(LOOKUP(2,1/(TableTime[Date]=B219),TableTime[Time]),"")</f>
        <v/>
      </c>
      <c r="N219" s="38" t="str">
        <f>IF(SUMIFS(TableTime[[Duration]:[Duration]],TableTime[[Date]:[Date]],$B219,TableTime[[Activity]:[Activity]],N$1)=0,"",SUMIFS(TableTime[[Duration]:[Duration]],TableTime[[Date]:[Date]],$B219,TableTime[[Activity]:[Activity]],N$1))</f>
        <v/>
      </c>
      <c r="O219" s="4" t="str">
        <f>IF(SUMIFS(TableTime[[Duration]:[Duration]],TableTime[[Date]:[Date]],$B219,TableTime[[Activity]:[Activity]],O$1)=0,"",SUMIFS(TableTime[[Duration]:[Duration]],TableTime[[Date]:[Date]],$B219,TableTime[[Activity]:[Activity]],O$1))</f>
        <v/>
      </c>
      <c r="P219" s="4" t="str">
        <f>IF(SUMIFS(TableTime[[Duration]:[Duration]],TableTime[[Date]:[Date]],$B219,TableTime[[Activity]:[Activity]],P$1)=0,"",SUMIFS(TableTime[[Duration]:[Duration]],TableTime[[Date]:[Date]],$B219,TableTime[[Activity]:[Activity]],P$1))</f>
        <v/>
      </c>
      <c r="Q219" s="4" t="str">
        <f>IF(SUMIFS(TableTime[[Duration]:[Duration]],TableTime[[Date]:[Date]],$B219,TableTime[[Activity]:[Activity]],Q$1)=0,"",SUMIFS(TableTime[[Duration]:[Duration]],TableTime[[Date]:[Date]],$B219,TableTime[[Activity]:[Activity]],Q$1))</f>
        <v/>
      </c>
      <c r="R219" s="4" t="str">
        <f>IF(SUMIFS(TableTime[[Duration]:[Duration]],TableTime[[Date]:[Date]],$B219,TableTime[[Activity]:[Activity]],R$1)=0,"",SUMIFS(TableTime[[Duration]:[Duration]],TableTime[[Date]:[Date]],$B219,TableTime[[Activity]:[Activity]],R$1))</f>
        <v/>
      </c>
      <c r="S219" s="130" t="str">
        <f>IF(SUMIFS(TableTime[[Duration]:[Duration]],TableTime[[Date]:[Date]],$B219,TableTime[[Activity]:[Activity]],S$1)=0,"",SUMIFS(TableTime[[Duration]:[Duration]],TableTime[[Date]:[Date]],$B219,TableTime[[Activity]:[Activity]],S$1))</f>
        <v/>
      </c>
      <c r="T219" s="4" t="str">
        <f>IF(SUMIFS(TableTime[[Duration]:[Duration]],TableTime[[Date]:[Date]],$B219,TableTime[[Activity]:[Activity]],T$1)=0,"",SUMIFS(TableTime[[Duration]:[Duration]],TableTime[[Date]:[Date]],$B219,TableTime[[Activity]:[Activity]],T$1))</f>
        <v/>
      </c>
      <c r="U219" s="39" t="str">
        <f>IF(SUMIFS(TableTime[[Duration]:[Duration]],TableTime[[Date]:[Date]],$B219,TableTime[[Activity]:[Activity]],U$1)=0,"",SUMIFS(TableTime[[Duration]:[Duration]],TableTime[[Date]:[Date]],$B219,TableTime[[Activity]:[Activity]],U$1))</f>
        <v/>
      </c>
    </row>
    <row r="220" spans="1:21" x14ac:dyDescent="0.35">
      <c r="A220" s="59" t="str">
        <f t="shared" si="18"/>
        <v>Mon</v>
      </c>
      <c r="B220" s="91">
        <f t="shared" si="20"/>
        <v>45145</v>
      </c>
      <c r="C220" s="60">
        <f t="shared" si="21"/>
        <v>8</v>
      </c>
      <c r="D220" s="61">
        <f t="shared" si="19"/>
        <v>32</v>
      </c>
      <c r="E220" s="103"/>
      <c r="F220" s="60" t="str">
        <f>IFERROR(IF(OR(WEEKDAY(B220,2)=6,WEEKDAY(B220,2)=7),'Month summary'!$D$11,IF(E220="",'Month summary'!$C$11,E220)),"")</f>
        <v>W</v>
      </c>
      <c r="G220" s="62">
        <f>IF(B220&lt;Time!$B$2,"",IF(F220='Month summary'!$C$11,'Month summary'!$F$2/24,IF(F220="H/2",'Month summary'!$F$2/24/2,0)))</f>
        <v>0.33333333333333331</v>
      </c>
      <c r="H220" s="62">
        <f t="shared" si="22"/>
        <v>0</v>
      </c>
      <c r="I220" s="62" t="str">
        <f t="shared" si="23"/>
        <v/>
      </c>
      <c r="J220" s="108"/>
      <c r="K220" s="63" t="str">
        <f>IFERROR(INDEX(TableTime[Time],MATCH(B220,TableTime[Date],0)),"")</f>
        <v/>
      </c>
      <c r="L220" s="62" t="str">
        <f>IF(SUMIFS(TableTime[Duration],TableTime[Date],B220,TableTime[Activity],Projects!$C$9)+SUMIFS(TableTime[Duration],TableTime[Date],B220,TableTime[Activity],Projects!$C$10)+SUMIFS(TableTime[Duration],TableTime[Date],B220,TableTime[Activity],Projects!$C$11)=0,"",SUMIFS(TableTime[Duration],TableTime[Date],B220,TableTime[Activity],Projects!$C$9)+SUMIFS(TableTime[Duration],TableTime[Date],B220,TableTime[Activity],Projects!$C$10)+SUMIFS(TableTime[Duration],TableTime[Date],B220,TableTime[Activity],Projects!$C$11))</f>
        <v/>
      </c>
      <c r="M220" s="62" t="str" cm="1">
        <f t="array" ref="M220">IFERROR(LOOKUP(2,1/(TableTime[Date]=B220),TableTime[Time]),"")</f>
        <v/>
      </c>
      <c r="N220" s="63" t="str">
        <f>IF(SUMIFS(TableTime[[Duration]:[Duration]],TableTime[[Date]:[Date]],$B220,TableTime[[Activity]:[Activity]],N$1)=0,"",SUMIFS(TableTime[[Duration]:[Duration]],TableTime[[Date]:[Date]],$B220,TableTime[[Activity]:[Activity]],N$1))</f>
        <v/>
      </c>
      <c r="O220" s="62" t="str">
        <f>IF(SUMIFS(TableTime[[Duration]:[Duration]],TableTime[[Date]:[Date]],$B220,TableTime[[Activity]:[Activity]],O$1)=0,"",SUMIFS(TableTime[[Duration]:[Duration]],TableTime[[Date]:[Date]],$B220,TableTime[[Activity]:[Activity]],O$1))</f>
        <v/>
      </c>
      <c r="P220" s="62" t="str">
        <f>IF(SUMIFS(TableTime[[Duration]:[Duration]],TableTime[[Date]:[Date]],$B220,TableTime[[Activity]:[Activity]],P$1)=0,"",SUMIFS(TableTime[[Duration]:[Duration]],TableTime[[Date]:[Date]],$B220,TableTime[[Activity]:[Activity]],P$1))</f>
        <v/>
      </c>
      <c r="Q220" s="62" t="str">
        <f>IF(SUMIFS(TableTime[[Duration]:[Duration]],TableTime[[Date]:[Date]],$B220,TableTime[[Activity]:[Activity]],Q$1)=0,"",SUMIFS(TableTime[[Duration]:[Duration]],TableTime[[Date]:[Date]],$B220,TableTime[[Activity]:[Activity]],Q$1))</f>
        <v/>
      </c>
      <c r="R220" s="62" t="str">
        <f>IF(SUMIFS(TableTime[[Duration]:[Duration]],TableTime[[Date]:[Date]],$B220,TableTime[[Activity]:[Activity]],R$1)=0,"",SUMIFS(TableTime[[Duration]:[Duration]],TableTime[[Date]:[Date]],$B220,TableTime[[Activity]:[Activity]],R$1))</f>
        <v/>
      </c>
      <c r="S220" s="131" t="str">
        <f>IF(SUMIFS(TableTime[[Duration]:[Duration]],TableTime[[Date]:[Date]],$B220,TableTime[[Activity]:[Activity]],S$1)=0,"",SUMIFS(TableTime[[Duration]:[Duration]],TableTime[[Date]:[Date]],$B220,TableTime[[Activity]:[Activity]],S$1))</f>
        <v/>
      </c>
      <c r="T220" s="62" t="str">
        <f>IF(SUMIFS(TableTime[[Duration]:[Duration]],TableTime[[Date]:[Date]],$B220,TableTime[[Activity]:[Activity]],T$1)=0,"",SUMIFS(TableTime[[Duration]:[Duration]],TableTime[[Date]:[Date]],$B220,TableTime[[Activity]:[Activity]],T$1))</f>
        <v/>
      </c>
      <c r="U220" s="64" t="str">
        <f>IF(SUMIFS(TableTime[[Duration]:[Duration]],TableTime[[Date]:[Date]],$B220,TableTime[[Activity]:[Activity]],U$1)=0,"",SUMIFS(TableTime[[Duration]:[Duration]],TableTime[[Date]:[Date]],$B220,TableTime[[Activity]:[Activity]],U$1))</f>
        <v/>
      </c>
    </row>
    <row r="221" spans="1:21" x14ac:dyDescent="0.35">
      <c r="A221" s="35" t="str">
        <f t="shared" si="18"/>
        <v>Tue</v>
      </c>
      <c r="B221" s="5">
        <f t="shared" si="20"/>
        <v>45146</v>
      </c>
      <c r="C221" s="1">
        <f t="shared" si="21"/>
        <v>8</v>
      </c>
      <c r="D221" s="2">
        <f t="shared" si="19"/>
        <v>32</v>
      </c>
      <c r="E221" s="102"/>
      <c r="F221" s="1" t="str">
        <f>IFERROR(IF(OR(WEEKDAY(B221,2)=6,WEEKDAY(B221,2)=7),'Month summary'!$D$11,IF(E221="",'Month summary'!$C$11,E221)),"")</f>
        <v>W</v>
      </c>
      <c r="G221" s="4">
        <f>IF(B221&lt;Time!$B$2,"",IF(F221='Month summary'!$C$11,'Month summary'!$F$2/24,IF(F221="H/2",'Month summary'!$F$2/24/2,0)))</f>
        <v>0.33333333333333331</v>
      </c>
      <c r="H221" s="4">
        <f t="shared" si="22"/>
        <v>0</v>
      </c>
      <c r="I221" s="4" t="str">
        <f t="shared" si="23"/>
        <v/>
      </c>
      <c r="J221" s="107"/>
      <c r="K221" s="38" t="str">
        <f>IFERROR(INDEX(TableTime[Time],MATCH(B221,TableTime[Date],0)),"")</f>
        <v/>
      </c>
      <c r="L221" s="4" t="str">
        <f>IF(SUMIFS(TableTime[Duration],TableTime[Date],B221,TableTime[Activity],Projects!$C$9)+SUMIFS(TableTime[Duration],TableTime[Date],B221,TableTime[Activity],Projects!$C$10)+SUMIFS(TableTime[Duration],TableTime[Date],B221,TableTime[Activity],Projects!$C$11)=0,"",SUMIFS(TableTime[Duration],TableTime[Date],B221,TableTime[Activity],Projects!$C$9)+SUMIFS(TableTime[Duration],TableTime[Date],B221,TableTime[Activity],Projects!$C$10)+SUMIFS(TableTime[Duration],TableTime[Date],B221,TableTime[Activity],Projects!$C$11))</f>
        <v/>
      </c>
      <c r="M221" s="4" t="str" cm="1">
        <f t="array" ref="M221">IFERROR(LOOKUP(2,1/(TableTime[Date]=B221),TableTime[Time]),"")</f>
        <v/>
      </c>
      <c r="N221" s="38" t="str">
        <f>IF(SUMIFS(TableTime[[Duration]:[Duration]],TableTime[[Date]:[Date]],$B221,TableTime[[Activity]:[Activity]],N$1)=0,"",SUMIFS(TableTime[[Duration]:[Duration]],TableTime[[Date]:[Date]],$B221,TableTime[[Activity]:[Activity]],N$1))</f>
        <v/>
      </c>
      <c r="O221" s="4" t="str">
        <f>IF(SUMIFS(TableTime[[Duration]:[Duration]],TableTime[[Date]:[Date]],$B221,TableTime[[Activity]:[Activity]],O$1)=0,"",SUMIFS(TableTime[[Duration]:[Duration]],TableTime[[Date]:[Date]],$B221,TableTime[[Activity]:[Activity]],O$1))</f>
        <v/>
      </c>
      <c r="P221" s="4" t="str">
        <f>IF(SUMIFS(TableTime[[Duration]:[Duration]],TableTime[[Date]:[Date]],$B221,TableTime[[Activity]:[Activity]],P$1)=0,"",SUMIFS(TableTime[[Duration]:[Duration]],TableTime[[Date]:[Date]],$B221,TableTime[[Activity]:[Activity]],P$1))</f>
        <v/>
      </c>
      <c r="Q221" s="4" t="str">
        <f>IF(SUMIFS(TableTime[[Duration]:[Duration]],TableTime[[Date]:[Date]],$B221,TableTime[[Activity]:[Activity]],Q$1)=0,"",SUMIFS(TableTime[[Duration]:[Duration]],TableTime[[Date]:[Date]],$B221,TableTime[[Activity]:[Activity]],Q$1))</f>
        <v/>
      </c>
      <c r="R221" s="4" t="str">
        <f>IF(SUMIFS(TableTime[[Duration]:[Duration]],TableTime[[Date]:[Date]],$B221,TableTime[[Activity]:[Activity]],R$1)=0,"",SUMIFS(TableTime[[Duration]:[Duration]],TableTime[[Date]:[Date]],$B221,TableTime[[Activity]:[Activity]],R$1))</f>
        <v/>
      </c>
      <c r="S221" s="130" t="str">
        <f>IF(SUMIFS(TableTime[[Duration]:[Duration]],TableTime[[Date]:[Date]],$B221,TableTime[[Activity]:[Activity]],S$1)=0,"",SUMIFS(TableTime[[Duration]:[Duration]],TableTime[[Date]:[Date]],$B221,TableTime[[Activity]:[Activity]],S$1))</f>
        <v/>
      </c>
      <c r="T221" s="4" t="str">
        <f>IF(SUMIFS(TableTime[[Duration]:[Duration]],TableTime[[Date]:[Date]],$B221,TableTime[[Activity]:[Activity]],T$1)=0,"",SUMIFS(TableTime[[Duration]:[Duration]],TableTime[[Date]:[Date]],$B221,TableTime[[Activity]:[Activity]],T$1))</f>
        <v/>
      </c>
      <c r="U221" s="39" t="str">
        <f>IF(SUMIFS(TableTime[[Duration]:[Duration]],TableTime[[Date]:[Date]],$B221,TableTime[[Activity]:[Activity]],U$1)=0,"",SUMIFS(TableTime[[Duration]:[Duration]],TableTime[[Date]:[Date]],$B221,TableTime[[Activity]:[Activity]],U$1))</f>
        <v/>
      </c>
    </row>
    <row r="222" spans="1:21" x14ac:dyDescent="0.35">
      <c r="A222" s="59" t="str">
        <f t="shared" si="18"/>
        <v>Wed</v>
      </c>
      <c r="B222" s="91">
        <f t="shared" si="20"/>
        <v>45147</v>
      </c>
      <c r="C222" s="60">
        <f t="shared" si="21"/>
        <v>8</v>
      </c>
      <c r="D222" s="61">
        <f t="shared" si="19"/>
        <v>32</v>
      </c>
      <c r="E222" s="103"/>
      <c r="F222" s="60" t="str">
        <f>IFERROR(IF(OR(WEEKDAY(B222,2)=6,WEEKDAY(B222,2)=7),'Month summary'!$D$11,IF(E222="",'Month summary'!$C$11,E222)),"")</f>
        <v>W</v>
      </c>
      <c r="G222" s="62">
        <f>IF(B222&lt;Time!$B$2,"",IF(F222='Month summary'!$C$11,'Month summary'!$F$2/24,IF(F222="H/2",'Month summary'!$F$2/24/2,0)))</f>
        <v>0.33333333333333331</v>
      </c>
      <c r="H222" s="62">
        <f t="shared" si="22"/>
        <v>0</v>
      </c>
      <c r="I222" s="62" t="str">
        <f t="shared" si="23"/>
        <v/>
      </c>
      <c r="J222" s="108"/>
      <c r="K222" s="63" t="str">
        <f>IFERROR(INDEX(TableTime[Time],MATCH(B222,TableTime[Date],0)),"")</f>
        <v/>
      </c>
      <c r="L222" s="62" t="str">
        <f>IF(SUMIFS(TableTime[Duration],TableTime[Date],B222,TableTime[Activity],Projects!$C$9)+SUMIFS(TableTime[Duration],TableTime[Date],B222,TableTime[Activity],Projects!$C$10)+SUMIFS(TableTime[Duration],TableTime[Date],B222,TableTime[Activity],Projects!$C$11)=0,"",SUMIFS(TableTime[Duration],TableTime[Date],B222,TableTime[Activity],Projects!$C$9)+SUMIFS(TableTime[Duration],TableTime[Date],B222,TableTime[Activity],Projects!$C$10)+SUMIFS(TableTime[Duration],TableTime[Date],B222,TableTime[Activity],Projects!$C$11))</f>
        <v/>
      </c>
      <c r="M222" s="62" t="str" cm="1">
        <f t="array" ref="M222">IFERROR(LOOKUP(2,1/(TableTime[Date]=B222),TableTime[Time]),"")</f>
        <v/>
      </c>
      <c r="N222" s="63" t="str">
        <f>IF(SUMIFS(TableTime[[Duration]:[Duration]],TableTime[[Date]:[Date]],$B222,TableTime[[Activity]:[Activity]],N$1)=0,"",SUMIFS(TableTime[[Duration]:[Duration]],TableTime[[Date]:[Date]],$B222,TableTime[[Activity]:[Activity]],N$1))</f>
        <v/>
      </c>
      <c r="O222" s="62" t="str">
        <f>IF(SUMIFS(TableTime[[Duration]:[Duration]],TableTime[[Date]:[Date]],$B222,TableTime[[Activity]:[Activity]],O$1)=0,"",SUMIFS(TableTime[[Duration]:[Duration]],TableTime[[Date]:[Date]],$B222,TableTime[[Activity]:[Activity]],O$1))</f>
        <v/>
      </c>
      <c r="P222" s="62" t="str">
        <f>IF(SUMIFS(TableTime[[Duration]:[Duration]],TableTime[[Date]:[Date]],$B222,TableTime[[Activity]:[Activity]],P$1)=0,"",SUMIFS(TableTime[[Duration]:[Duration]],TableTime[[Date]:[Date]],$B222,TableTime[[Activity]:[Activity]],P$1))</f>
        <v/>
      </c>
      <c r="Q222" s="62" t="str">
        <f>IF(SUMIFS(TableTime[[Duration]:[Duration]],TableTime[[Date]:[Date]],$B222,TableTime[[Activity]:[Activity]],Q$1)=0,"",SUMIFS(TableTime[[Duration]:[Duration]],TableTime[[Date]:[Date]],$B222,TableTime[[Activity]:[Activity]],Q$1))</f>
        <v/>
      </c>
      <c r="R222" s="62" t="str">
        <f>IF(SUMIFS(TableTime[[Duration]:[Duration]],TableTime[[Date]:[Date]],$B222,TableTime[[Activity]:[Activity]],R$1)=0,"",SUMIFS(TableTime[[Duration]:[Duration]],TableTime[[Date]:[Date]],$B222,TableTime[[Activity]:[Activity]],R$1))</f>
        <v/>
      </c>
      <c r="S222" s="131" t="str">
        <f>IF(SUMIFS(TableTime[[Duration]:[Duration]],TableTime[[Date]:[Date]],$B222,TableTime[[Activity]:[Activity]],S$1)=0,"",SUMIFS(TableTime[[Duration]:[Duration]],TableTime[[Date]:[Date]],$B222,TableTime[[Activity]:[Activity]],S$1))</f>
        <v/>
      </c>
      <c r="T222" s="62" t="str">
        <f>IF(SUMIFS(TableTime[[Duration]:[Duration]],TableTime[[Date]:[Date]],$B222,TableTime[[Activity]:[Activity]],T$1)=0,"",SUMIFS(TableTime[[Duration]:[Duration]],TableTime[[Date]:[Date]],$B222,TableTime[[Activity]:[Activity]],T$1))</f>
        <v/>
      </c>
      <c r="U222" s="64" t="str">
        <f>IF(SUMIFS(TableTime[[Duration]:[Duration]],TableTime[[Date]:[Date]],$B222,TableTime[[Activity]:[Activity]],U$1)=0,"",SUMIFS(TableTime[[Duration]:[Duration]],TableTime[[Date]:[Date]],$B222,TableTime[[Activity]:[Activity]],U$1))</f>
        <v/>
      </c>
    </row>
    <row r="223" spans="1:21" x14ac:dyDescent="0.35">
      <c r="A223" s="35" t="str">
        <f t="shared" si="18"/>
        <v>Thr</v>
      </c>
      <c r="B223" s="5">
        <f t="shared" si="20"/>
        <v>45148</v>
      </c>
      <c r="C223" s="1">
        <f t="shared" si="21"/>
        <v>8</v>
      </c>
      <c r="D223" s="2">
        <f t="shared" si="19"/>
        <v>32</v>
      </c>
      <c r="E223" s="102"/>
      <c r="F223" s="1" t="str">
        <f>IFERROR(IF(OR(WEEKDAY(B223,2)=6,WEEKDAY(B223,2)=7),'Month summary'!$D$11,IF(E223="",'Month summary'!$C$11,E223)),"")</f>
        <v>W</v>
      </c>
      <c r="G223" s="4">
        <f>IF(B223&lt;Time!$B$2,"",IF(F223='Month summary'!$C$11,'Month summary'!$F$2/24,IF(F223="H/2",'Month summary'!$F$2/24/2,0)))</f>
        <v>0.33333333333333331</v>
      </c>
      <c r="H223" s="4">
        <f t="shared" si="22"/>
        <v>0</v>
      </c>
      <c r="I223" s="4" t="str">
        <f t="shared" si="23"/>
        <v/>
      </c>
      <c r="J223" s="107"/>
      <c r="K223" s="38" t="str">
        <f>IFERROR(INDEX(TableTime[Time],MATCH(B223,TableTime[Date],0)),"")</f>
        <v/>
      </c>
      <c r="L223" s="4" t="str">
        <f>IF(SUMIFS(TableTime[Duration],TableTime[Date],B223,TableTime[Activity],Projects!$C$9)+SUMIFS(TableTime[Duration],TableTime[Date],B223,TableTime[Activity],Projects!$C$10)+SUMIFS(TableTime[Duration],TableTime[Date],B223,TableTime[Activity],Projects!$C$11)=0,"",SUMIFS(TableTime[Duration],TableTime[Date],B223,TableTime[Activity],Projects!$C$9)+SUMIFS(TableTime[Duration],TableTime[Date],B223,TableTime[Activity],Projects!$C$10)+SUMIFS(TableTime[Duration],TableTime[Date],B223,TableTime[Activity],Projects!$C$11))</f>
        <v/>
      </c>
      <c r="M223" s="4" t="str" cm="1">
        <f t="array" ref="M223">IFERROR(LOOKUP(2,1/(TableTime[Date]=B223),TableTime[Time]),"")</f>
        <v/>
      </c>
      <c r="N223" s="38" t="str">
        <f>IF(SUMIFS(TableTime[[Duration]:[Duration]],TableTime[[Date]:[Date]],$B223,TableTime[[Activity]:[Activity]],N$1)=0,"",SUMIFS(TableTime[[Duration]:[Duration]],TableTime[[Date]:[Date]],$B223,TableTime[[Activity]:[Activity]],N$1))</f>
        <v/>
      </c>
      <c r="O223" s="4" t="str">
        <f>IF(SUMIFS(TableTime[[Duration]:[Duration]],TableTime[[Date]:[Date]],$B223,TableTime[[Activity]:[Activity]],O$1)=0,"",SUMIFS(TableTime[[Duration]:[Duration]],TableTime[[Date]:[Date]],$B223,TableTime[[Activity]:[Activity]],O$1))</f>
        <v/>
      </c>
      <c r="P223" s="4" t="str">
        <f>IF(SUMIFS(TableTime[[Duration]:[Duration]],TableTime[[Date]:[Date]],$B223,TableTime[[Activity]:[Activity]],P$1)=0,"",SUMIFS(TableTime[[Duration]:[Duration]],TableTime[[Date]:[Date]],$B223,TableTime[[Activity]:[Activity]],P$1))</f>
        <v/>
      </c>
      <c r="Q223" s="4" t="str">
        <f>IF(SUMIFS(TableTime[[Duration]:[Duration]],TableTime[[Date]:[Date]],$B223,TableTime[[Activity]:[Activity]],Q$1)=0,"",SUMIFS(TableTime[[Duration]:[Duration]],TableTime[[Date]:[Date]],$B223,TableTime[[Activity]:[Activity]],Q$1))</f>
        <v/>
      </c>
      <c r="R223" s="4" t="str">
        <f>IF(SUMIFS(TableTime[[Duration]:[Duration]],TableTime[[Date]:[Date]],$B223,TableTime[[Activity]:[Activity]],R$1)=0,"",SUMIFS(TableTime[[Duration]:[Duration]],TableTime[[Date]:[Date]],$B223,TableTime[[Activity]:[Activity]],R$1))</f>
        <v/>
      </c>
      <c r="S223" s="130" t="str">
        <f>IF(SUMIFS(TableTime[[Duration]:[Duration]],TableTime[[Date]:[Date]],$B223,TableTime[[Activity]:[Activity]],S$1)=0,"",SUMIFS(TableTime[[Duration]:[Duration]],TableTime[[Date]:[Date]],$B223,TableTime[[Activity]:[Activity]],S$1))</f>
        <v/>
      </c>
      <c r="T223" s="4" t="str">
        <f>IF(SUMIFS(TableTime[[Duration]:[Duration]],TableTime[[Date]:[Date]],$B223,TableTime[[Activity]:[Activity]],T$1)=0,"",SUMIFS(TableTime[[Duration]:[Duration]],TableTime[[Date]:[Date]],$B223,TableTime[[Activity]:[Activity]],T$1))</f>
        <v/>
      </c>
      <c r="U223" s="39" t="str">
        <f>IF(SUMIFS(TableTime[[Duration]:[Duration]],TableTime[[Date]:[Date]],$B223,TableTime[[Activity]:[Activity]],U$1)=0,"",SUMIFS(TableTime[[Duration]:[Duration]],TableTime[[Date]:[Date]],$B223,TableTime[[Activity]:[Activity]],U$1))</f>
        <v/>
      </c>
    </row>
    <row r="224" spans="1:21" x14ac:dyDescent="0.35">
      <c r="A224" s="59" t="str">
        <f t="shared" si="18"/>
        <v>Fri</v>
      </c>
      <c r="B224" s="91">
        <f t="shared" si="20"/>
        <v>45149</v>
      </c>
      <c r="C224" s="60">
        <f t="shared" si="21"/>
        <v>8</v>
      </c>
      <c r="D224" s="61">
        <f t="shared" si="19"/>
        <v>32</v>
      </c>
      <c r="E224" s="103"/>
      <c r="F224" s="60" t="str">
        <f>IFERROR(IF(OR(WEEKDAY(B224,2)=6,WEEKDAY(B224,2)=7),'Month summary'!$D$11,IF(E224="",'Month summary'!$C$11,E224)),"")</f>
        <v>W</v>
      </c>
      <c r="G224" s="62">
        <f>IF(B224&lt;Time!$B$2,"",IF(F224='Month summary'!$C$11,'Month summary'!$F$2/24,IF(F224="H/2",'Month summary'!$F$2/24/2,0)))</f>
        <v>0.33333333333333331</v>
      </c>
      <c r="H224" s="62">
        <f t="shared" si="22"/>
        <v>0</v>
      </c>
      <c r="I224" s="62" t="str">
        <f t="shared" si="23"/>
        <v/>
      </c>
      <c r="J224" s="108"/>
      <c r="K224" s="63" t="str">
        <f>IFERROR(INDEX(TableTime[Time],MATCH(B224,TableTime[Date],0)),"")</f>
        <v/>
      </c>
      <c r="L224" s="62" t="str">
        <f>IF(SUMIFS(TableTime[Duration],TableTime[Date],B224,TableTime[Activity],Projects!$C$9)+SUMIFS(TableTime[Duration],TableTime[Date],B224,TableTime[Activity],Projects!$C$10)+SUMIFS(TableTime[Duration],TableTime[Date],B224,TableTime[Activity],Projects!$C$11)=0,"",SUMIFS(TableTime[Duration],TableTime[Date],B224,TableTime[Activity],Projects!$C$9)+SUMIFS(TableTime[Duration],TableTime[Date],B224,TableTime[Activity],Projects!$C$10)+SUMIFS(TableTime[Duration],TableTime[Date],B224,TableTime[Activity],Projects!$C$11))</f>
        <v/>
      </c>
      <c r="M224" s="62" t="str" cm="1">
        <f t="array" ref="M224">IFERROR(LOOKUP(2,1/(TableTime[Date]=B224),TableTime[Time]),"")</f>
        <v/>
      </c>
      <c r="N224" s="63" t="str">
        <f>IF(SUMIFS(TableTime[[Duration]:[Duration]],TableTime[[Date]:[Date]],$B224,TableTime[[Activity]:[Activity]],N$1)=0,"",SUMIFS(TableTime[[Duration]:[Duration]],TableTime[[Date]:[Date]],$B224,TableTime[[Activity]:[Activity]],N$1))</f>
        <v/>
      </c>
      <c r="O224" s="62" t="str">
        <f>IF(SUMIFS(TableTime[[Duration]:[Duration]],TableTime[[Date]:[Date]],$B224,TableTime[[Activity]:[Activity]],O$1)=0,"",SUMIFS(TableTime[[Duration]:[Duration]],TableTime[[Date]:[Date]],$B224,TableTime[[Activity]:[Activity]],O$1))</f>
        <v/>
      </c>
      <c r="P224" s="62" t="str">
        <f>IF(SUMIFS(TableTime[[Duration]:[Duration]],TableTime[[Date]:[Date]],$B224,TableTime[[Activity]:[Activity]],P$1)=0,"",SUMIFS(TableTime[[Duration]:[Duration]],TableTime[[Date]:[Date]],$B224,TableTime[[Activity]:[Activity]],P$1))</f>
        <v/>
      </c>
      <c r="Q224" s="62" t="str">
        <f>IF(SUMIFS(TableTime[[Duration]:[Duration]],TableTime[[Date]:[Date]],$B224,TableTime[[Activity]:[Activity]],Q$1)=0,"",SUMIFS(TableTime[[Duration]:[Duration]],TableTime[[Date]:[Date]],$B224,TableTime[[Activity]:[Activity]],Q$1))</f>
        <v/>
      </c>
      <c r="R224" s="62" t="str">
        <f>IF(SUMIFS(TableTime[[Duration]:[Duration]],TableTime[[Date]:[Date]],$B224,TableTime[[Activity]:[Activity]],R$1)=0,"",SUMIFS(TableTime[[Duration]:[Duration]],TableTime[[Date]:[Date]],$B224,TableTime[[Activity]:[Activity]],R$1))</f>
        <v/>
      </c>
      <c r="S224" s="131" t="str">
        <f>IF(SUMIFS(TableTime[[Duration]:[Duration]],TableTime[[Date]:[Date]],$B224,TableTime[[Activity]:[Activity]],S$1)=0,"",SUMIFS(TableTime[[Duration]:[Duration]],TableTime[[Date]:[Date]],$B224,TableTime[[Activity]:[Activity]],S$1))</f>
        <v/>
      </c>
      <c r="T224" s="62" t="str">
        <f>IF(SUMIFS(TableTime[[Duration]:[Duration]],TableTime[[Date]:[Date]],$B224,TableTime[[Activity]:[Activity]],T$1)=0,"",SUMIFS(TableTime[[Duration]:[Duration]],TableTime[[Date]:[Date]],$B224,TableTime[[Activity]:[Activity]],T$1))</f>
        <v/>
      </c>
      <c r="U224" s="64" t="str">
        <f>IF(SUMIFS(TableTime[[Duration]:[Duration]],TableTime[[Date]:[Date]],$B224,TableTime[[Activity]:[Activity]],U$1)=0,"",SUMIFS(TableTime[[Duration]:[Duration]],TableTime[[Date]:[Date]],$B224,TableTime[[Activity]:[Activity]],U$1))</f>
        <v/>
      </c>
    </row>
    <row r="225" spans="1:21" x14ac:dyDescent="0.35">
      <c r="A225" s="35" t="str">
        <f t="shared" si="18"/>
        <v>Sat</v>
      </c>
      <c r="B225" s="5">
        <f t="shared" si="20"/>
        <v>45150</v>
      </c>
      <c r="C225" s="1">
        <f t="shared" si="21"/>
        <v>8</v>
      </c>
      <c r="D225" s="2">
        <f t="shared" si="19"/>
        <v>32</v>
      </c>
      <c r="E225" s="102"/>
      <c r="F225" s="1" t="str">
        <f>IFERROR(IF(OR(WEEKDAY(B225,2)=6,WEEKDAY(B225,2)=7),'Month summary'!$D$11,IF(E225="",'Month summary'!$C$11,E225)),"")</f>
        <v>WE</v>
      </c>
      <c r="G225" s="4">
        <f>IF(B225&lt;Time!$B$2,"",IF(F225='Month summary'!$C$11,'Month summary'!$F$2/24,IF(F225="H/2",'Month summary'!$F$2/24/2,0)))</f>
        <v>0</v>
      </c>
      <c r="H225" s="4">
        <f t="shared" si="22"/>
        <v>0</v>
      </c>
      <c r="I225" s="4" t="str">
        <f t="shared" si="23"/>
        <v/>
      </c>
      <c r="J225" s="107"/>
      <c r="K225" s="38" t="str">
        <f>IFERROR(INDEX(TableTime[Time],MATCH(B225,TableTime[Date],0)),"")</f>
        <v/>
      </c>
      <c r="L225" s="4" t="str">
        <f>IF(SUMIFS(TableTime[Duration],TableTime[Date],B225,TableTime[Activity],Projects!$C$9)+SUMIFS(TableTime[Duration],TableTime[Date],B225,TableTime[Activity],Projects!$C$10)+SUMIFS(TableTime[Duration],TableTime[Date],B225,TableTime[Activity],Projects!$C$11)=0,"",SUMIFS(TableTime[Duration],TableTime[Date],B225,TableTime[Activity],Projects!$C$9)+SUMIFS(TableTime[Duration],TableTime[Date],B225,TableTime[Activity],Projects!$C$10)+SUMIFS(TableTime[Duration],TableTime[Date],B225,TableTime[Activity],Projects!$C$11))</f>
        <v/>
      </c>
      <c r="M225" s="4" t="str" cm="1">
        <f t="array" ref="M225">IFERROR(LOOKUP(2,1/(TableTime[Date]=B225),TableTime[Time]),"")</f>
        <v/>
      </c>
      <c r="N225" s="38" t="str">
        <f>IF(SUMIFS(TableTime[[Duration]:[Duration]],TableTime[[Date]:[Date]],$B225,TableTime[[Activity]:[Activity]],N$1)=0,"",SUMIFS(TableTime[[Duration]:[Duration]],TableTime[[Date]:[Date]],$B225,TableTime[[Activity]:[Activity]],N$1))</f>
        <v/>
      </c>
      <c r="O225" s="4" t="str">
        <f>IF(SUMIFS(TableTime[[Duration]:[Duration]],TableTime[[Date]:[Date]],$B225,TableTime[[Activity]:[Activity]],O$1)=0,"",SUMIFS(TableTime[[Duration]:[Duration]],TableTime[[Date]:[Date]],$B225,TableTime[[Activity]:[Activity]],O$1))</f>
        <v/>
      </c>
      <c r="P225" s="4" t="str">
        <f>IF(SUMIFS(TableTime[[Duration]:[Duration]],TableTime[[Date]:[Date]],$B225,TableTime[[Activity]:[Activity]],P$1)=0,"",SUMIFS(TableTime[[Duration]:[Duration]],TableTime[[Date]:[Date]],$B225,TableTime[[Activity]:[Activity]],P$1))</f>
        <v/>
      </c>
      <c r="Q225" s="4" t="str">
        <f>IF(SUMIFS(TableTime[[Duration]:[Duration]],TableTime[[Date]:[Date]],$B225,TableTime[[Activity]:[Activity]],Q$1)=0,"",SUMIFS(TableTime[[Duration]:[Duration]],TableTime[[Date]:[Date]],$B225,TableTime[[Activity]:[Activity]],Q$1))</f>
        <v/>
      </c>
      <c r="R225" s="4" t="str">
        <f>IF(SUMIFS(TableTime[[Duration]:[Duration]],TableTime[[Date]:[Date]],$B225,TableTime[[Activity]:[Activity]],R$1)=0,"",SUMIFS(TableTime[[Duration]:[Duration]],TableTime[[Date]:[Date]],$B225,TableTime[[Activity]:[Activity]],R$1))</f>
        <v/>
      </c>
      <c r="S225" s="130" t="str">
        <f>IF(SUMIFS(TableTime[[Duration]:[Duration]],TableTime[[Date]:[Date]],$B225,TableTime[[Activity]:[Activity]],S$1)=0,"",SUMIFS(TableTime[[Duration]:[Duration]],TableTime[[Date]:[Date]],$B225,TableTime[[Activity]:[Activity]],S$1))</f>
        <v/>
      </c>
      <c r="T225" s="4" t="str">
        <f>IF(SUMIFS(TableTime[[Duration]:[Duration]],TableTime[[Date]:[Date]],$B225,TableTime[[Activity]:[Activity]],T$1)=0,"",SUMIFS(TableTime[[Duration]:[Duration]],TableTime[[Date]:[Date]],$B225,TableTime[[Activity]:[Activity]],T$1))</f>
        <v/>
      </c>
      <c r="U225" s="39" t="str">
        <f>IF(SUMIFS(TableTime[[Duration]:[Duration]],TableTime[[Date]:[Date]],$B225,TableTime[[Activity]:[Activity]],U$1)=0,"",SUMIFS(TableTime[[Duration]:[Duration]],TableTime[[Date]:[Date]],$B225,TableTime[[Activity]:[Activity]],U$1))</f>
        <v/>
      </c>
    </row>
    <row r="226" spans="1:21" x14ac:dyDescent="0.35">
      <c r="A226" s="59" t="str">
        <f t="shared" si="18"/>
        <v>Sun</v>
      </c>
      <c r="B226" s="91">
        <f t="shared" si="20"/>
        <v>45151</v>
      </c>
      <c r="C226" s="60">
        <f t="shared" si="21"/>
        <v>8</v>
      </c>
      <c r="D226" s="61">
        <f t="shared" si="19"/>
        <v>32</v>
      </c>
      <c r="E226" s="103"/>
      <c r="F226" s="60" t="str">
        <f>IFERROR(IF(OR(WEEKDAY(B226,2)=6,WEEKDAY(B226,2)=7),'Month summary'!$D$11,IF(E226="",'Month summary'!$C$11,E226)),"")</f>
        <v>WE</v>
      </c>
      <c r="G226" s="62">
        <f>IF(B226&lt;Time!$B$2,"",IF(F226='Month summary'!$C$11,'Month summary'!$F$2/24,IF(F226="H/2",'Month summary'!$F$2/24/2,0)))</f>
        <v>0</v>
      </c>
      <c r="H226" s="62">
        <f t="shared" si="22"/>
        <v>0</v>
      </c>
      <c r="I226" s="62" t="str">
        <f t="shared" si="23"/>
        <v/>
      </c>
      <c r="J226" s="108"/>
      <c r="K226" s="63" t="str">
        <f>IFERROR(INDEX(TableTime[Time],MATCH(B226,TableTime[Date],0)),"")</f>
        <v/>
      </c>
      <c r="L226" s="62" t="str">
        <f>IF(SUMIFS(TableTime[Duration],TableTime[Date],B226,TableTime[Activity],Projects!$C$9)+SUMIFS(TableTime[Duration],TableTime[Date],B226,TableTime[Activity],Projects!$C$10)+SUMIFS(TableTime[Duration],TableTime[Date],B226,TableTime[Activity],Projects!$C$11)=0,"",SUMIFS(TableTime[Duration],TableTime[Date],B226,TableTime[Activity],Projects!$C$9)+SUMIFS(TableTime[Duration],TableTime[Date],B226,TableTime[Activity],Projects!$C$10)+SUMIFS(TableTime[Duration],TableTime[Date],B226,TableTime[Activity],Projects!$C$11))</f>
        <v/>
      </c>
      <c r="M226" s="62" t="str" cm="1">
        <f t="array" ref="M226">IFERROR(LOOKUP(2,1/(TableTime[Date]=B226),TableTime[Time]),"")</f>
        <v/>
      </c>
      <c r="N226" s="63" t="str">
        <f>IF(SUMIFS(TableTime[[Duration]:[Duration]],TableTime[[Date]:[Date]],$B226,TableTime[[Activity]:[Activity]],N$1)=0,"",SUMIFS(TableTime[[Duration]:[Duration]],TableTime[[Date]:[Date]],$B226,TableTime[[Activity]:[Activity]],N$1))</f>
        <v/>
      </c>
      <c r="O226" s="62" t="str">
        <f>IF(SUMIFS(TableTime[[Duration]:[Duration]],TableTime[[Date]:[Date]],$B226,TableTime[[Activity]:[Activity]],O$1)=0,"",SUMIFS(TableTime[[Duration]:[Duration]],TableTime[[Date]:[Date]],$B226,TableTime[[Activity]:[Activity]],O$1))</f>
        <v/>
      </c>
      <c r="P226" s="62" t="str">
        <f>IF(SUMIFS(TableTime[[Duration]:[Duration]],TableTime[[Date]:[Date]],$B226,TableTime[[Activity]:[Activity]],P$1)=0,"",SUMIFS(TableTime[[Duration]:[Duration]],TableTime[[Date]:[Date]],$B226,TableTime[[Activity]:[Activity]],P$1))</f>
        <v/>
      </c>
      <c r="Q226" s="62" t="str">
        <f>IF(SUMIFS(TableTime[[Duration]:[Duration]],TableTime[[Date]:[Date]],$B226,TableTime[[Activity]:[Activity]],Q$1)=0,"",SUMIFS(TableTime[[Duration]:[Duration]],TableTime[[Date]:[Date]],$B226,TableTime[[Activity]:[Activity]],Q$1))</f>
        <v/>
      </c>
      <c r="R226" s="62" t="str">
        <f>IF(SUMIFS(TableTime[[Duration]:[Duration]],TableTime[[Date]:[Date]],$B226,TableTime[[Activity]:[Activity]],R$1)=0,"",SUMIFS(TableTime[[Duration]:[Duration]],TableTime[[Date]:[Date]],$B226,TableTime[[Activity]:[Activity]],R$1))</f>
        <v/>
      </c>
      <c r="S226" s="131" t="str">
        <f>IF(SUMIFS(TableTime[[Duration]:[Duration]],TableTime[[Date]:[Date]],$B226,TableTime[[Activity]:[Activity]],S$1)=0,"",SUMIFS(TableTime[[Duration]:[Duration]],TableTime[[Date]:[Date]],$B226,TableTime[[Activity]:[Activity]],S$1))</f>
        <v/>
      </c>
      <c r="T226" s="62" t="str">
        <f>IF(SUMIFS(TableTime[[Duration]:[Duration]],TableTime[[Date]:[Date]],$B226,TableTime[[Activity]:[Activity]],T$1)=0,"",SUMIFS(TableTime[[Duration]:[Duration]],TableTime[[Date]:[Date]],$B226,TableTime[[Activity]:[Activity]],T$1))</f>
        <v/>
      </c>
      <c r="U226" s="64" t="str">
        <f>IF(SUMIFS(TableTime[[Duration]:[Duration]],TableTime[[Date]:[Date]],$B226,TableTime[[Activity]:[Activity]],U$1)=0,"",SUMIFS(TableTime[[Duration]:[Duration]],TableTime[[Date]:[Date]],$B226,TableTime[[Activity]:[Activity]],U$1))</f>
        <v/>
      </c>
    </row>
    <row r="227" spans="1:21" x14ac:dyDescent="0.35">
      <c r="A227" s="35" t="str">
        <f t="shared" si="18"/>
        <v>Mon</v>
      </c>
      <c r="B227" s="5">
        <f t="shared" si="20"/>
        <v>45152</v>
      </c>
      <c r="C227" s="1">
        <f t="shared" si="21"/>
        <v>8</v>
      </c>
      <c r="D227" s="2">
        <f t="shared" si="19"/>
        <v>33</v>
      </c>
      <c r="E227" s="102"/>
      <c r="F227" s="1" t="str">
        <f>IFERROR(IF(OR(WEEKDAY(B227,2)=6,WEEKDAY(B227,2)=7),'Month summary'!$D$11,IF(E227="",'Month summary'!$C$11,E227)),"")</f>
        <v>W</v>
      </c>
      <c r="G227" s="4">
        <f>IF(B227&lt;Time!$B$2,"",IF(F227='Month summary'!$C$11,'Month summary'!$F$2/24,IF(F227="H/2",'Month summary'!$F$2/24/2,0)))</f>
        <v>0.33333333333333331</v>
      </c>
      <c r="H227" s="4">
        <f t="shared" si="22"/>
        <v>0</v>
      </c>
      <c r="I227" s="4" t="str">
        <f t="shared" si="23"/>
        <v/>
      </c>
      <c r="J227" s="107"/>
      <c r="K227" s="38" t="str">
        <f>IFERROR(INDEX(TableTime[Time],MATCH(B227,TableTime[Date],0)),"")</f>
        <v/>
      </c>
      <c r="L227" s="4" t="str">
        <f>IF(SUMIFS(TableTime[Duration],TableTime[Date],B227,TableTime[Activity],Projects!$C$9)+SUMIFS(TableTime[Duration],TableTime[Date],B227,TableTime[Activity],Projects!$C$10)+SUMIFS(TableTime[Duration],TableTime[Date],B227,TableTime[Activity],Projects!$C$11)=0,"",SUMIFS(TableTime[Duration],TableTime[Date],B227,TableTime[Activity],Projects!$C$9)+SUMIFS(TableTime[Duration],TableTime[Date],B227,TableTime[Activity],Projects!$C$10)+SUMIFS(TableTime[Duration],TableTime[Date],B227,TableTime[Activity],Projects!$C$11))</f>
        <v/>
      </c>
      <c r="M227" s="4" t="str" cm="1">
        <f t="array" ref="M227">IFERROR(LOOKUP(2,1/(TableTime[Date]=B227),TableTime[Time]),"")</f>
        <v/>
      </c>
      <c r="N227" s="38" t="str">
        <f>IF(SUMIFS(TableTime[[Duration]:[Duration]],TableTime[[Date]:[Date]],$B227,TableTime[[Activity]:[Activity]],N$1)=0,"",SUMIFS(TableTime[[Duration]:[Duration]],TableTime[[Date]:[Date]],$B227,TableTime[[Activity]:[Activity]],N$1))</f>
        <v/>
      </c>
      <c r="O227" s="4" t="str">
        <f>IF(SUMIFS(TableTime[[Duration]:[Duration]],TableTime[[Date]:[Date]],$B227,TableTime[[Activity]:[Activity]],O$1)=0,"",SUMIFS(TableTime[[Duration]:[Duration]],TableTime[[Date]:[Date]],$B227,TableTime[[Activity]:[Activity]],O$1))</f>
        <v/>
      </c>
      <c r="P227" s="4" t="str">
        <f>IF(SUMIFS(TableTime[[Duration]:[Duration]],TableTime[[Date]:[Date]],$B227,TableTime[[Activity]:[Activity]],P$1)=0,"",SUMIFS(TableTime[[Duration]:[Duration]],TableTime[[Date]:[Date]],$B227,TableTime[[Activity]:[Activity]],P$1))</f>
        <v/>
      </c>
      <c r="Q227" s="4" t="str">
        <f>IF(SUMIFS(TableTime[[Duration]:[Duration]],TableTime[[Date]:[Date]],$B227,TableTime[[Activity]:[Activity]],Q$1)=0,"",SUMIFS(TableTime[[Duration]:[Duration]],TableTime[[Date]:[Date]],$B227,TableTime[[Activity]:[Activity]],Q$1))</f>
        <v/>
      </c>
      <c r="R227" s="4" t="str">
        <f>IF(SUMIFS(TableTime[[Duration]:[Duration]],TableTime[[Date]:[Date]],$B227,TableTime[[Activity]:[Activity]],R$1)=0,"",SUMIFS(TableTime[[Duration]:[Duration]],TableTime[[Date]:[Date]],$B227,TableTime[[Activity]:[Activity]],R$1))</f>
        <v/>
      </c>
      <c r="S227" s="130" t="str">
        <f>IF(SUMIFS(TableTime[[Duration]:[Duration]],TableTime[[Date]:[Date]],$B227,TableTime[[Activity]:[Activity]],S$1)=0,"",SUMIFS(TableTime[[Duration]:[Duration]],TableTime[[Date]:[Date]],$B227,TableTime[[Activity]:[Activity]],S$1))</f>
        <v/>
      </c>
      <c r="T227" s="4" t="str">
        <f>IF(SUMIFS(TableTime[[Duration]:[Duration]],TableTime[[Date]:[Date]],$B227,TableTime[[Activity]:[Activity]],T$1)=0,"",SUMIFS(TableTime[[Duration]:[Duration]],TableTime[[Date]:[Date]],$B227,TableTime[[Activity]:[Activity]],T$1))</f>
        <v/>
      </c>
      <c r="U227" s="39" t="str">
        <f>IF(SUMIFS(TableTime[[Duration]:[Duration]],TableTime[[Date]:[Date]],$B227,TableTime[[Activity]:[Activity]],U$1)=0,"",SUMIFS(TableTime[[Duration]:[Duration]],TableTime[[Date]:[Date]],$B227,TableTime[[Activity]:[Activity]],U$1))</f>
        <v/>
      </c>
    </row>
    <row r="228" spans="1:21" x14ac:dyDescent="0.35">
      <c r="A228" s="59" t="str">
        <f t="shared" si="18"/>
        <v>Tue</v>
      </c>
      <c r="B228" s="91">
        <f t="shared" si="20"/>
        <v>45153</v>
      </c>
      <c r="C228" s="60">
        <f t="shared" si="21"/>
        <v>8</v>
      </c>
      <c r="D228" s="61">
        <f t="shared" si="19"/>
        <v>33</v>
      </c>
      <c r="E228" s="103"/>
      <c r="F228" s="60" t="str">
        <f>IFERROR(IF(OR(WEEKDAY(B228,2)=6,WEEKDAY(B228,2)=7),'Month summary'!$D$11,IF(E228="",'Month summary'!$C$11,E228)),"")</f>
        <v>W</v>
      </c>
      <c r="G228" s="62">
        <f>IF(B228&lt;Time!$B$2,"",IF(F228='Month summary'!$C$11,'Month summary'!$F$2/24,IF(F228="H/2",'Month summary'!$F$2/24/2,0)))</f>
        <v>0.33333333333333331</v>
      </c>
      <c r="H228" s="62">
        <f t="shared" si="22"/>
        <v>0</v>
      </c>
      <c r="I228" s="62" t="str">
        <f t="shared" si="23"/>
        <v/>
      </c>
      <c r="J228" s="108"/>
      <c r="K228" s="63" t="str">
        <f>IFERROR(INDEX(TableTime[Time],MATCH(B228,TableTime[Date],0)),"")</f>
        <v/>
      </c>
      <c r="L228" s="62" t="str">
        <f>IF(SUMIFS(TableTime[Duration],TableTime[Date],B228,TableTime[Activity],Projects!$C$9)+SUMIFS(TableTime[Duration],TableTime[Date],B228,TableTime[Activity],Projects!$C$10)+SUMIFS(TableTime[Duration],TableTime[Date],B228,TableTime[Activity],Projects!$C$11)=0,"",SUMIFS(TableTime[Duration],TableTime[Date],B228,TableTime[Activity],Projects!$C$9)+SUMIFS(TableTime[Duration],TableTime[Date],B228,TableTime[Activity],Projects!$C$10)+SUMIFS(TableTime[Duration],TableTime[Date],B228,TableTime[Activity],Projects!$C$11))</f>
        <v/>
      </c>
      <c r="M228" s="62" t="str" cm="1">
        <f t="array" ref="M228">IFERROR(LOOKUP(2,1/(TableTime[Date]=B228),TableTime[Time]),"")</f>
        <v/>
      </c>
      <c r="N228" s="63" t="str">
        <f>IF(SUMIFS(TableTime[[Duration]:[Duration]],TableTime[[Date]:[Date]],$B228,TableTime[[Activity]:[Activity]],N$1)=0,"",SUMIFS(TableTime[[Duration]:[Duration]],TableTime[[Date]:[Date]],$B228,TableTime[[Activity]:[Activity]],N$1))</f>
        <v/>
      </c>
      <c r="O228" s="62" t="str">
        <f>IF(SUMIFS(TableTime[[Duration]:[Duration]],TableTime[[Date]:[Date]],$B228,TableTime[[Activity]:[Activity]],O$1)=0,"",SUMIFS(TableTime[[Duration]:[Duration]],TableTime[[Date]:[Date]],$B228,TableTime[[Activity]:[Activity]],O$1))</f>
        <v/>
      </c>
      <c r="P228" s="62" t="str">
        <f>IF(SUMIFS(TableTime[[Duration]:[Duration]],TableTime[[Date]:[Date]],$B228,TableTime[[Activity]:[Activity]],P$1)=0,"",SUMIFS(TableTime[[Duration]:[Duration]],TableTime[[Date]:[Date]],$B228,TableTime[[Activity]:[Activity]],P$1))</f>
        <v/>
      </c>
      <c r="Q228" s="62" t="str">
        <f>IF(SUMIFS(TableTime[[Duration]:[Duration]],TableTime[[Date]:[Date]],$B228,TableTime[[Activity]:[Activity]],Q$1)=0,"",SUMIFS(TableTime[[Duration]:[Duration]],TableTime[[Date]:[Date]],$B228,TableTime[[Activity]:[Activity]],Q$1))</f>
        <v/>
      </c>
      <c r="R228" s="62" t="str">
        <f>IF(SUMIFS(TableTime[[Duration]:[Duration]],TableTime[[Date]:[Date]],$B228,TableTime[[Activity]:[Activity]],R$1)=0,"",SUMIFS(TableTime[[Duration]:[Duration]],TableTime[[Date]:[Date]],$B228,TableTime[[Activity]:[Activity]],R$1))</f>
        <v/>
      </c>
      <c r="S228" s="131" t="str">
        <f>IF(SUMIFS(TableTime[[Duration]:[Duration]],TableTime[[Date]:[Date]],$B228,TableTime[[Activity]:[Activity]],S$1)=0,"",SUMIFS(TableTime[[Duration]:[Duration]],TableTime[[Date]:[Date]],$B228,TableTime[[Activity]:[Activity]],S$1))</f>
        <v/>
      </c>
      <c r="T228" s="62" t="str">
        <f>IF(SUMIFS(TableTime[[Duration]:[Duration]],TableTime[[Date]:[Date]],$B228,TableTime[[Activity]:[Activity]],T$1)=0,"",SUMIFS(TableTime[[Duration]:[Duration]],TableTime[[Date]:[Date]],$B228,TableTime[[Activity]:[Activity]],T$1))</f>
        <v/>
      </c>
      <c r="U228" s="64" t="str">
        <f>IF(SUMIFS(TableTime[[Duration]:[Duration]],TableTime[[Date]:[Date]],$B228,TableTime[[Activity]:[Activity]],U$1)=0,"",SUMIFS(TableTime[[Duration]:[Duration]],TableTime[[Date]:[Date]],$B228,TableTime[[Activity]:[Activity]],U$1))</f>
        <v/>
      </c>
    </row>
    <row r="229" spans="1:21" x14ac:dyDescent="0.35">
      <c r="A229" s="35" t="str">
        <f t="shared" si="18"/>
        <v>Wed</v>
      </c>
      <c r="B229" s="5">
        <f t="shared" si="20"/>
        <v>45154</v>
      </c>
      <c r="C229" s="1">
        <f t="shared" si="21"/>
        <v>8</v>
      </c>
      <c r="D229" s="2">
        <f t="shared" si="19"/>
        <v>33</v>
      </c>
      <c r="E229" s="102"/>
      <c r="F229" s="1" t="str">
        <f>IFERROR(IF(OR(WEEKDAY(B229,2)=6,WEEKDAY(B229,2)=7),'Month summary'!$D$11,IF(E229="",'Month summary'!$C$11,E229)),"")</f>
        <v>W</v>
      </c>
      <c r="G229" s="4">
        <f>IF(B229&lt;Time!$B$2,"",IF(F229='Month summary'!$C$11,'Month summary'!$F$2/24,IF(F229="H/2",'Month summary'!$F$2/24/2,0)))</f>
        <v>0.33333333333333331</v>
      </c>
      <c r="H229" s="4">
        <f t="shared" si="22"/>
        <v>0</v>
      </c>
      <c r="I229" s="4" t="str">
        <f t="shared" si="23"/>
        <v/>
      </c>
      <c r="J229" s="107"/>
      <c r="K229" s="38" t="str">
        <f>IFERROR(INDEX(TableTime[Time],MATCH(B229,TableTime[Date],0)),"")</f>
        <v/>
      </c>
      <c r="L229" s="4" t="str">
        <f>IF(SUMIFS(TableTime[Duration],TableTime[Date],B229,TableTime[Activity],Projects!$C$9)+SUMIFS(TableTime[Duration],TableTime[Date],B229,TableTime[Activity],Projects!$C$10)+SUMIFS(TableTime[Duration],TableTime[Date],B229,TableTime[Activity],Projects!$C$11)=0,"",SUMIFS(TableTime[Duration],TableTime[Date],B229,TableTime[Activity],Projects!$C$9)+SUMIFS(TableTime[Duration],TableTime[Date],B229,TableTime[Activity],Projects!$C$10)+SUMIFS(TableTime[Duration],TableTime[Date],B229,TableTime[Activity],Projects!$C$11))</f>
        <v/>
      </c>
      <c r="M229" s="4" t="str" cm="1">
        <f t="array" ref="M229">IFERROR(LOOKUP(2,1/(TableTime[Date]=B229),TableTime[Time]),"")</f>
        <v/>
      </c>
      <c r="N229" s="38" t="str">
        <f>IF(SUMIFS(TableTime[[Duration]:[Duration]],TableTime[[Date]:[Date]],$B229,TableTime[[Activity]:[Activity]],N$1)=0,"",SUMIFS(TableTime[[Duration]:[Duration]],TableTime[[Date]:[Date]],$B229,TableTime[[Activity]:[Activity]],N$1))</f>
        <v/>
      </c>
      <c r="O229" s="4" t="str">
        <f>IF(SUMIFS(TableTime[[Duration]:[Duration]],TableTime[[Date]:[Date]],$B229,TableTime[[Activity]:[Activity]],O$1)=0,"",SUMIFS(TableTime[[Duration]:[Duration]],TableTime[[Date]:[Date]],$B229,TableTime[[Activity]:[Activity]],O$1))</f>
        <v/>
      </c>
      <c r="P229" s="4" t="str">
        <f>IF(SUMIFS(TableTime[[Duration]:[Duration]],TableTime[[Date]:[Date]],$B229,TableTime[[Activity]:[Activity]],P$1)=0,"",SUMIFS(TableTime[[Duration]:[Duration]],TableTime[[Date]:[Date]],$B229,TableTime[[Activity]:[Activity]],P$1))</f>
        <v/>
      </c>
      <c r="Q229" s="4" t="str">
        <f>IF(SUMIFS(TableTime[[Duration]:[Duration]],TableTime[[Date]:[Date]],$B229,TableTime[[Activity]:[Activity]],Q$1)=0,"",SUMIFS(TableTime[[Duration]:[Duration]],TableTime[[Date]:[Date]],$B229,TableTime[[Activity]:[Activity]],Q$1))</f>
        <v/>
      </c>
      <c r="R229" s="4" t="str">
        <f>IF(SUMIFS(TableTime[[Duration]:[Duration]],TableTime[[Date]:[Date]],$B229,TableTime[[Activity]:[Activity]],R$1)=0,"",SUMIFS(TableTime[[Duration]:[Duration]],TableTime[[Date]:[Date]],$B229,TableTime[[Activity]:[Activity]],R$1))</f>
        <v/>
      </c>
      <c r="S229" s="130" t="str">
        <f>IF(SUMIFS(TableTime[[Duration]:[Duration]],TableTime[[Date]:[Date]],$B229,TableTime[[Activity]:[Activity]],S$1)=0,"",SUMIFS(TableTime[[Duration]:[Duration]],TableTime[[Date]:[Date]],$B229,TableTime[[Activity]:[Activity]],S$1))</f>
        <v/>
      </c>
      <c r="T229" s="4" t="str">
        <f>IF(SUMIFS(TableTime[[Duration]:[Duration]],TableTime[[Date]:[Date]],$B229,TableTime[[Activity]:[Activity]],T$1)=0,"",SUMIFS(TableTime[[Duration]:[Duration]],TableTime[[Date]:[Date]],$B229,TableTime[[Activity]:[Activity]],T$1))</f>
        <v/>
      </c>
      <c r="U229" s="39" t="str">
        <f>IF(SUMIFS(TableTime[[Duration]:[Duration]],TableTime[[Date]:[Date]],$B229,TableTime[[Activity]:[Activity]],U$1)=0,"",SUMIFS(TableTime[[Duration]:[Duration]],TableTime[[Date]:[Date]],$B229,TableTime[[Activity]:[Activity]],U$1))</f>
        <v/>
      </c>
    </row>
    <row r="230" spans="1:21" x14ac:dyDescent="0.35">
      <c r="A230" s="59" t="str">
        <f t="shared" si="18"/>
        <v>Thr</v>
      </c>
      <c r="B230" s="91">
        <f t="shared" si="20"/>
        <v>45155</v>
      </c>
      <c r="C230" s="60">
        <f t="shared" si="21"/>
        <v>8</v>
      </c>
      <c r="D230" s="61">
        <f t="shared" si="19"/>
        <v>33</v>
      </c>
      <c r="E230" s="103"/>
      <c r="F230" s="60" t="str">
        <f>IFERROR(IF(OR(WEEKDAY(B230,2)=6,WEEKDAY(B230,2)=7),'Month summary'!$D$11,IF(E230="",'Month summary'!$C$11,E230)),"")</f>
        <v>W</v>
      </c>
      <c r="G230" s="62">
        <f>IF(B230&lt;Time!$B$2,"",IF(F230='Month summary'!$C$11,'Month summary'!$F$2/24,IF(F230="H/2",'Month summary'!$F$2/24/2,0)))</f>
        <v>0.33333333333333331</v>
      </c>
      <c r="H230" s="62">
        <f t="shared" si="22"/>
        <v>0</v>
      </c>
      <c r="I230" s="62" t="str">
        <f t="shared" si="23"/>
        <v/>
      </c>
      <c r="J230" s="108"/>
      <c r="K230" s="63" t="str">
        <f>IFERROR(INDEX(TableTime[Time],MATCH(B230,TableTime[Date],0)),"")</f>
        <v/>
      </c>
      <c r="L230" s="62" t="str">
        <f>IF(SUMIFS(TableTime[Duration],TableTime[Date],B230,TableTime[Activity],Projects!$C$9)+SUMIFS(TableTime[Duration],TableTime[Date],B230,TableTime[Activity],Projects!$C$10)+SUMIFS(TableTime[Duration],TableTime[Date],B230,TableTime[Activity],Projects!$C$11)=0,"",SUMIFS(TableTime[Duration],TableTime[Date],B230,TableTime[Activity],Projects!$C$9)+SUMIFS(TableTime[Duration],TableTime[Date],B230,TableTime[Activity],Projects!$C$10)+SUMIFS(TableTime[Duration],TableTime[Date],B230,TableTime[Activity],Projects!$C$11))</f>
        <v/>
      </c>
      <c r="M230" s="62" t="str" cm="1">
        <f t="array" ref="M230">IFERROR(LOOKUP(2,1/(TableTime[Date]=B230),TableTime[Time]),"")</f>
        <v/>
      </c>
      <c r="N230" s="63" t="str">
        <f>IF(SUMIFS(TableTime[[Duration]:[Duration]],TableTime[[Date]:[Date]],$B230,TableTime[[Activity]:[Activity]],N$1)=0,"",SUMIFS(TableTime[[Duration]:[Duration]],TableTime[[Date]:[Date]],$B230,TableTime[[Activity]:[Activity]],N$1))</f>
        <v/>
      </c>
      <c r="O230" s="62" t="str">
        <f>IF(SUMIFS(TableTime[[Duration]:[Duration]],TableTime[[Date]:[Date]],$B230,TableTime[[Activity]:[Activity]],O$1)=0,"",SUMIFS(TableTime[[Duration]:[Duration]],TableTime[[Date]:[Date]],$B230,TableTime[[Activity]:[Activity]],O$1))</f>
        <v/>
      </c>
      <c r="P230" s="62" t="str">
        <f>IF(SUMIFS(TableTime[[Duration]:[Duration]],TableTime[[Date]:[Date]],$B230,TableTime[[Activity]:[Activity]],P$1)=0,"",SUMIFS(TableTime[[Duration]:[Duration]],TableTime[[Date]:[Date]],$B230,TableTime[[Activity]:[Activity]],P$1))</f>
        <v/>
      </c>
      <c r="Q230" s="62" t="str">
        <f>IF(SUMIFS(TableTime[[Duration]:[Duration]],TableTime[[Date]:[Date]],$B230,TableTime[[Activity]:[Activity]],Q$1)=0,"",SUMIFS(TableTime[[Duration]:[Duration]],TableTime[[Date]:[Date]],$B230,TableTime[[Activity]:[Activity]],Q$1))</f>
        <v/>
      </c>
      <c r="R230" s="62" t="str">
        <f>IF(SUMIFS(TableTime[[Duration]:[Duration]],TableTime[[Date]:[Date]],$B230,TableTime[[Activity]:[Activity]],R$1)=0,"",SUMIFS(TableTime[[Duration]:[Duration]],TableTime[[Date]:[Date]],$B230,TableTime[[Activity]:[Activity]],R$1))</f>
        <v/>
      </c>
      <c r="S230" s="131" t="str">
        <f>IF(SUMIFS(TableTime[[Duration]:[Duration]],TableTime[[Date]:[Date]],$B230,TableTime[[Activity]:[Activity]],S$1)=0,"",SUMIFS(TableTime[[Duration]:[Duration]],TableTime[[Date]:[Date]],$B230,TableTime[[Activity]:[Activity]],S$1))</f>
        <v/>
      </c>
      <c r="T230" s="62" t="str">
        <f>IF(SUMIFS(TableTime[[Duration]:[Duration]],TableTime[[Date]:[Date]],$B230,TableTime[[Activity]:[Activity]],T$1)=0,"",SUMIFS(TableTime[[Duration]:[Duration]],TableTime[[Date]:[Date]],$B230,TableTime[[Activity]:[Activity]],T$1))</f>
        <v/>
      </c>
      <c r="U230" s="64" t="str">
        <f>IF(SUMIFS(TableTime[[Duration]:[Duration]],TableTime[[Date]:[Date]],$B230,TableTime[[Activity]:[Activity]],U$1)=0,"",SUMIFS(TableTime[[Duration]:[Duration]],TableTime[[Date]:[Date]],$B230,TableTime[[Activity]:[Activity]],U$1))</f>
        <v/>
      </c>
    </row>
    <row r="231" spans="1:21" x14ac:dyDescent="0.35">
      <c r="A231" s="35" t="str">
        <f t="shared" si="18"/>
        <v>Fri</v>
      </c>
      <c r="B231" s="5">
        <f t="shared" si="20"/>
        <v>45156</v>
      </c>
      <c r="C231" s="1">
        <f t="shared" si="21"/>
        <v>8</v>
      </c>
      <c r="D231" s="2">
        <f t="shared" si="19"/>
        <v>33</v>
      </c>
      <c r="E231" s="102"/>
      <c r="F231" s="1" t="str">
        <f>IFERROR(IF(OR(WEEKDAY(B231,2)=6,WEEKDAY(B231,2)=7),'Month summary'!$D$11,IF(E231="",'Month summary'!$C$11,E231)),"")</f>
        <v>W</v>
      </c>
      <c r="G231" s="4">
        <f>IF(B231&lt;Time!$B$2,"",IF(F231='Month summary'!$C$11,'Month summary'!$F$2/24,IF(F231="H/2",'Month summary'!$F$2/24/2,0)))</f>
        <v>0.33333333333333331</v>
      </c>
      <c r="H231" s="4">
        <f t="shared" si="22"/>
        <v>0</v>
      </c>
      <c r="I231" s="4" t="str">
        <f t="shared" si="23"/>
        <v/>
      </c>
      <c r="J231" s="107"/>
      <c r="K231" s="38" t="str">
        <f>IFERROR(INDEX(TableTime[Time],MATCH(B231,TableTime[Date],0)),"")</f>
        <v/>
      </c>
      <c r="L231" s="4" t="str">
        <f>IF(SUMIFS(TableTime[Duration],TableTime[Date],B231,TableTime[Activity],Projects!$C$9)+SUMIFS(TableTime[Duration],TableTime[Date],B231,TableTime[Activity],Projects!$C$10)+SUMIFS(TableTime[Duration],TableTime[Date],B231,TableTime[Activity],Projects!$C$11)=0,"",SUMIFS(TableTime[Duration],TableTime[Date],B231,TableTime[Activity],Projects!$C$9)+SUMIFS(TableTime[Duration],TableTime[Date],B231,TableTime[Activity],Projects!$C$10)+SUMIFS(TableTime[Duration],TableTime[Date],B231,TableTime[Activity],Projects!$C$11))</f>
        <v/>
      </c>
      <c r="M231" s="4" t="str" cm="1">
        <f t="array" ref="M231">IFERROR(LOOKUP(2,1/(TableTime[Date]=B231),TableTime[Time]),"")</f>
        <v/>
      </c>
      <c r="N231" s="38" t="str">
        <f>IF(SUMIFS(TableTime[[Duration]:[Duration]],TableTime[[Date]:[Date]],$B231,TableTime[[Activity]:[Activity]],N$1)=0,"",SUMIFS(TableTime[[Duration]:[Duration]],TableTime[[Date]:[Date]],$B231,TableTime[[Activity]:[Activity]],N$1))</f>
        <v/>
      </c>
      <c r="O231" s="4" t="str">
        <f>IF(SUMIFS(TableTime[[Duration]:[Duration]],TableTime[[Date]:[Date]],$B231,TableTime[[Activity]:[Activity]],O$1)=0,"",SUMIFS(TableTime[[Duration]:[Duration]],TableTime[[Date]:[Date]],$B231,TableTime[[Activity]:[Activity]],O$1))</f>
        <v/>
      </c>
      <c r="P231" s="4" t="str">
        <f>IF(SUMIFS(TableTime[[Duration]:[Duration]],TableTime[[Date]:[Date]],$B231,TableTime[[Activity]:[Activity]],P$1)=0,"",SUMIFS(TableTime[[Duration]:[Duration]],TableTime[[Date]:[Date]],$B231,TableTime[[Activity]:[Activity]],P$1))</f>
        <v/>
      </c>
      <c r="Q231" s="4" t="str">
        <f>IF(SUMIFS(TableTime[[Duration]:[Duration]],TableTime[[Date]:[Date]],$B231,TableTime[[Activity]:[Activity]],Q$1)=0,"",SUMIFS(TableTime[[Duration]:[Duration]],TableTime[[Date]:[Date]],$B231,TableTime[[Activity]:[Activity]],Q$1))</f>
        <v/>
      </c>
      <c r="R231" s="4" t="str">
        <f>IF(SUMIFS(TableTime[[Duration]:[Duration]],TableTime[[Date]:[Date]],$B231,TableTime[[Activity]:[Activity]],R$1)=0,"",SUMIFS(TableTime[[Duration]:[Duration]],TableTime[[Date]:[Date]],$B231,TableTime[[Activity]:[Activity]],R$1))</f>
        <v/>
      </c>
      <c r="S231" s="130" t="str">
        <f>IF(SUMIFS(TableTime[[Duration]:[Duration]],TableTime[[Date]:[Date]],$B231,TableTime[[Activity]:[Activity]],S$1)=0,"",SUMIFS(TableTime[[Duration]:[Duration]],TableTime[[Date]:[Date]],$B231,TableTime[[Activity]:[Activity]],S$1))</f>
        <v/>
      </c>
      <c r="T231" s="4" t="str">
        <f>IF(SUMIFS(TableTime[[Duration]:[Duration]],TableTime[[Date]:[Date]],$B231,TableTime[[Activity]:[Activity]],T$1)=0,"",SUMIFS(TableTime[[Duration]:[Duration]],TableTime[[Date]:[Date]],$B231,TableTime[[Activity]:[Activity]],T$1))</f>
        <v/>
      </c>
      <c r="U231" s="39" t="str">
        <f>IF(SUMIFS(TableTime[[Duration]:[Duration]],TableTime[[Date]:[Date]],$B231,TableTime[[Activity]:[Activity]],U$1)=0,"",SUMIFS(TableTime[[Duration]:[Duration]],TableTime[[Date]:[Date]],$B231,TableTime[[Activity]:[Activity]],U$1))</f>
        <v/>
      </c>
    </row>
    <row r="232" spans="1:21" x14ac:dyDescent="0.35">
      <c r="A232" s="59" t="str">
        <f t="shared" si="18"/>
        <v>Sat</v>
      </c>
      <c r="B232" s="91">
        <f t="shared" si="20"/>
        <v>45157</v>
      </c>
      <c r="C232" s="60">
        <f t="shared" si="21"/>
        <v>8</v>
      </c>
      <c r="D232" s="61">
        <f t="shared" si="19"/>
        <v>33</v>
      </c>
      <c r="E232" s="103"/>
      <c r="F232" s="60" t="str">
        <f>IFERROR(IF(OR(WEEKDAY(B232,2)=6,WEEKDAY(B232,2)=7),'Month summary'!$D$11,IF(E232="",'Month summary'!$C$11,E232)),"")</f>
        <v>WE</v>
      </c>
      <c r="G232" s="62">
        <f>IF(B232&lt;Time!$B$2,"",IF(F232='Month summary'!$C$11,'Month summary'!$F$2/24,IF(F232="H/2",'Month summary'!$F$2/24/2,0)))</f>
        <v>0</v>
      </c>
      <c r="H232" s="62">
        <f t="shared" si="22"/>
        <v>0</v>
      </c>
      <c r="I232" s="62" t="str">
        <f t="shared" si="23"/>
        <v/>
      </c>
      <c r="J232" s="108"/>
      <c r="K232" s="63" t="str">
        <f>IFERROR(INDEX(TableTime[Time],MATCH(B232,TableTime[Date],0)),"")</f>
        <v/>
      </c>
      <c r="L232" s="62" t="str">
        <f>IF(SUMIFS(TableTime[Duration],TableTime[Date],B232,TableTime[Activity],Projects!$C$9)+SUMIFS(TableTime[Duration],TableTime[Date],B232,TableTime[Activity],Projects!$C$10)+SUMIFS(TableTime[Duration],TableTime[Date],B232,TableTime[Activity],Projects!$C$11)=0,"",SUMIFS(TableTime[Duration],TableTime[Date],B232,TableTime[Activity],Projects!$C$9)+SUMIFS(TableTime[Duration],TableTime[Date],B232,TableTime[Activity],Projects!$C$10)+SUMIFS(TableTime[Duration],TableTime[Date],B232,TableTime[Activity],Projects!$C$11))</f>
        <v/>
      </c>
      <c r="M232" s="62" t="str" cm="1">
        <f t="array" ref="M232">IFERROR(LOOKUP(2,1/(TableTime[Date]=B232),TableTime[Time]),"")</f>
        <v/>
      </c>
      <c r="N232" s="63" t="str">
        <f>IF(SUMIFS(TableTime[[Duration]:[Duration]],TableTime[[Date]:[Date]],$B232,TableTime[[Activity]:[Activity]],N$1)=0,"",SUMIFS(TableTime[[Duration]:[Duration]],TableTime[[Date]:[Date]],$B232,TableTime[[Activity]:[Activity]],N$1))</f>
        <v/>
      </c>
      <c r="O232" s="62" t="str">
        <f>IF(SUMIFS(TableTime[[Duration]:[Duration]],TableTime[[Date]:[Date]],$B232,TableTime[[Activity]:[Activity]],O$1)=0,"",SUMIFS(TableTime[[Duration]:[Duration]],TableTime[[Date]:[Date]],$B232,TableTime[[Activity]:[Activity]],O$1))</f>
        <v/>
      </c>
      <c r="P232" s="62" t="str">
        <f>IF(SUMIFS(TableTime[[Duration]:[Duration]],TableTime[[Date]:[Date]],$B232,TableTime[[Activity]:[Activity]],P$1)=0,"",SUMIFS(TableTime[[Duration]:[Duration]],TableTime[[Date]:[Date]],$B232,TableTime[[Activity]:[Activity]],P$1))</f>
        <v/>
      </c>
      <c r="Q232" s="62" t="str">
        <f>IF(SUMIFS(TableTime[[Duration]:[Duration]],TableTime[[Date]:[Date]],$B232,TableTime[[Activity]:[Activity]],Q$1)=0,"",SUMIFS(TableTime[[Duration]:[Duration]],TableTime[[Date]:[Date]],$B232,TableTime[[Activity]:[Activity]],Q$1))</f>
        <v/>
      </c>
      <c r="R232" s="62" t="str">
        <f>IF(SUMIFS(TableTime[[Duration]:[Duration]],TableTime[[Date]:[Date]],$B232,TableTime[[Activity]:[Activity]],R$1)=0,"",SUMIFS(TableTime[[Duration]:[Duration]],TableTime[[Date]:[Date]],$B232,TableTime[[Activity]:[Activity]],R$1))</f>
        <v/>
      </c>
      <c r="S232" s="131" t="str">
        <f>IF(SUMIFS(TableTime[[Duration]:[Duration]],TableTime[[Date]:[Date]],$B232,TableTime[[Activity]:[Activity]],S$1)=0,"",SUMIFS(TableTime[[Duration]:[Duration]],TableTime[[Date]:[Date]],$B232,TableTime[[Activity]:[Activity]],S$1))</f>
        <v/>
      </c>
      <c r="T232" s="62" t="str">
        <f>IF(SUMIFS(TableTime[[Duration]:[Duration]],TableTime[[Date]:[Date]],$B232,TableTime[[Activity]:[Activity]],T$1)=0,"",SUMIFS(TableTime[[Duration]:[Duration]],TableTime[[Date]:[Date]],$B232,TableTime[[Activity]:[Activity]],T$1))</f>
        <v/>
      </c>
      <c r="U232" s="64" t="str">
        <f>IF(SUMIFS(TableTime[[Duration]:[Duration]],TableTime[[Date]:[Date]],$B232,TableTime[[Activity]:[Activity]],U$1)=0,"",SUMIFS(TableTime[[Duration]:[Duration]],TableTime[[Date]:[Date]],$B232,TableTime[[Activity]:[Activity]],U$1))</f>
        <v/>
      </c>
    </row>
    <row r="233" spans="1:21" x14ac:dyDescent="0.35">
      <c r="A233" s="35" t="str">
        <f t="shared" si="18"/>
        <v>Sun</v>
      </c>
      <c r="B233" s="5">
        <f t="shared" si="20"/>
        <v>45158</v>
      </c>
      <c r="C233" s="1">
        <f t="shared" si="21"/>
        <v>8</v>
      </c>
      <c r="D233" s="2">
        <f t="shared" si="19"/>
        <v>33</v>
      </c>
      <c r="E233" s="102"/>
      <c r="F233" s="1" t="str">
        <f>IFERROR(IF(OR(WEEKDAY(B233,2)=6,WEEKDAY(B233,2)=7),'Month summary'!$D$11,IF(E233="",'Month summary'!$C$11,E233)),"")</f>
        <v>WE</v>
      </c>
      <c r="G233" s="4">
        <f>IF(B233&lt;Time!$B$2,"",IF(F233='Month summary'!$C$11,'Month summary'!$F$2/24,IF(F233="H/2",'Month summary'!$F$2/24/2,0)))</f>
        <v>0</v>
      </c>
      <c r="H233" s="4">
        <f t="shared" si="22"/>
        <v>0</v>
      </c>
      <c r="I233" s="4" t="str">
        <f t="shared" si="23"/>
        <v/>
      </c>
      <c r="J233" s="107"/>
      <c r="K233" s="38" t="str">
        <f>IFERROR(INDEX(TableTime[Time],MATCH(B233,TableTime[Date],0)),"")</f>
        <v/>
      </c>
      <c r="L233" s="4" t="str">
        <f>IF(SUMIFS(TableTime[Duration],TableTime[Date],B233,TableTime[Activity],Projects!$C$9)+SUMIFS(TableTime[Duration],TableTime[Date],B233,TableTime[Activity],Projects!$C$10)+SUMIFS(TableTime[Duration],TableTime[Date],B233,TableTime[Activity],Projects!$C$11)=0,"",SUMIFS(TableTime[Duration],TableTime[Date],B233,TableTime[Activity],Projects!$C$9)+SUMIFS(TableTime[Duration],TableTime[Date],B233,TableTime[Activity],Projects!$C$10)+SUMIFS(TableTime[Duration],TableTime[Date],B233,TableTime[Activity],Projects!$C$11))</f>
        <v/>
      </c>
      <c r="M233" s="4" t="str" cm="1">
        <f t="array" ref="M233">IFERROR(LOOKUP(2,1/(TableTime[Date]=B233),TableTime[Time]),"")</f>
        <v/>
      </c>
      <c r="N233" s="38" t="str">
        <f>IF(SUMIFS(TableTime[[Duration]:[Duration]],TableTime[[Date]:[Date]],$B233,TableTime[[Activity]:[Activity]],N$1)=0,"",SUMIFS(TableTime[[Duration]:[Duration]],TableTime[[Date]:[Date]],$B233,TableTime[[Activity]:[Activity]],N$1))</f>
        <v/>
      </c>
      <c r="O233" s="4" t="str">
        <f>IF(SUMIFS(TableTime[[Duration]:[Duration]],TableTime[[Date]:[Date]],$B233,TableTime[[Activity]:[Activity]],O$1)=0,"",SUMIFS(TableTime[[Duration]:[Duration]],TableTime[[Date]:[Date]],$B233,TableTime[[Activity]:[Activity]],O$1))</f>
        <v/>
      </c>
      <c r="P233" s="4" t="str">
        <f>IF(SUMIFS(TableTime[[Duration]:[Duration]],TableTime[[Date]:[Date]],$B233,TableTime[[Activity]:[Activity]],P$1)=0,"",SUMIFS(TableTime[[Duration]:[Duration]],TableTime[[Date]:[Date]],$B233,TableTime[[Activity]:[Activity]],P$1))</f>
        <v/>
      </c>
      <c r="Q233" s="4" t="str">
        <f>IF(SUMIFS(TableTime[[Duration]:[Duration]],TableTime[[Date]:[Date]],$B233,TableTime[[Activity]:[Activity]],Q$1)=0,"",SUMIFS(TableTime[[Duration]:[Duration]],TableTime[[Date]:[Date]],$B233,TableTime[[Activity]:[Activity]],Q$1))</f>
        <v/>
      </c>
      <c r="R233" s="4" t="str">
        <f>IF(SUMIFS(TableTime[[Duration]:[Duration]],TableTime[[Date]:[Date]],$B233,TableTime[[Activity]:[Activity]],R$1)=0,"",SUMIFS(TableTime[[Duration]:[Duration]],TableTime[[Date]:[Date]],$B233,TableTime[[Activity]:[Activity]],R$1))</f>
        <v/>
      </c>
      <c r="S233" s="130" t="str">
        <f>IF(SUMIFS(TableTime[[Duration]:[Duration]],TableTime[[Date]:[Date]],$B233,TableTime[[Activity]:[Activity]],S$1)=0,"",SUMIFS(TableTime[[Duration]:[Duration]],TableTime[[Date]:[Date]],$B233,TableTime[[Activity]:[Activity]],S$1))</f>
        <v/>
      </c>
      <c r="T233" s="4" t="str">
        <f>IF(SUMIFS(TableTime[[Duration]:[Duration]],TableTime[[Date]:[Date]],$B233,TableTime[[Activity]:[Activity]],T$1)=0,"",SUMIFS(TableTime[[Duration]:[Duration]],TableTime[[Date]:[Date]],$B233,TableTime[[Activity]:[Activity]],T$1))</f>
        <v/>
      </c>
      <c r="U233" s="39" t="str">
        <f>IF(SUMIFS(TableTime[[Duration]:[Duration]],TableTime[[Date]:[Date]],$B233,TableTime[[Activity]:[Activity]],U$1)=0,"",SUMIFS(TableTime[[Duration]:[Duration]],TableTime[[Date]:[Date]],$B233,TableTime[[Activity]:[Activity]],U$1))</f>
        <v/>
      </c>
    </row>
    <row r="234" spans="1:21" x14ac:dyDescent="0.35">
      <c r="A234" s="59" t="str">
        <f t="shared" si="18"/>
        <v>Mon</v>
      </c>
      <c r="B234" s="91">
        <f t="shared" si="20"/>
        <v>45159</v>
      </c>
      <c r="C234" s="60">
        <f t="shared" si="21"/>
        <v>8</v>
      </c>
      <c r="D234" s="61">
        <f t="shared" si="19"/>
        <v>34</v>
      </c>
      <c r="E234" s="103"/>
      <c r="F234" s="60" t="str">
        <f>IFERROR(IF(OR(WEEKDAY(B234,2)=6,WEEKDAY(B234,2)=7),'Month summary'!$D$11,IF(E234="",'Month summary'!$C$11,E234)),"")</f>
        <v>W</v>
      </c>
      <c r="G234" s="62">
        <f>IF(B234&lt;Time!$B$2,"",IF(F234='Month summary'!$C$11,'Month summary'!$F$2/24,IF(F234="H/2",'Month summary'!$F$2/24/2,0)))</f>
        <v>0.33333333333333331</v>
      </c>
      <c r="H234" s="62">
        <f t="shared" si="22"/>
        <v>0</v>
      </c>
      <c r="I234" s="62" t="str">
        <f t="shared" si="23"/>
        <v/>
      </c>
      <c r="J234" s="108"/>
      <c r="K234" s="63" t="str">
        <f>IFERROR(INDEX(TableTime[Time],MATCH(B234,TableTime[Date],0)),"")</f>
        <v/>
      </c>
      <c r="L234" s="62" t="str">
        <f>IF(SUMIFS(TableTime[Duration],TableTime[Date],B234,TableTime[Activity],Projects!$C$9)+SUMIFS(TableTime[Duration],TableTime[Date],B234,TableTime[Activity],Projects!$C$10)+SUMIFS(TableTime[Duration],TableTime[Date],B234,TableTime[Activity],Projects!$C$11)=0,"",SUMIFS(TableTime[Duration],TableTime[Date],B234,TableTime[Activity],Projects!$C$9)+SUMIFS(TableTime[Duration],TableTime[Date],B234,TableTime[Activity],Projects!$C$10)+SUMIFS(TableTime[Duration],TableTime[Date],B234,TableTime[Activity],Projects!$C$11))</f>
        <v/>
      </c>
      <c r="M234" s="62" t="str" cm="1">
        <f t="array" ref="M234">IFERROR(LOOKUP(2,1/(TableTime[Date]=B234),TableTime[Time]),"")</f>
        <v/>
      </c>
      <c r="N234" s="63" t="str">
        <f>IF(SUMIFS(TableTime[[Duration]:[Duration]],TableTime[[Date]:[Date]],$B234,TableTime[[Activity]:[Activity]],N$1)=0,"",SUMIFS(TableTime[[Duration]:[Duration]],TableTime[[Date]:[Date]],$B234,TableTime[[Activity]:[Activity]],N$1))</f>
        <v/>
      </c>
      <c r="O234" s="62" t="str">
        <f>IF(SUMIFS(TableTime[[Duration]:[Duration]],TableTime[[Date]:[Date]],$B234,TableTime[[Activity]:[Activity]],O$1)=0,"",SUMIFS(TableTime[[Duration]:[Duration]],TableTime[[Date]:[Date]],$B234,TableTime[[Activity]:[Activity]],O$1))</f>
        <v/>
      </c>
      <c r="P234" s="62" t="str">
        <f>IF(SUMIFS(TableTime[[Duration]:[Duration]],TableTime[[Date]:[Date]],$B234,TableTime[[Activity]:[Activity]],P$1)=0,"",SUMIFS(TableTime[[Duration]:[Duration]],TableTime[[Date]:[Date]],$B234,TableTime[[Activity]:[Activity]],P$1))</f>
        <v/>
      </c>
      <c r="Q234" s="62" t="str">
        <f>IF(SUMIFS(TableTime[[Duration]:[Duration]],TableTime[[Date]:[Date]],$B234,TableTime[[Activity]:[Activity]],Q$1)=0,"",SUMIFS(TableTime[[Duration]:[Duration]],TableTime[[Date]:[Date]],$B234,TableTime[[Activity]:[Activity]],Q$1))</f>
        <v/>
      </c>
      <c r="R234" s="62" t="str">
        <f>IF(SUMIFS(TableTime[[Duration]:[Duration]],TableTime[[Date]:[Date]],$B234,TableTime[[Activity]:[Activity]],R$1)=0,"",SUMIFS(TableTime[[Duration]:[Duration]],TableTime[[Date]:[Date]],$B234,TableTime[[Activity]:[Activity]],R$1))</f>
        <v/>
      </c>
      <c r="S234" s="131" t="str">
        <f>IF(SUMIFS(TableTime[[Duration]:[Duration]],TableTime[[Date]:[Date]],$B234,TableTime[[Activity]:[Activity]],S$1)=0,"",SUMIFS(TableTime[[Duration]:[Duration]],TableTime[[Date]:[Date]],$B234,TableTime[[Activity]:[Activity]],S$1))</f>
        <v/>
      </c>
      <c r="T234" s="62" t="str">
        <f>IF(SUMIFS(TableTime[[Duration]:[Duration]],TableTime[[Date]:[Date]],$B234,TableTime[[Activity]:[Activity]],T$1)=0,"",SUMIFS(TableTime[[Duration]:[Duration]],TableTime[[Date]:[Date]],$B234,TableTime[[Activity]:[Activity]],T$1))</f>
        <v/>
      </c>
      <c r="U234" s="64" t="str">
        <f>IF(SUMIFS(TableTime[[Duration]:[Duration]],TableTime[[Date]:[Date]],$B234,TableTime[[Activity]:[Activity]],U$1)=0,"",SUMIFS(TableTime[[Duration]:[Duration]],TableTime[[Date]:[Date]],$B234,TableTime[[Activity]:[Activity]],U$1))</f>
        <v/>
      </c>
    </row>
    <row r="235" spans="1:21" x14ac:dyDescent="0.35">
      <c r="A235" s="35" t="str">
        <f t="shared" si="18"/>
        <v>Tue</v>
      </c>
      <c r="B235" s="5">
        <f t="shared" si="20"/>
        <v>45160</v>
      </c>
      <c r="C235" s="1">
        <f t="shared" si="21"/>
        <v>8</v>
      </c>
      <c r="D235" s="2">
        <f t="shared" si="19"/>
        <v>34</v>
      </c>
      <c r="E235" s="102"/>
      <c r="F235" s="1" t="str">
        <f>IFERROR(IF(OR(WEEKDAY(B235,2)=6,WEEKDAY(B235,2)=7),'Month summary'!$D$11,IF(E235="",'Month summary'!$C$11,E235)),"")</f>
        <v>W</v>
      </c>
      <c r="G235" s="4">
        <f>IF(B235&lt;Time!$B$2,"",IF(F235='Month summary'!$C$11,'Month summary'!$F$2/24,IF(F235="H/2",'Month summary'!$F$2/24/2,0)))</f>
        <v>0.33333333333333331</v>
      </c>
      <c r="H235" s="4">
        <f t="shared" si="22"/>
        <v>0</v>
      </c>
      <c r="I235" s="4" t="str">
        <f t="shared" si="23"/>
        <v/>
      </c>
      <c r="J235" s="107"/>
      <c r="K235" s="38" t="str">
        <f>IFERROR(INDEX(TableTime[Time],MATCH(B235,TableTime[Date],0)),"")</f>
        <v/>
      </c>
      <c r="L235" s="4" t="str">
        <f>IF(SUMIFS(TableTime[Duration],TableTime[Date],B235,TableTime[Activity],Projects!$C$9)+SUMIFS(TableTime[Duration],TableTime[Date],B235,TableTime[Activity],Projects!$C$10)+SUMIFS(TableTime[Duration],TableTime[Date],B235,TableTime[Activity],Projects!$C$11)=0,"",SUMIFS(TableTime[Duration],TableTime[Date],B235,TableTime[Activity],Projects!$C$9)+SUMIFS(TableTime[Duration],TableTime[Date],B235,TableTime[Activity],Projects!$C$10)+SUMIFS(TableTime[Duration],TableTime[Date],B235,TableTime[Activity],Projects!$C$11))</f>
        <v/>
      </c>
      <c r="M235" s="4" t="str" cm="1">
        <f t="array" ref="M235">IFERROR(LOOKUP(2,1/(TableTime[Date]=B235),TableTime[Time]),"")</f>
        <v/>
      </c>
      <c r="N235" s="38" t="str">
        <f>IF(SUMIFS(TableTime[[Duration]:[Duration]],TableTime[[Date]:[Date]],$B235,TableTime[[Activity]:[Activity]],N$1)=0,"",SUMIFS(TableTime[[Duration]:[Duration]],TableTime[[Date]:[Date]],$B235,TableTime[[Activity]:[Activity]],N$1))</f>
        <v/>
      </c>
      <c r="O235" s="4" t="str">
        <f>IF(SUMIFS(TableTime[[Duration]:[Duration]],TableTime[[Date]:[Date]],$B235,TableTime[[Activity]:[Activity]],O$1)=0,"",SUMIFS(TableTime[[Duration]:[Duration]],TableTime[[Date]:[Date]],$B235,TableTime[[Activity]:[Activity]],O$1))</f>
        <v/>
      </c>
      <c r="P235" s="4" t="str">
        <f>IF(SUMIFS(TableTime[[Duration]:[Duration]],TableTime[[Date]:[Date]],$B235,TableTime[[Activity]:[Activity]],P$1)=0,"",SUMIFS(TableTime[[Duration]:[Duration]],TableTime[[Date]:[Date]],$B235,TableTime[[Activity]:[Activity]],P$1))</f>
        <v/>
      </c>
      <c r="Q235" s="4" t="str">
        <f>IF(SUMIFS(TableTime[[Duration]:[Duration]],TableTime[[Date]:[Date]],$B235,TableTime[[Activity]:[Activity]],Q$1)=0,"",SUMIFS(TableTime[[Duration]:[Duration]],TableTime[[Date]:[Date]],$B235,TableTime[[Activity]:[Activity]],Q$1))</f>
        <v/>
      </c>
      <c r="R235" s="4" t="str">
        <f>IF(SUMIFS(TableTime[[Duration]:[Duration]],TableTime[[Date]:[Date]],$B235,TableTime[[Activity]:[Activity]],R$1)=0,"",SUMIFS(TableTime[[Duration]:[Duration]],TableTime[[Date]:[Date]],$B235,TableTime[[Activity]:[Activity]],R$1))</f>
        <v/>
      </c>
      <c r="S235" s="130" t="str">
        <f>IF(SUMIFS(TableTime[[Duration]:[Duration]],TableTime[[Date]:[Date]],$B235,TableTime[[Activity]:[Activity]],S$1)=0,"",SUMIFS(TableTime[[Duration]:[Duration]],TableTime[[Date]:[Date]],$B235,TableTime[[Activity]:[Activity]],S$1))</f>
        <v/>
      </c>
      <c r="T235" s="4" t="str">
        <f>IF(SUMIFS(TableTime[[Duration]:[Duration]],TableTime[[Date]:[Date]],$B235,TableTime[[Activity]:[Activity]],T$1)=0,"",SUMIFS(TableTime[[Duration]:[Duration]],TableTime[[Date]:[Date]],$B235,TableTime[[Activity]:[Activity]],T$1))</f>
        <v/>
      </c>
      <c r="U235" s="39" t="str">
        <f>IF(SUMIFS(TableTime[[Duration]:[Duration]],TableTime[[Date]:[Date]],$B235,TableTime[[Activity]:[Activity]],U$1)=0,"",SUMIFS(TableTime[[Duration]:[Duration]],TableTime[[Date]:[Date]],$B235,TableTime[[Activity]:[Activity]],U$1))</f>
        <v/>
      </c>
    </row>
    <row r="236" spans="1:21" x14ac:dyDescent="0.35">
      <c r="A236" s="59" t="str">
        <f t="shared" si="18"/>
        <v>Wed</v>
      </c>
      <c r="B236" s="91">
        <f t="shared" si="20"/>
        <v>45161</v>
      </c>
      <c r="C236" s="60">
        <f t="shared" si="21"/>
        <v>8</v>
      </c>
      <c r="D236" s="61">
        <f t="shared" si="19"/>
        <v>34</v>
      </c>
      <c r="E236" s="103"/>
      <c r="F236" s="60" t="str">
        <f>IFERROR(IF(OR(WEEKDAY(B236,2)=6,WEEKDAY(B236,2)=7),'Month summary'!$D$11,IF(E236="",'Month summary'!$C$11,E236)),"")</f>
        <v>W</v>
      </c>
      <c r="G236" s="62">
        <f>IF(B236&lt;Time!$B$2,"",IF(F236='Month summary'!$C$11,'Month summary'!$F$2/24,IF(F236="H/2",'Month summary'!$F$2/24/2,0)))</f>
        <v>0.33333333333333331</v>
      </c>
      <c r="H236" s="62">
        <f t="shared" si="22"/>
        <v>0</v>
      </c>
      <c r="I236" s="62" t="str">
        <f t="shared" si="23"/>
        <v/>
      </c>
      <c r="J236" s="108"/>
      <c r="K236" s="63" t="str">
        <f>IFERROR(INDEX(TableTime[Time],MATCH(B236,TableTime[Date],0)),"")</f>
        <v/>
      </c>
      <c r="L236" s="62" t="str">
        <f>IF(SUMIFS(TableTime[Duration],TableTime[Date],B236,TableTime[Activity],Projects!$C$9)+SUMIFS(TableTime[Duration],TableTime[Date],B236,TableTime[Activity],Projects!$C$10)+SUMIFS(TableTime[Duration],TableTime[Date],B236,TableTime[Activity],Projects!$C$11)=0,"",SUMIFS(TableTime[Duration],TableTime[Date],B236,TableTime[Activity],Projects!$C$9)+SUMIFS(TableTime[Duration],TableTime[Date],B236,TableTime[Activity],Projects!$C$10)+SUMIFS(TableTime[Duration],TableTime[Date],B236,TableTime[Activity],Projects!$C$11))</f>
        <v/>
      </c>
      <c r="M236" s="62" t="str" cm="1">
        <f t="array" ref="M236">IFERROR(LOOKUP(2,1/(TableTime[Date]=B236),TableTime[Time]),"")</f>
        <v/>
      </c>
      <c r="N236" s="63" t="str">
        <f>IF(SUMIFS(TableTime[[Duration]:[Duration]],TableTime[[Date]:[Date]],$B236,TableTime[[Activity]:[Activity]],N$1)=0,"",SUMIFS(TableTime[[Duration]:[Duration]],TableTime[[Date]:[Date]],$B236,TableTime[[Activity]:[Activity]],N$1))</f>
        <v/>
      </c>
      <c r="O236" s="62" t="str">
        <f>IF(SUMIFS(TableTime[[Duration]:[Duration]],TableTime[[Date]:[Date]],$B236,TableTime[[Activity]:[Activity]],O$1)=0,"",SUMIFS(TableTime[[Duration]:[Duration]],TableTime[[Date]:[Date]],$B236,TableTime[[Activity]:[Activity]],O$1))</f>
        <v/>
      </c>
      <c r="P236" s="62" t="str">
        <f>IF(SUMIFS(TableTime[[Duration]:[Duration]],TableTime[[Date]:[Date]],$B236,TableTime[[Activity]:[Activity]],P$1)=0,"",SUMIFS(TableTime[[Duration]:[Duration]],TableTime[[Date]:[Date]],$B236,TableTime[[Activity]:[Activity]],P$1))</f>
        <v/>
      </c>
      <c r="Q236" s="62" t="str">
        <f>IF(SUMIFS(TableTime[[Duration]:[Duration]],TableTime[[Date]:[Date]],$B236,TableTime[[Activity]:[Activity]],Q$1)=0,"",SUMIFS(TableTime[[Duration]:[Duration]],TableTime[[Date]:[Date]],$B236,TableTime[[Activity]:[Activity]],Q$1))</f>
        <v/>
      </c>
      <c r="R236" s="62" t="str">
        <f>IF(SUMIFS(TableTime[[Duration]:[Duration]],TableTime[[Date]:[Date]],$B236,TableTime[[Activity]:[Activity]],R$1)=0,"",SUMIFS(TableTime[[Duration]:[Duration]],TableTime[[Date]:[Date]],$B236,TableTime[[Activity]:[Activity]],R$1))</f>
        <v/>
      </c>
      <c r="S236" s="131" t="str">
        <f>IF(SUMIFS(TableTime[[Duration]:[Duration]],TableTime[[Date]:[Date]],$B236,TableTime[[Activity]:[Activity]],S$1)=0,"",SUMIFS(TableTime[[Duration]:[Duration]],TableTime[[Date]:[Date]],$B236,TableTime[[Activity]:[Activity]],S$1))</f>
        <v/>
      </c>
      <c r="T236" s="62" t="str">
        <f>IF(SUMIFS(TableTime[[Duration]:[Duration]],TableTime[[Date]:[Date]],$B236,TableTime[[Activity]:[Activity]],T$1)=0,"",SUMIFS(TableTime[[Duration]:[Duration]],TableTime[[Date]:[Date]],$B236,TableTime[[Activity]:[Activity]],T$1))</f>
        <v/>
      </c>
      <c r="U236" s="64" t="str">
        <f>IF(SUMIFS(TableTime[[Duration]:[Duration]],TableTime[[Date]:[Date]],$B236,TableTime[[Activity]:[Activity]],U$1)=0,"",SUMIFS(TableTime[[Duration]:[Duration]],TableTime[[Date]:[Date]],$B236,TableTime[[Activity]:[Activity]],U$1))</f>
        <v/>
      </c>
    </row>
    <row r="237" spans="1:21" x14ac:dyDescent="0.35">
      <c r="A237" s="35" t="str">
        <f t="shared" si="18"/>
        <v>Thr</v>
      </c>
      <c r="B237" s="5">
        <f t="shared" si="20"/>
        <v>45162</v>
      </c>
      <c r="C237" s="1">
        <f t="shared" si="21"/>
        <v>8</v>
      </c>
      <c r="D237" s="2">
        <f t="shared" si="19"/>
        <v>34</v>
      </c>
      <c r="E237" s="102"/>
      <c r="F237" s="1" t="str">
        <f>IFERROR(IF(OR(WEEKDAY(B237,2)=6,WEEKDAY(B237,2)=7),'Month summary'!$D$11,IF(E237="",'Month summary'!$C$11,E237)),"")</f>
        <v>W</v>
      </c>
      <c r="G237" s="4">
        <f>IF(B237&lt;Time!$B$2,"",IF(F237='Month summary'!$C$11,'Month summary'!$F$2/24,IF(F237="H/2",'Month summary'!$F$2/24/2,0)))</f>
        <v>0.33333333333333331</v>
      </c>
      <c r="H237" s="4">
        <f t="shared" si="22"/>
        <v>0</v>
      </c>
      <c r="I237" s="4" t="str">
        <f t="shared" si="23"/>
        <v/>
      </c>
      <c r="J237" s="107"/>
      <c r="K237" s="38" t="str">
        <f>IFERROR(INDEX(TableTime[Time],MATCH(B237,TableTime[Date],0)),"")</f>
        <v/>
      </c>
      <c r="L237" s="4" t="str">
        <f>IF(SUMIFS(TableTime[Duration],TableTime[Date],B237,TableTime[Activity],Projects!$C$9)+SUMIFS(TableTime[Duration],TableTime[Date],B237,TableTime[Activity],Projects!$C$10)+SUMIFS(TableTime[Duration],TableTime[Date],B237,TableTime[Activity],Projects!$C$11)=0,"",SUMIFS(TableTime[Duration],TableTime[Date],B237,TableTime[Activity],Projects!$C$9)+SUMIFS(TableTime[Duration],TableTime[Date],B237,TableTime[Activity],Projects!$C$10)+SUMIFS(TableTime[Duration],TableTime[Date],B237,TableTime[Activity],Projects!$C$11))</f>
        <v/>
      </c>
      <c r="M237" s="4" t="str" cm="1">
        <f t="array" ref="M237">IFERROR(LOOKUP(2,1/(TableTime[Date]=B237),TableTime[Time]),"")</f>
        <v/>
      </c>
      <c r="N237" s="38" t="str">
        <f>IF(SUMIFS(TableTime[[Duration]:[Duration]],TableTime[[Date]:[Date]],$B237,TableTime[[Activity]:[Activity]],N$1)=0,"",SUMIFS(TableTime[[Duration]:[Duration]],TableTime[[Date]:[Date]],$B237,TableTime[[Activity]:[Activity]],N$1))</f>
        <v/>
      </c>
      <c r="O237" s="4" t="str">
        <f>IF(SUMIFS(TableTime[[Duration]:[Duration]],TableTime[[Date]:[Date]],$B237,TableTime[[Activity]:[Activity]],O$1)=0,"",SUMIFS(TableTime[[Duration]:[Duration]],TableTime[[Date]:[Date]],$B237,TableTime[[Activity]:[Activity]],O$1))</f>
        <v/>
      </c>
      <c r="P237" s="4" t="str">
        <f>IF(SUMIFS(TableTime[[Duration]:[Duration]],TableTime[[Date]:[Date]],$B237,TableTime[[Activity]:[Activity]],P$1)=0,"",SUMIFS(TableTime[[Duration]:[Duration]],TableTime[[Date]:[Date]],$B237,TableTime[[Activity]:[Activity]],P$1))</f>
        <v/>
      </c>
      <c r="Q237" s="4" t="str">
        <f>IF(SUMIFS(TableTime[[Duration]:[Duration]],TableTime[[Date]:[Date]],$B237,TableTime[[Activity]:[Activity]],Q$1)=0,"",SUMIFS(TableTime[[Duration]:[Duration]],TableTime[[Date]:[Date]],$B237,TableTime[[Activity]:[Activity]],Q$1))</f>
        <v/>
      </c>
      <c r="R237" s="4" t="str">
        <f>IF(SUMIFS(TableTime[[Duration]:[Duration]],TableTime[[Date]:[Date]],$B237,TableTime[[Activity]:[Activity]],R$1)=0,"",SUMIFS(TableTime[[Duration]:[Duration]],TableTime[[Date]:[Date]],$B237,TableTime[[Activity]:[Activity]],R$1))</f>
        <v/>
      </c>
      <c r="S237" s="130" t="str">
        <f>IF(SUMIFS(TableTime[[Duration]:[Duration]],TableTime[[Date]:[Date]],$B237,TableTime[[Activity]:[Activity]],S$1)=0,"",SUMIFS(TableTime[[Duration]:[Duration]],TableTime[[Date]:[Date]],$B237,TableTime[[Activity]:[Activity]],S$1))</f>
        <v/>
      </c>
      <c r="T237" s="4" t="str">
        <f>IF(SUMIFS(TableTime[[Duration]:[Duration]],TableTime[[Date]:[Date]],$B237,TableTime[[Activity]:[Activity]],T$1)=0,"",SUMIFS(TableTime[[Duration]:[Duration]],TableTime[[Date]:[Date]],$B237,TableTime[[Activity]:[Activity]],T$1))</f>
        <v/>
      </c>
      <c r="U237" s="39" t="str">
        <f>IF(SUMIFS(TableTime[[Duration]:[Duration]],TableTime[[Date]:[Date]],$B237,TableTime[[Activity]:[Activity]],U$1)=0,"",SUMIFS(TableTime[[Duration]:[Duration]],TableTime[[Date]:[Date]],$B237,TableTime[[Activity]:[Activity]],U$1))</f>
        <v/>
      </c>
    </row>
    <row r="238" spans="1:21" x14ac:dyDescent="0.35">
      <c r="A238" s="59" t="str">
        <f t="shared" si="18"/>
        <v>Fri</v>
      </c>
      <c r="B238" s="91">
        <f t="shared" si="20"/>
        <v>45163</v>
      </c>
      <c r="C238" s="60">
        <f t="shared" si="21"/>
        <v>8</v>
      </c>
      <c r="D238" s="61">
        <f t="shared" si="19"/>
        <v>34</v>
      </c>
      <c r="E238" s="103"/>
      <c r="F238" s="60" t="str">
        <f>IFERROR(IF(OR(WEEKDAY(B238,2)=6,WEEKDAY(B238,2)=7),'Month summary'!$D$11,IF(E238="",'Month summary'!$C$11,E238)),"")</f>
        <v>W</v>
      </c>
      <c r="G238" s="62">
        <f>IF(B238&lt;Time!$B$2,"",IF(F238='Month summary'!$C$11,'Month summary'!$F$2/24,IF(F238="H/2",'Month summary'!$F$2/24/2,0)))</f>
        <v>0.33333333333333331</v>
      </c>
      <c r="H238" s="62">
        <f t="shared" si="22"/>
        <v>0</v>
      </c>
      <c r="I238" s="62" t="str">
        <f t="shared" si="23"/>
        <v/>
      </c>
      <c r="J238" s="108"/>
      <c r="K238" s="63" t="str">
        <f>IFERROR(INDEX(TableTime[Time],MATCH(B238,TableTime[Date],0)),"")</f>
        <v/>
      </c>
      <c r="L238" s="62" t="str">
        <f>IF(SUMIFS(TableTime[Duration],TableTime[Date],B238,TableTime[Activity],Projects!$C$9)+SUMIFS(TableTime[Duration],TableTime[Date],B238,TableTime[Activity],Projects!$C$10)+SUMIFS(TableTime[Duration],TableTime[Date],B238,TableTime[Activity],Projects!$C$11)=0,"",SUMIFS(TableTime[Duration],TableTime[Date],B238,TableTime[Activity],Projects!$C$9)+SUMIFS(TableTime[Duration],TableTime[Date],B238,TableTime[Activity],Projects!$C$10)+SUMIFS(TableTime[Duration],TableTime[Date],B238,TableTime[Activity],Projects!$C$11))</f>
        <v/>
      </c>
      <c r="M238" s="62" t="str" cm="1">
        <f t="array" ref="M238">IFERROR(LOOKUP(2,1/(TableTime[Date]=B238),TableTime[Time]),"")</f>
        <v/>
      </c>
      <c r="N238" s="63" t="str">
        <f>IF(SUMIFS(TableTime[[Duration]:[Duration]],TableTime[[Date]:[Date]],$B238,TableTime[[Activity]:[Activity]],N$1)=0,"",SUMIFS(TableTime[[Duration]:[Duration]],TableTime[[Date]:[Date]],$B238,TableTime[[Activity]:[Activity]],N$1))</f>
        <v/>
      </c>
      <c r="O238" s="62" t="str">
        <f>IF(SUMIFS(TableTime[[Duration]:[Duration]],TableTime[[Date]:[Date]],$B238,TableTime[[Activity]:[Activity]],O$1)=0,"",SUMIFS(TableTime[[Duration]:[Duration]],TableTime[[Date]:[Date]],$B238,TableTime[[Activity]:[Activity]],O$1))</f>
        <v/>
      </c>
      <c r="P238" s="62" t="str">
        <f>IF(SUMIFS(TableTime[[Duration]:[Duration]],TableTime[[Date]:[Date]],$B238,TableTime[[Activity]:[Activity]],P$1)=0,"",SUMIFS(TableTime[[Duration]:[Duration]],TableTime[[Date]:[Date]],$B238,TableTime[[Activity]:[Activity]],P$1))</f>
        <v/>
      </c>
      <c r="Q238" s="62" t="str">
        <f>IF(SUMIFS(TableTime[[Duration]:[Duration]],TableTime[[Date]:[Date]],$B238,TableTime[[Activity]:[Activity]],Q$1)=0,"",SUMIFS(TableTime[[Duration]:[Duration]],TableTime[[Date]:[Date]],$B238,TableTime[[Activity]:[Activity]],Q$1))</f>
        <v/>
      </c>
      <c r="R238" s="62" t="str">
        <f>IF(SUMIFS(TableTime[[Duration]:[Duration]],TableTime[[Date]:[Date]],$B238,TableTime[[Activity]:[Activity]],R$1)=0,"",SUMIFS(TableTime[[Duration]:[Duration]],TableTime[[Date]:[Date]],$B238,TableTime[[Activity]:[Activity]],R$1))</f>
        <v/>
      </c>
      <c r="S238" s="131" t="str">
        <f>IF(SUMIFS(TableTime[[Duration]:[Duration]],TableTime[[Date]:[Date]],$B238,TableTime[[Activity]:[Activity]],S$1)=0,"",SUMIFS(TableTime[[Duration]:[Duration]],TableTime[[Date]:[Date]],$B238,TableTime[[Activity]:[Activity]],S$1))</f>
        <v/>
      </c>
      <c r="T238" s="62" t="str">
        <f>IF(SUMIFS(TableTime[[Duration]:[Duration]],TableTime[[Date]:[Date]],$B238,TableTime[[Activity]:[Activity]],T$1)=0,"",SUMIFS(TableTime[[Duration]:[Duration]],TableTime[[Date]:[Date]],$B238,TableTime[[Activity]:[Activity]],T$1))</f>
        <v/>
      </c>
      <c r="U238" s="64" t="str">
        <f>IF(SUMIFS(TableTime[[Duration]:[Duration]],TableTime[[Date]:[Date]],$B238,TableTime[[Activity]:[Activity]],U$1)=0,"",SUMIFS(TableTime[[Duration]:[Duration]],TableTime[[Date]:[Date]],$B238,TableTime[[Activity]:[Activity]],U$1))</f>
        <v/>
      </c>
    </row>
    <row r="239" spans="1:21" x14ac:dyDescent="0.35">
      <c r="A239" s="35" t="str">
        <f t="shared" si="18"/>
        <v>Sat</v>
      </c>
      <c r="B239" s="5">
        <f t="shared" si="20"/>
        <v>45164</v>
      </c>
      <c r="C239" s="1">
        <f t="shared" si="21"/>
        <v>8</v>
      </c>
      <c r="D239" s="2">
        <f t="shared" si="19"/>
        <v>34</v>
      </c>
      <c r="E239" s="102"/>
      <c r="F239" s="1" t="str">
        <f>IFERROR(IF(OR(WEEKDAY(B239,2)=6,WEEKDAY(B239,2)=7),'Month summary'!$D$11,IF(E239="",'Month summary'!$C$11,E239)),"")</f>
        <v>WE</v>
      </c>
      <c r="G239" s="4">
        <f>IF(B239&lt;Time!$B$2,"",IF(F239='Month summary'!$C$11,'Month summary'!$F$2/24,IF(F239="H/2",'Month summary'!$F$2/24/2,0)))</f>
        <v>0</v>
      </c>
      <c r="H239" s="4">
        <f t="shared" si="22"/>
        <v>0</v>
      </c>
      <c r="I239" s="4" t="str">
        <f t="shared" si="23"/>
        <v/>
      </c>
      <c r="J239" s="107"/>
      <c r="K239" s="38" t="str">
        <f>IFERROR(INDEX(TableTime[Time],MATCH(B239,TableTime[Date],0)),"")</f>
        <v/>
      </c>
      <c r="L239" s="4" t="str">
        <f>IF(SUMIFS(TableTime[Duration],TableTime[Date],B239,TableTime[Activity],Projects!$C$9)+SUMIFS(TableTime[Duration],TableTime[Date],B239,TableTime[Activity],Projects!$C$10)+SUMIFS(TableTime[Duration],TableTime[Date],B239,TableTime[Activity],Projects!$C$11)=0,"",SUMIFS(TableTime[Duration],TableTime[Date],B239,TableTime[Activity],Projects!$C$9)+SUMIFS(TableTime[Duration],TableTime[Date],B239,TableTime[Activity],Projects!$C$10)+SUMIFS(TableTime[Duration],TableTime[Date],B239,TableTime[Activity],Projects!$C$11))</f>
        <v/>
      </c>
      <c r="M239" s="4" t="str" cm="1">
        <f t="array" ref="M239">IFERROR(LOOKUP(2,1/(TableTime[Date]=B239),TableTime[Time]),"")</f>
        <v/>
      </c>
      <c r="N239" s="38" t="str">
        <f>IF(SUMIFS(TableTime[[Duration]:[Duration]],TableTime[[Date]:[Date]],$B239,TableTime[[Activity]:[Activity]],N$1)=0,"",SUMIFS(TableTime[[Duration]:[Duration]],TableTime[[Date]:[Date]],$B239,TableTime[[Activity]:[Activity]],N$1))</f>
        <v/>
      </c>
      <c r="O239" s="4" t="str">
        <f>IF(SUMIFS(TableTime[[Duration]:[Duration]],TableTime[[Date]:[Date]],$B239,TableTime[[Activity]:[Activity]],O$1)=0,"",SUMIFS(TableTime[[Duration]:[Duration]],TableTime[[Date]:[Date]],$B239,TableTime[[Activity]:[Activity]],O$1))</f>
        <v/>
      </c>
      <c r="P239" s="4" t="str">
        <f>IF(SUMIFS(TableTime[[Duration]:[Duration]],TableTime[[Date]:[Date]],$B239,TableTime[[Activity]:[Activity]],P$1)=0,"",SUMIFS(TableTime[[Duration]:[Duration]],TableTime[[Date]:[Date]],$B239,TableTime[[Activity]:[Activity]],P$1))</f>
        <v/>
      </c>
      <c r="Q239" s="4" t="str">
        <f>IF(SUMIFS(TableTime[[Duration]:[Duration]],TableTime[[Date]:[Date]],$B239,TableTime[[Activity]:[Activity]],Q$1)=0,"",SUMIFS(TableTime[[Duration]:[Duration]],TableTime[[Date]:[Date]],$B239,TableTime[[Activity]:[Activity]],Q$1))</f>
        <v/>
      </c>
      <c r="R239" s="4" t="str">
        <f>IF(SUMIFS(TableTime[[Duration]:[Duration]],TableTime[[Date]:[Date]],$B239,TableTime[[Activity]:[Activity]],R$1)=0,"",SUMIFS(TableTime[[Duration]:[Duration]],TableTime[[Date]:[Date]],$B239,TableTime[[Activity]:[Activity]],R$1))</f>
        <v/>
      </c>
      <c r="S239" s="130" t="str">
        <f>IF(SUMIFS(TableTime[[Duration]:[Duration]],TableTime[[Date]:[Date]],$B239,TableTime[[Activity]:[Activity]],S$1)=0,"",SUMIFS(TableTime[[Duration]:[Duration]],TableTime[[Date]:[Date]],$B239,TableTime[[Activity]:[Activity]],S$1))</f>
        <v/>
      </c>
      <c r="T239" s="4" t="str">
        <f>IF(SUMIFS(TableTime[[Duration]:[Duration]],TableTime[[Date]:[Date]],$B239,TableTime[[Activity]:[Activity]],T$1)=0,"",SUMIFS(TableTime[[Duration]:[Duration]],TableTime[[Date]:[Date]],$B239,TableTime[[Activity]:[Activity]],T$1))</f>
        <v/>
      </c>
      <c r="U239" s="39" t="str">
        <f>IF(SUMIFS(TableTime[[Duration]:[Duration]],TableTime[[Date]:[Date]],$B239,TableTime[[Activity]:[Activity]],U$1)=0,"",SUMIFS(TableTime[[Duration]:[Duration]],TableTime[[Date]:[Date]],$B239,TableTime[[Activity]:[Activity]],U$1))</f>
        <v/>
      </c>
    </row>
    <row r="240" spans="1:21" x14ac:dyDescent="0.35">
      <c r="A240" s="59" t="str">
        <f t="shared" si="18"/>
        <v>Sun</v>
      </c>
      <c r="B240" s="91">
        <f t="shared" si="20"/>
        <v>45165</v>
      </c>
      <c r="C240" s="60">
        <f t="shared" si="21"/>
        <v>8</v>
      </c>
      <c r="D240" s="61">
        <f t="shared" si="19"/>
        <v>34</v>
      </c>
      <c r="E240" s="103"/>
      <c r="F240" s="60" t="str">
        <f>IFERROR(IF(OR(WEEKDAY(B240,2)=6,WEEKDAY(B240,2)=7),'Month summary'!$D$11,IF(E240="",'Month summary'!$C$11,E240)),"")</f>
        <v>WE</v>
      </c>
      <c r="G240" s="62">
        <f>IF(B240&lt;Time!$B$2,"",IF(F240='Month summary'!$C$11,'Month summary'!$F$2/24,IF(F240="H/2",'Month summary'!$F$2/24/2,0)))</f>
        <v>0</v>
      </c>
      <c r="H240" s="62">
        <f t="shared" si="22"/>
        <v>0</v>
      </c>
      <c r="I240" s="62" t="str">
        <f t="shared" si="23"/>
        <v/>
      </c>
      <c r="J240" s="108"/>
      <c r="K240" s="63" t="str">
        <f>IFERROR(INDEX(TableTime[Time],MATCH(B240,TableTime[Date],0)),"")</f>
        <v/>
      </c>
      <c r="L240" s="62" t="str">
        <f>IF(SUMIFS(TableTime[Duration],TableTime[Date],B240,TableTime[Activity],Projects!$C$9)+SUMIFS(TableTime[Duration],TableTime[Date],B240,TableTime[Activity],Projects!$C$10)+SUMIFS(TableTime[Duration],TableTime[Date],B240,TableTime[Activity],Projects!$C$11)=0,"",SUMIFS(TableTime[Duration],TableTime[Date],B240,TableTime[Activity],Projects!$C$9)+SUMIFS(TableTime[Duration],TableTime[Date],B240,TableTime[Activity],Projects!$C$10)+SUMIFS(TableTime[Duration],TableTime[Date],B240,TableTime[Activity],Projects!$C$11))</f>
        <v/>
      </c>
      <c r="M240" s="62" t="str" cm="1">
        <f t="array" ref="M240">IFERROR(LOOKUP(2,1/(TableTime[Date]=B240),TableTime[Time]),"")</f>
        <v/>
      </c>
      <c r="N240" s="63" t="str">
        <f>IF(SUMIFS(TableTime[[Duration]:[Duration]],TableTime[[Date]:[Date]],$B240,TableTime[[Activity]:[Activity]],N$1)=0,"",SUMIFS(TableTime[[Duration]:[Duration]],TableTime[[Date]:[Date]],$B240,TableTime[[Activity]:[Activity]],N$1))</f>
        <v/>
      </c>
      <c r="O240" s="62" t="str">
        <f>IF(SUMIFS(TableTime[[Duration]:[Duration]],TableTime[[Date]:[Date]],$B240,TableTime[[Activity]:[Activity]],O$1)=0,"",SUMIFS(TableTime[[Duration]:[Duration]],TableTime[[Date]:[Date]],$B240,TableTime[[Activity]:[Activity]],O$1))</f>
        <v/>
      </c>
      <c r="P240" s="62" t="str">
        <f>IF(SUMIFS(TableTime[[Duration]:[Duration]],TableTime[[Date]:[Date]],$B240,TableTime[[Activity]:[Activity]],P$1)=0,"",SUMIFS(TableTime[[Duration]:[Duration]],TableTime[[Date]:[Date]],$B240,TableTime[[Activity]:[Activity]],P$1))</f>
        <v/>
      </c>
      <c r="Q240" s="62" t="str">
        <f>IF(SUMIFS(TableTime[[Duration]:[Duration]],TableTime[[Date]:[Date]],$B240,TableTime[[Activity]:[Activity]],Q$1)=0,"",SUMIFS(TableTime[[Duration]:[Duration]],TableTime[[Date]:[Date]],$B240,TableTime[[Activity]:[Activity]],Q$1))</f>
        <v/>
      </c>
      <c r="R240" s="62" t="str">
        <f>IF(SUMIFS(TableTime[[Duration]:[Duration]],TableTime[[Date]:[Date]],$B240,TableTime[[Activity]:[Activity]],R$1)=0,"",SUMIFS(TableTime[[Duration]:[Duration]],TableTime[[Date]:[Date]],$B240,TableTime[[Activity]:[Activity]],R$1))</f>
        <v/>
      </c>
      <c r="S240" s="131" t="str">
        <f>IF(SUMIFS(TableTime[[Duration]:[Duration]],TableTime[[Date]:[Date]],$B240,TableTime[[Activity]:[Activity]],S$1)=0,"",SUMIFS(TableTime[[Duration]:[Duration]],TableTime[[Date]:[Date]],$B240,TableTime[[Activity]:[Activity]],S$1))</f>
        <v/>
      </c>
      <c r="T240" s="62" t="str">
        <f>IF(SUMIFS(TableTime[[Duration]:[Duration]],TableTime[[Date]:[Date]],$B240,TableTime[[Activity]:[Activity]],T$1)=0,"",SUMIFS(TableTime[[Duration]:[Duration]],TableTime[[Date]:[Date]],$B240,TableTime[[Activity]:[Activity]],T$1))</f>
        <v/>
      </c>
      <c r="U240" s="64" t="str">
        <f>IF(SUMIFS(TableTime[[Duration]:[Duration]],TableTime[[Date]:[Date]],$B240,TableTime[[Activity]:[Activity]],U$1)=0,"",SUMIFS(TableTime[[Duration]:[Duration]],TableTime[[Date]:[Date]],$B240,TableTime[[Activity]:[Activity]],U$1))</f>
        <v/>
      </c>
    </row>
    <row r="241" spans="1:21" x14ac:dyDescent="0.35">
      <c r="A241" s="35" t="str">
        <f t="shared" si="18"/>
        <v>Mon</v>
      </c>
      <c r="B241" s="5">
        <f t="shared" si="20"/>
        <v>45166</v>
      </c>
      <c r="C241" s="1">
        <f t="shared" si="21"/>
        <v>8</v>
      </c>
      <c r="D241" s="2">
        <f t="shared" si="19"/>
        <v>35</v>
      </c>
      <c r="E241" s="102"/>
      <c r="F241" s="1" t="str">
        <f>IFERROR(IF(OR(WEEKDAY(B241,2)=6,WEEKDAY(B241,2)=7),'Month summary'!$D$11,IF(E241="",'Month summary'!$C$11,E241)),"")</f>
        <v>W</v>
      </c>
      <c r="G241" s="4">
        <f>IF(B241&lt;Time!$B$2,"",IF(F241='Month summary'!$C$11,'Month summary'!$F$2/24,IF(F241="H/2",'Month summary'!$F$2/24/2,0)))</f>
        <v>0.33333333333333331</v>
      </c>
      <c r="H241" s="4">
        <f t="shared" si="22"/>
        <v>0</v>
      </c>
      <c r="I241" s="4" t="str">
        <f t="shared" si="23"/>
        <v/>
      </c>
      <c r="J241" s="107"/>
      <c r="K241" s="38" t="str">
        <f>IFERROR(INDEX(TableTime[Time],MATCH(B241,TableTime[Date],0)),"")</f>
        <v/>
      </c>
      <c r="L241" s="4" t="str">
        <f>IF(SUMIFS(TableTime[Duration],TableTime[Date],B241,TableTime[Activity],Projects!$C$9)+SUMIFS(TableTime[Duration],TableTime[Date],B241,TableTime[Activity],Projects!$C$10)+SUMIFS(TableTime[Duration],TableTime[Date],B241,TableTime[Activity],Projects!$C$11)=0,"",SUMIFS(TableTime[Duration],TableTime[Date],B241,TableTime[Activity],Projects!$C$9)+SUMIFS(TableTime[Duration],TableTime[Date],B241,TableTime[Activity],Projects!$C$10)+SUMIFS(TableTime[Duration],TableTime[Date],B241,TableTime[Activity],Projects!$C$11))</f>
        <v/>
      </c>
      <c r="M241" s="4" t="str" cm="1">
        <f t="array" ref="M241">IFERROR(LOOKUP(2,1/(TableTime[Date]=B241),TableTime[Time]),"")</f>
        <v/>
      </c>
      <c r="N241" s="38" t="str">
        <f>IF(SUMIFS(TableTime[[Duration]:[Duration]],TableTime[[Date]:[Date]],$B241,TableTime[[Activity]:[Activity]],N$1)=0,"",SUMIFS(TableTime[[Duration]:[Duration]],TableTime[[Date]:[Date]],$B241,TableTime[[Activity]:[Activity]],N$1))</f>
        <v/>
      </c>
      <c r="O241" s="4" t="str">
        <f>IF(SUMIFS(TableTime[[Duration]:[Duration]],TableTime[[Date]:[Date]],$B241,TableTime[[Activity]:[Activity]],O$1)=0,"",SUMIFS(TableTime[[Duration]:[Duration]],TableTime[[Date]:[Date]],$B241,TableTime[[Activity]:[Activity]],O$1))</f>
        <v/>
      </c>
      <c r="P241" s="4" t="str">
        <f>IF(SUMIFS(TableTime[[Duration]:[Duration]],TableTime[[Date]:[Date]],$B241,TableTime[[Activity]:[Activity]],P$1)=0,"",SUMIFS(TableTime[[Duration]:[Duration]],TableTime[[Date]:[Date]],$B241,TableTime[[Activity]:[Activity]],P$1))</f>
        <v/>
      </c>
      <c r="Q241" s="4" t="str">
        <f>IF(SUMIFS(TableTime[[Duration]:[Duration]],TableTime[[Date]:[Date]],$B241,TableTime[[Activity]:[Activity]],Q$1)=0,"",SUMIFS(TableTime[[Duration]:[Duration]],TableTime[[Date]:[Date]],$B241,TableTime[[Activity]:[Activity]],Q$1))</f>
        <v/>
      </c>
      <c r="R241" s="4" t="str">
        <f>IF(SUMIFS(TableTime[[Duration]:[Duration]],TableTime[[Date]:[Date]],$B241,TableTime[[Activity]:[Activity]],R$1)=0,"",SUMIFS(TableTime[[Duration]:[Duration]],TableTime[[Date]:[Date]],$B241,TableTime[[Activity]:[Activity]],R$1))</f>
        <v/>
      </c>
      <c r="S241" s="130" t="str">
        <f>IF(SUMIFS(TableTime[[Duration]:[Duration]],TableTime[[Date]:[Date]],$B241,TableTime[[Activity]:[Activity]],S$1)=0,"",SUMIFS(TableTime[[Duration]:[Duration]],TableTime[[Date]:[Date]],$B241,TableTime[[Activity]:[Activity]],S$1))</f>
        <v/>
      </c>
      <c r="T241" s="4" t="str">
        <f>IF(SUMIFS(TableTime[[Duration]:[Duration]],TableTime[[Date]:[Date]],$B241,TableTime[[Activity]:[Activity]],T$1)=0,"",SUMIFS(TableTime[[Duration]:[Duration]],TableTime[[Date]:[Date]],$B241,TableTime[[Activity]:[Activity]],T$1))</f>
        <v/>
      </c>
      <c r="U241" s="39" t="str">
        <f>IF(SUMIFS(TableTime[[Duration]:[Duration]],TableTime[[Date]:[Date]],$B241,TableTime[[Activity]:[Activity]],U$1)=0,"",SUMIFS(TableTime[[Duration]:[Duration]],TableTime[[Date]:[Date]],$B241,TableTime[[Activity]:[Activity]],U$1))</f>
        <v/>
      </c>
    </row>
    <row r="242" spans="1:21" x14ac:dyDescent="0.35">
      <c r="A242" s="59" t="str">
        <f t="shared" si="18"/>
        <v>Tue</v>
      </c>
      <c r="B242" s="91">
        <f t="shared" si="20"/>
        <v>45167</v>
      </c>
      <c r="C242" s="60">
        <f t="shared" si="21"/>
        <v>8</v>
      </c>
      <c r="D242" s="61">
        <f t="shared" si="19"/>
        <v>35</v>
      </c>
      <c r="E242" s="103"/>
      <c r="F242" s="60" t="str">
        <f>IFERROR(IF(OR(WEEKDAY(B242,2)=6,WEEKDAY(B242,2)=7),'Month summary'!$D$11,IF(E242="",'Month summary'!$C$11,E242)),"")</f>
        <v>W</v>
      </c>
      <c r="G242" s="62">
        <f>IF(B242&lt;Time!$B$2,"",IF(F242='Month summary'!$C$11,'Month summary'!$F$2/24,IF(F242="H/2",'Month summary'!$F$2/24/2,0)))</f>
        <v>0.33333333333333331</v>
      </c>
      <c r="H242" s="62">
        <f t="shared" si="22"/>
        <v>0</v>
      </c>
      <c r="I242" s="62" t="str">
        <f t="shared" si="23"/>
        <v/>
      </c>
      <c r="J242" s="108"/>
      <c r="K242" s="63" t="str">
        <f>IFERROR(INDEX(TableTime[Time],MATCH(B242,TableTime[Date],0)),"")</f>
        <v/>
      </c>
      <c r="L242" s="62" t="str">
        <f>IF(SUMIFS(TableTime[Duration],TableTime[Date],B242,TableTime[Activity],Projects!$C$9)+SUMIFS(TableTime[Duration],TableTime[Date],B242,TableTime[Activity],Projects!$C$10)+SUMIFS(TableTime[Duration],TableTime[Date],B242,TableTime[Activity],Projects!$C$11)=0,"",SUMIFS(TableTime[Duration],TableTime[Date],B242,TableTime[Activity],Projects!$C$9)+SUMIFS(TableTime[Duration],TableTime[Date],B242,TableTime[Activity],Projects!$C$10)+SUMIFS(TableTime[Duration],TableTime[Date],B242,TableTime[Activity],Projects!$C$11))</f>
        <v/>
      </c>
      <c r="M242" s="62" t="str" cm="1">
        <f t="array" ref="M242">IFERROR(LOOKUP(2,1/(TableTime[Date]=B242),TableTime[Time]),"")</f>
        <v/>
      </c>
      <c r="N242" s="63" t="str">
        <f>IF(SUMIFS(TableTime[[Duration]:[Duration]],TableTime[[Date]:[Date]],$B242,TableTime[[Activity]:[Activity]],N$1)=0,"",SUMIFS(TableTime[[Duration]:[Duration]],TableTime[[Date]:[Date]],$B242,TableTime[[Activity]:[Activity]],N$1))</f>
        <v/>
      </c>
      <c r="O242" s="62" t="str">
        <f>IF(SUMIFS(TableTime[[Duration]:[Duration]],TableTime[[Date]:[Date]],$B242,TableTime[[Activity]:[Activity]],O$1)=0,"",SUMIFS(TableTime[[Duration]:[Duration]],TableTime[[Date]:[Date]],$B242,TableTime[[Activity]:[Activity]],O$1))</f>
        <v/>
      </c>
      <c r="P242" s="62" t="str">
        <f>IF(SUMIFS(TableTime[[Duration]:[Duration]],TableTime[[Date]:[Date]],$B242,TableTime[[Activity]:[Activity]],P$1)=0,"",SUMIFS(TableTime[[Duration]:[Duration]],TableTime[[Date]:[Date]],$B242,TableTime[[Activity]:[Activity]],P$1))</f>
        <v/>
      </c>
      <c r="Q242" s="62" t="str">
        <f>IF(SUMIFS(TableTime[[Duration]:[Duration]],TableTime[[Date]:[Date]],$B242,TableTime[[Activity]:[Activity]],Q$1)=0,"",SUMIFS(TableTime[[Duration]:[Duration]],TableTime[[Date]:[Date]],$B242,TableTime[[Activity]:[Activity]],Q$1))</f>
        <v/>
      </c>
      <c r="R242" s="62" t="str">
        <f>IF(SUMIFS(TableTime[[Duration]:[Duration]],TableTime[[Date]:[Date]],$B242,TableTime[[Activity]:[Activity]],R$1)=0,"",SUMIFS(TableTime[[Duration]:[Duration]],TableTime[[Date]:[Date]],$B242,TableTime[[Activity]:[Activity]],R$1))</f>
        <v/>
      </c>
      <c r="S242" s="131" t="str">
        <f>IF(SUMIFS(TableTime[[Duration]:[Duration]],TableTime[[Date]:[Date]],$B242,TableTime[[Activity]:[Activity]],S$1)=0,"",SUMIFS(TableTime[[Duration]:[Duration]],TableTime[[Date]:[Date]],$B242,TableTime[[Activity]:[Activity]],S$1))</f>
        <v/>
      </c>
      <c r="T242" s="62" t="str">
        <f>IF(SUMIFS(TableTime[[Duration]:[Duration]],TableTime[[Date]:[Date]],$B242,TableTime[[Activity]:[Activity]],T$1)=0,"",SUMIFS(TableTime[[Duration]:[Duration]],TableTime[[Date]:[Date]],$B242,TableTime[[Activity]:[Activity]],T$1))</f>
        <v/>
      </c>
      <c r="U242" s="64" t="str">
        <f>IF(SUMIFS(TableTime[[Duration]:[Duration]],TableTime[[Date]:[Date]],$B242,TableTime[[Activity]:[Activity]],U$1)=0,"",SUMIFS(TableTime[[Duration]:[Duration]],TableTime[[Date]:[Date]],$B242,TableTime[[Activity]:[Activity]],U$1))</f>
        <v/>
      </c>
    </row>
    <row r="243" spans="1:21" x14ac:dyDescent="0.35">
      <c r="A243" s="35" t="str">
        <f t="shared" si="18"/>
        <v>Wed</v>
      </c>
      <c r="B243" s="5">
        <f t="shared" si="20"/>
        <v>45168</v>
      </c>
      <c r="C243" s="1">
        <f t="shared" si="21"/>
        <v>8</v>
      </c>
      <c r="D243" s="2">
        <f t="shared" si="19"/>
        <v>35</v>
      </c>
      <c r="E243" s="102"/>
      <c r="F243" s="1" t="str">
        <f>IFERROR(IF(OR(WEEKDAY(B243,2)=6,WEEKDAY(B243,2)=7),'Month summary'!$D$11,IF(E243="",'Month summary'!$C$11,E243)),"")</f>
        <v>W</v>
      </c>
      <c r="G243" s="4">
        <f>IF(B243&lt;Time!$B$2,"",IF(F243='Month summary'!$C$11,'Month summary'!$F$2/24,IF(F243="H/2",'Month summary'!$F$2/24/2,0)))</f>
        <v>0.33333333333333331</v>
      </c>
      <c r="H243" s="4">
        <f t="shared" si="22"/>
        <v>0</v>
      </c>
      <c r="I243" s="4" t="str">
        <f t="shared" si="23"/>
        <v/>
      </c>
      <c r="J243" s="107"/>
      <c r="K243" s="38" t="str">
        <f>IFERROR(INDEX(TableTime[Time],MATCH(B243,TableTime[Date],0)),"")</f>
        <v/>
      </c>
      <c r="L243" s="4" t="str">
        <f>IF(SUMIFS(TableTime[Duration],TableTime[Date],B243,TableTime[Activity],Projects!$C$9)+SUMIFS(TableTime[Duration],TableTime[Date],B243,TableTime[Activity],Projects!$C$10)+SUMIFS(TableTime[Duration],TableTime[Date],B243,TableTime[Activity],Projects!$C$11)=0,"",SUMIFS(TableTime[Duration],TableTime[Date],B243,TableTime[Activity],Projects!$C$9)+SUMIFS(TableTime[Duration],TableTime[Date],B243,TableTime[Activity],Projects!$C$10)+SUMIFS(TableTime[Duration],TableTime[Date],B243,TableTime[Activity],Projects!$C$11))</f>
        <v/>
      </c>
      <c r="M243" s="4" t="str" cm="1">
        <f t="array" ref="M243">IFERROR(LOOKUP(2,1/(TableTime[Date]=B243),TableTime[Time]),"")</f>
        <v/>
      </c>
      <c r="N243" s="38" t="str">
        <f>IF(SUMIFS(TableTime[[Duration]:[Duration]],TableTime[[Date]:[Date]],$B243,TableTime[[Activity]:[Activity]],N$1)=0,"",SUMIFS(TableTime[[Duration]:[Duration]],TableTime[[Date]:[Date]],$B243,TableTime[[Activity]:[Activity]],N$1))</f>
        <v/>
      </c>
      <c r="O243" s="4" t="str">
        <f>IF(SUMIFS(TableTime[[Duration]:[Duration]],TableTime[[Date]:[Date]],$B243,TableTime[[Activity]:[Activity]],O$1)=0,"",SUMIFS(TableTime[[Duration]:[Duration]],TableTime[[Date]:[Date]],$B243,TableTime[[Activity]:[Activity]],O$1))</f>
        <v/>
      </c>
      <c r="P243" s="4" t="str">
        <f>IF(SUMIFS(TableTime[[Duration]:[Duration]],TableTime[[Date]:[Date]],$B243,TableTime[[Activity]:[Activity]],P$1)=0,"",SUMIFS(TableTime[[Duration]:[Duration]],TableTime[[Date]:[Date]],$B243,TableTime[[Activity]:[Activity]],P$1))</f>
        <v/>
      </c>
      <c r="Q243" s="4" t="str">
        <f>IF(SUMIFS(TableTime[[Duration]:[Duration]],TableTime[[Date]:[Date]],$B243,TableTime[[Activity]:[Activity]],Q$1)=0,"",SUMIFS(TableTime[[Duration]:[Duration]],TableTime[[Date]:[Date]],$B243,TableTime[[Activity]:[Activity]],Q$1))</f>
        <v/>
      </c>
      <c r="R243" s="4" t="str">
        <f>IF(SUMIFS(TableTime[[Duration]:[Duration]],TableTime[[Date]:[Date]],$B243,TableTime[[Activity]:[Activity]],R$1)=0,"",SUMIFS(TableTime[[Duration]:[Duration]],TableTime[[Date]:[Date]],$B243,TableTime[[Activity]:[Activity]],R$1))</f>
        <v/>
      </c>
      <c r="S243" s="130" t="str">
        <f>IF(SUMIFS(TableTime[[Duration]:[Duration]],TableTime[[Date]:[Date]],$B243,TableTime[[Activity]:[Activity]],S$1)=0,"",SUMIFS(TableTime[[Duration]:[Duration]],TableTime[[Date]:[Date]],$B243,TableTime[[Activity]:[Activity]],S$1))</f>
        <v/>
      </c>
      <c r="T243" s="4" t="str">
        <f>IF(SUMIFS(TableTime[[Duration]:[Duration]],TableTime[[Date]:[Date]],$B243,TableTime[[Activity]:[Activity]],T$1)=0,"",SUMIFS(TableTime[[Duration]:[Duration]],TableTime[[Date]:[Date]],$B243,TableTime[[Activity]:[Activity]],T$1))</f>
        <v/>
      </c>
      <c r="U243" s="39" t="str">
        <f>IF(SUMIFS(TableTime[[Duration]:[Duration]],TableTime[[Date]:[Date]],$B243,TableTime[[Activity]:[Activity]],U$1)=0,"",SUMIFS(TableTime[[Duration]:[Duration]],TableTime[[Date]:[Date]],$B243,TableTime[[Activity]:[Activity]],U$1))</f>
        <v/>
      </c>
    </row>
    <row r="244" spans="1:21" x14ac:dyDescent="0.35">
      <c r="A244" s="59" t="str">
        <f t="shared" si="18"/>
        <v>Thr</v>
      </c>
      <c r="B244" s="91">
        <f t="shared" si="20"/>
        <v>45169</v>
      </c>
      <c r="C244" s="60">
        <f t="shared" si="21"/>
        <v>8</v>
      </c>
      <c r="D244" s="61">
        <f t="shared" si="19"/>
        <v>35</v>
      </c>
      <c r="E244" s="103"/>
      <c r="F244" s="60" t="str">
        <f>IFERROR(IF(OR(WEEKDAY(B244,2)=6,WEEKDAY(B244,2)=7),'Month summary'!$D$11,IF(E244="",'Month summary'!$C$11,E244)),"")</f>
        <v>W</v>
      </c>
      <c r="G244" s="62">
        <f>IF(B244&lt;Time!$B$2,"",IF(F244='Month summary'!$C$11,'Month summary'!$F$2/24,IF(F244="H/2",'Month summary'!$F$2/24/2,0)))</f>
        <v>0.33333333333333331</v>
      </c>
      <c r="H244" s="62">
        <f t="shared" si="22"/>
        <v>0</v>
      </c>
      <c r="I244" s="62" t="str">
        <f t="shared" si="23"/>
        <v/>
      </c>
      <c r="J244" s="108"/>
      <c r="K244" s="63" t="str">
        <f>IFERROR(INDEX(TableTime[Time],MATCH(B244,TableTime[Date],0)),"")</f>
        <v/>
      </c>
      <c r="L244" s="62" t="str">
        <f>IF(SUMIFS(TableTime[Duration],TableTime[Date],B244,TableTime[Activity],Projects!$C$9)+SUMIFS(TableTime[Duration],TableTime[Date],B244,TableTime[Activity],Projects!$C$10)+SUMIFS(TableTime[Duration],TableTime[Date],B244,TableTime[Activity],Projects!$C$11)=0,"",SUMIFS(TableTime[Duration],TableTime[Date],B244,TableTime[Activity],Projects!$C$9)+SUMIFS(TableTime[Duration],TableTime[Date],B244,TableTime[Activity],Projects!$C$10)+SUMIFS(TableTime[Duration],TableTime[Date],B244,TableTime[Activity],Projects!$C$11))</f>
        <v/>
      </c>
      <c r="M244" s="62" t="str" cm="1">
        <f t="array" ref="M244">IFERROR(LOOKUP(2,1/(TableTime[Date]=B244),TableTime[Time]),"")</f>
        <v/>
      </c>
      <c r="N244" s="63" t="str">
        <f>IF(SUMIFS(TableTime[[Duration]:[Duration]],TableTime[[Date]:[Date]],$B244,TableTime[[Activity]:[Activity]],N$1)=0,"",SUMIFS(TableTime[[Duration]:[Duration]],TableTime[[Date]:[Date]],$B244,TableTime[[Activity]:[Activity]],N$1))</f>
        <v/>
      </c>
      <c r="O244" s="62" t="str">
        <f>IF(SUMIFS(TableTime[[Duration]:[Duration]],TableTime[[Date]:[Date]],$B244,TableTime[[Activity]:[Activity]],O$1)=0,"",SUMIFS(TableTime[[Duration]:[Duration]],TableTime[[Date]:[Date]],$B244,TableTime[[Activity]:[Activity]],O$1))</f>
        <v/>
      </c>
      <c r="P244" s="62" t="str">
        <f>IF(SUMIFS(TableTime[[Duration]:[Duration]],TableTime[[Date]:[Date]],$B244,TableTime[[Activity]:[Activity]],P$1)=0,"",SUMIFS(TableTime[[Duration]:[Duration]],TableTime[[Date]:[Date]],$B244,TableTime[[Activity]:[Activity]],P$1))</f>
        <v/>
      </c>
      <c r="Q244" s="62" t="str">
        <f>IF(SUMIFS(TableTime[[Duration]:[Duration]],TableTime[[Date]:[Date]],$B244,TableTime[[Activity]:[Activity]],Q$1)=0,"",SUMIFS(TableTime[[Duration]:[Duration]],TableTime[[Date]:[Date]],$B244,TableTime[[Activity]:[Activity]],Q$1))</f>
        <v/>
      </c>
      <c r="R244" s="62" t="str">
        <f>IF(SUMIFS(TableTime[[Duration]:[Duration]],TableTime[[Date]:[Date]],$B244,TableTime[[Activity]:[Activity]],R$1)=0,"",SUMIFS(TableTime[[Duration]:[Duration]],TableTime[[Date]:[Date]],$B244,TableTime[[Activity]:[Activity]],R$1))</f>
        <v/>
      </c>
      <c r="S244" s="131" t="str">
        <f>IF(SUMIFS(TableTime[[Duration]:[Duration]],TableTime[[Date]:[Date]],$B244,TableTime[[Activity]:[Activity]],S$1)=0,"",SUMIFS(TableTime[[Duration]:[Duration]],TableTime[[Date]:[Date]],$B244,TableTime[[Activity]:[Activity]],S$1))</f>
        <v/>
      </c>
      <c r="T244" s="62" t="str">
        <f>IF(SUMIFS(TableTime[[Duration]:[Duration]],TableTime[[Date]:[Date]],$B244,TableTime[[Activity]:[Activity]],T$1)=0,"",SUMIFS(TableTime[[Duration]:[Duration]],TableTime[[Date]:[Date]],$B244,TableTime[[Activity]:[Activity]],T$1))</f>
        <v/>
      </c>
      <c r="U244" s="64" t="str">
        <f>IF(SUMIFS(TableTime[[Duration]:[Duration]],TableTime[[Date]:[Date]],$B244,TableTime[[Activity]:[Activity]],U$1)=0,"",SUMIFS(TableTime[[Duration]:[Duration]],TableTime[[Date]:[Date]],$B244,TableTime[[Activity]:[Activity]],U$1))</f>
        <v/>
      </c>
    </row>
    <row r="245" spans="1:21" x14ac:dyDescent="0.35">
      <c r="A245" s="35" t="str">
        <f t="shared" si="18"/>
        <v>Fri</v>
      </c>
      <c r="B245" s="5">
        <f t="shared" si="20"/>
        <v>45170</v>
      </c>
      <c r="C245" s="1">
        <f t="shared" si="21"/>
        <v>9</v>
      </c>
      <c r="D245" s="2">
        <f t="shared" si="19"/>
        <v>35</v>
      </c>
      <c r="E245" s="102"/>
      <c r="F245" s="1" t="str">
        <f>IFERROR(IF(OR(WEEKDAY(B245,2)=6,WEEKDAY(B245,2)=7),'Month summary'!$D$11,IF(E245="",'Month summary'!$C$11,E245)),"")</f>
        <v>W</v>
      </c>
      <c r="G245" s="4">
        <f>IF(B245&lt;Time!$B$2,"",IF(F245='Month summary'!$C$11,'Month summary'!$F$2/24,IF(F245="H/2",'Month summary'!$F$2/24/2,0)))</f>
        <v>0.33333333333333331</v>
      </c>
      <c r="H245" s="4">
        <f t="shared" si="22"/>
        <v>0</v>
      </c>
      <c r="I245" s="4" t="str">
        <f t="shared" si="23"/>
        <v/>
      </c>
      <c r="J245" s="107"/>
      <c r="K245" s="38" t="str">
        <f>IFERROR(INDEX(TableTime[Time],MATCH(B245,TableTime[Date],0)),"")</f>
        <v/>
      </c>
      <c r="L245" s="4" t="str">
        <f>IF(SUMIFS(TableTime[Duration],TableTime[Date],B245,TableTime[Activity],Projects!$C$9)+SUMIFS(TableTime[Duration],TableTime[Date],B245,TableTime[Activity],Projects!$C$10)+SUMIFS(TableTime[Duration],TableTime[Date],B245,TableTime[Activity],Projects!$C$11)=0,"",SUMIFS(TableTime[Duration],TableTime[Date],B245,TableTime[Activity],Projects!$C$9)+SUMIFS(TableTime[Duration],TableTime[Date],B245,TableTime[Activity],Projects!$C$10)+SUMIFS(TableTime[Duration],TableTime[Date],B245,TableTime[Activity],Projects!$C$11))</f>
        <v/>
      </c>
      <c r="M245" s="4" t="str" cm="1">
        <f t="array" ref="M245">IFERROR(LOOKUP(2,1/(TableTime[Date]=B245),TableTime[Time]),"")</f>
        <v/>
      </c>
      <c r="N245" s="38" t="str">
        <f>IF(SUMIFS(TableTime[[Duration]:[Duration]],TableTime[[Date]:[Date]],$B245,TableTime[[Activity]:[Activity]],N$1)=0,"",SUMIFS(TableTime[[Duration]:[Duration]],TableTime[[Date]:[Date]],$B245,TableTime[[Activity]:[Activity]],N$1))</f>
        <v/>
      </c>
      <c r="O245" s="4" t="str">
        <f>IF(SUMIFS(TableTime[[Duration]:[Duration]],TableTime[[Date]:[Date]],$B245,TableTime[[Activity]:[Activity]],O$1)=0,"",SUMIFS(TableTime[[Duration]:[Duration]],TableTime[[Date]:[Date]],$B245,TableTime[[Activity]:[Activity]],O$1))</f>
        <v/>
      </c>
      <c r="P245" s="4" t="str">
        <f>IF(SUMIFS(TableTime[[Duration]:[Duration]],TableTime[[Date]:[Date]],$B245,TableTime[[Activity]:[Activity]],P$1)=0,"",SUMIFS(TableTime[[Duration]:[Duration]],TableTime[[Date]:[Date]],$B245,TableTime[[Activity]:[Activity]],P$1))</f>
        <v/>
      </c>
      <c r="Q245" s="4" t="str">
        <f>IF(SUMIFS(TableTime[[Duration]:[Duration]],TableTime[[Date]:[Date]],$B245,TableTime[[Activity]:[Activity]],Q$1)=0,"",SUMIFS(TableTime[[Duration]:[Duration]],TableTime[[Date]:[Date]],$B245,TableTime[[Activity]:[Activity]],Q$1))</f>
        <v/>
      </c>
      <c r="R245" s="4" t="str">
        <f>IF(SUMIFS(TableTime[[Duration]:[Duration]],TableTime[[Date]:[Date]],$B245,TableTime[[Activity]:[Activity]],R$1)=0,"",SUMIFS(TableTime[[Duration]:[Duration]],TableTime[[Date]:[Date]],$B245,TableTime[[Activity]:[Activity]],R$1))</f>
        <v/>
      </c>
      <c r="S245" s="130" t="str">
        <f>IF(SUMIFS(TableTime[[Duration]:[Duration]],TableTime[[Date]:[Date]],$B245,TableTime[[Activity]:[Activity]],S$1)=0,"",SUMIFS(TableTime[[Duration]:[Duration]],TableTime[[Date]:[Date]],$B245,TableTime[[Activity]:[Activity]],S$1))</f>
        <v/>
      </c>
      <c r="T245" s="4" t="str">
        <f>IF(SUMIFS(TableTime[[Duration]:[Duration]],TableTime[[Date]:[Date]],$B245,TableTime[[Activity]:[Activity]],T$1)=0,"",SUMIFS(TableTime[[Duration]:[Duration]],TableTime[[Date]:[Date]],$B245,TableTime[[Activity]:[Activity]],T$1))</f>
        <v/>
      </c>
      <c r="U245" s="39" t="str">
        <f>IF(SUMIFS(TableTime[[Duration]:[Duration]],TableTime[[Date]:[Date]],$B245,TableTime[[Activity]:[Activity]],U$1)=0,"",SUMIFS(TableTime[[Duration]:[Duration]],TableTime[[Date]:[Date]],$B245,TableTime[[Activity]:[Activity]],U$1))</f>
        <v/>
      </c>
    </row>
    <row r="246" spans="1:21" x14ac:dyDescent="0.35">
      <c r="A246" s="59" t="str">
        <f t="shared" si="18"/>
        <v>Sat</v>
      </c>
      <c r="B246" s="91">
        <f t="shared" si="20"/>
        <v>45171</v>
      </c>
      <c r="C246" s="60">
        <f t="shared" si="21"/>
        <v>9</v>
      </c>
      <c r="D246" s="61">
        <f t="shared" si="19"/>
        <v>35</v>
      </c>
      <c r="E246" s="103"/>
      <c r="F246" s="60" t="str">
        <f>IFERROR(IF(OR(WEEKDAY(B246,2)=6,WEEKDAY(B246,2)=7),'Month summary'!$D$11,IF(E246="",'Month summary'!$C$11,E246)),"")</f>
        <v>WE</v>
      </c>
      <c r="G246" s="62">
        <f>IF(B246&lt;Time!$B$2,"",IF(F246='Month summary'!$C$11,'Month summary'!$F$2/24,IF(F246="H/2",'Month summary'!$F$2/24/2,0)))</f>
        <v>0</v>
      </c>
      <c r="H246" s="62">
        <f t="shared" si="22"/>
        <v>0</v>
      </c>
      <c r="I246" s="62" t="str">
        <f t="shared" si="23"/>
        <v/>
      </c>
      <c r="J246" s="108"/>
      <c r="K246" s="63" t="str">
        <f>IFERROR(INDEX(TableTime[Time],MATCH(B246,TableTime[Date],0)),"")</f>
        <v/>
      </c>
      <c r="L246" s="62" t="str">
        <f>IF(SUMIFS(TableTime[Duration],TableTime[Date],B246,TableTime[Activity],Projects!$C$9)+SUMIFS(TableTime[Duration],TableTime[Date],B246,TableTime[Activity],Projects!$C$10)+SUMIFS(TableTime[Duration],TableTime[Date],B246,TableTime[Activity],Projects!$C$11)=0,"",SUMIFS(TableTime[Duration],TableTime[Date],B246,TableTime[Activity],Projects!$C$9)+SUMIFS(TableTime[Duration],TableTime[Date],B246,TableTime[Activity],Projects!$C$10)+SUMIFS(TableTime[Duration],TableTime[Date],B246,TableTime[Activity],Projects!$C$11))</f>
        <v/>
      </c>
      <c r="M246" s="62" t="str" cm="1">
        <f t="array" ref="M246">IFERROR(LOOKUP(2,1/(TableTime[Date]=B246),TableTime[Time]),"")</f>
        <v/>
      </c>
      <c r="N246" s="63" t="str">
        <f>IF(SUMIFS(TableTime[[Duration]:[Duration]],TableTime[[Date]:[Date]],$B246,TableTime[[Activity]:[Activity]],N$1)=0,"",SUMIFS(TableTime[[Duration]:[Duration]],TableTime[[Date]:[Date]],$B246,TableTime[[Activity]:[Activity]],N$1))</f>
        <v/>
      </c>
      <c r="O246" s="62" t="str">
        <f>IF(SUMIFS(TableTime[[Duration]:[Duration]],TableTime[[Date]:[Date]],$B246,TableTime[[Activity]:[Activity]],O$1)=0,"",SUMIFS(TableTime[[Duration]:[Duration]],TableTime[[Date]:[Date]],$B246,TableTime[[Activity]:[Activity]],O$1))</f>
        <v/>
      </c>
      <c r="P246" s="62" t="str">
        <f>IF(SUMIFS(TableTime[[Duration]:[Duration]],TableTime[[Date]:[Date]],$B246,TableTime[[Activity]:[Activity]],P$1)=0,"",SUMIFS(TableTime[[Duration]:[Duration]],TableTime[[Date]:[Date]],$B246,TableTime[[Activity]:[Activity]],P$1))</f>
        <v/>
      </c>
      <c r="Q246" s="62" t="str">
        <f>IF(SUMIFS(TableTime[[Duration]:[Duration]],TableTime[[Date]:[Date]],$B246,TableTime[[Activity]:[Activity]],Q$1)=0,"",SUMIFS(TableTime[[Duration]:[Duration]],TableTime[[Date]:[Date]],$B246,TableTime[[Activity]:[Activity]],Q$1))</f>
        <v/>
      </c>
      <c r="R246" s="62" t="str">
        <f>IF(SUMIFS(TableTime[[Duration]:[Duration]],TableTime[[Date]:[Date]],$B246,TableTime[[Activity]:[Activity]],R$1)=0,"",SUMIFS(TableTime[[Duration]:[Duration]],TableTime[[Date]:[Date]],$B246,TableTime[[Activity]:[Activity]],R$1))</f>
        <v/>
      </c>
      <c r="S246" s="131" t="str">
        <f>IF(SUMIFS(TableTime[[Duration]:[Duration]],TableTime[[Date]:[Date]],$B246,TableTime[[Activity]:[Activity]],S$1)=0,"",SUMIFS(TableTime[[Duration]:[Duration]],TableTime[[Date]:[Date]],$B246,TableTime[[Activity]:[Activity]],S$1))</f>
        <v/>
      </c>
      <c r="T246" s="62" t="str">
        <f>IF(SUMIFS(TableTime[[Duration]:[Duration]],TableTime[[Date]:[Date]],$B246,TableTime[[Activity]:[Activity]],T$1)=0,"",SUMIFS(TableTime[[Duration]:[Duration]],TableTime[[Date]:[Date]],$B246,TableTime[[Activity]:[Activity]],T$1))</f>
        <v/>
      </c>
      <c r="U246" s="64" t="str">
        <f>IF(SUMIFS(TableTime[[Duration]:[Duration]],TableTime[[Date]:[Date]],$B246,TableTime[[Activity]:[Activity]],U$1)=0,"",SUMIFS(TableTime[[Duration]:[Duration]],TableTime[[Date]:[Date]],$B246,TableTime[[Activity]:[Activity]],U$1))</f>
        <v/>
      </c>
    </row>
    <row r="247" spans="1:21" x14ac:dyDescent="0.35">
      <c r="A247" s="35" t="str">
        <f t="shared" si="18"/>
        <v>Sun</v>
      </c>
      <c r="B247" s="5">
        <f t="shared" si="20"/>
        <v>45172</v>
      </c>
      <c r="C247" s="1">
        <f t="shared" si="21"/>
        <v>9</v>
      </c>
      <c r="D247" s="2">
        <f t="shared" si="19"/>
        <v>35</v>
      </c>
      <c r="E247" s="102"/>
      <c r="F247" s="1" t="str">
        <f>IFERROR(IF(OR(WEEKDAY(B247,2)=6,WEEKDAY(B247,2)=7),'Month summary'!$D$11,IF(E247="",'Month summary'!$C$11,E247)),"")</f>
        <v>WE</v>
      </c>
      <c r="G247" s="4">
        <f>IF(B247&lt;Time!$B$2,"",IF(F247='Month summary'!$C$11,'Month summary'!$F$2/24,IF(F247="H/2",'Month summary'!$F$2/24/2,0)))</f>
        <v>0</v>
      </c>
      <c r="H247" s="4">
        <f t="shared" si="22"/>
        <v>0</v>
      </c>
      <c r="I247" s="4" t="str">
        <f t="shared" si="23"/>
        <v/>
      </c>
      <c r="J247" s="107"/>
      <c r="K247" s="38" t="str">
        <f>IFERROR(INDEX(TableTime[Time],MATCH(B247,TableTime[Date],0)),"")</f>
        <v/>
      </c>
      <c r="L247" s="4" t="str">
        <f>IF(SUMIFS(TableTime[Duration],TableTime[Date],B247,TableTime[Activity],Projects!$C$9)+SUMIFS(TableTime[Duration],TableTime[Date],B247,TableTime[Activity],Projects!$C$10)+SUMIFS(TableTime[Duration],TableTime[Date],B247,TableTime[Activity],Projects!$C$11)=0,"",SUMIFS(TableTime[Duration],TableTime[Date],B247,TableTime[Activity],Projects!$C$9)+SUMIFS(TableTime[Duration],TableTime[Date],B247,TableTime[Activity],Projects!$C$10)+SUMIFS(TableTime[Duration],TableTime[Date],B247,TableTime[Activity],Projects!$C$11))</f>
        <v/>
      </c>
      <c r="M247" s="4" t="str" cm="1">
        <f t="array" ref="M247">IFERROR(LOOKUP(2,1/(TableTime[Date]=B247),TableTime[Time]),"")</f>
        <v/>
      </c>
      <c r="N247" s="38" t="str">
        <f>IF(SUMIFS(TableTime[[Duration]:[Duration]],TableTime[[Date]:[Date]],$B247,TableTime[[Activity]:[Activity]],N$1)=0,"",SUMIFS(TableTime[[Duration]:[Duration]],TableTime[[Date]:[Date]],$B247,TableTime[[Activity]:[Activity]],N$1))</f>
        <v/>
      </c>
      <c r="O247" s="4" t="str">
        <f>IF(SUMIFS(TableTime[[Duration]:[Duration]],TableTime[[Date]:[Date]],$B247,TableTime[[Activity]:[Activity]],O$1)=0,"",SUMIFS(TableTime[[Duration]:[Duration]],TableTime[[Date]:[Date]],$B247,TableTime[[Activity]:[Activity]],O$1))</f>
        <v/>
      </c>
      <c r="P247" s="4" t="str">
        <f>IF(SUMIFS(TableTime[[Duration]:[Duration]],TableTime[[Date]:[Date]],$B247,TableTime[[Activity]:[Activity]],P$1)=0,"",SUMIFS(TableTime[[Duration]:[Duration]],TableTime[[Date]:[Date]],$B247,TableTime[[Activity]:[Activity]],P$1))</f>
        <v/>
      </c>
      <c r="Q247" s="4" t="str">
        <f>IF(SUMIFS(TableTime[[Duration]:[Duration]],TableTime[[Date]:[Date]],$B247,TableTime[[Activity]:[Activity]],Q$1)=0,"",SUMIFS(TableTime[[Duration]:[Duration]],TableTime[[Date]:[Date]],$B247,TableTime[[Activity]:[Activity]],Q$1))</f>
        <v/>
      </c>
      <c r="R247" s="4" t="str">
        <f>IF(SUMIFS(TableTime[[Duration]:[Duration]],TableTime[[Date]:[Date]],$B247,TableTime[[Activity]:[Activity]],R$1)=0,"",SUMIFS(TableTime[[Duration]:[Duration]],TableTime[[Date]:[Date]],$B247,TableTime[[Activity]:[Activity]],R$1))</f>
        <v/>
      </c>
      <c r="S247" s="130" t="str">
        <f>IF(SUMIFS(TableTime[[Duration]:[Duration]],TableTime[[Date]:[Date]],$B247,TableTime[[Activity]:[Activity]],S$1)=0,"",SUMIFS(TableTime[[Duration]:[Duration]],TableTime[[Date]:[Date]],$B247,TableTime[[Activity]:[Activity]],S$1))</f>
        <v/>
      </c>
      <c r="T247" s="4" t="str">
        <f>IF(SUMIFS(TableTime[[Duration]:[Duration]],TableTime[[Date]:[Date]],$B247,TableTime[[Activity]:[Activity]],T$1)=0,"",SUMIFS(TableTime[[Duration]:[Duration]],TableTime[[Date]:[Date]],$B247,TableTime[[Activity]:[Activity]],T$1))</f>
        <v/>
      </c>
      <c r="U247" s="39" t="str">
        <f>IF(SUMIFS(TableTime[[Duration]:[Duration]],TableTime[[Date]:[Date]],$B247,TableTime[[Activity]:[Activity]],U$1)=0,"",SUMIFS(TableTime[[Duration]:[Duration]],TableTime[[Date]:[Date]],$B247,TableTime[[Activity]:[Activity]],U$1))</f>
        <v/>
      </c>
    </row>
    <row r="248" spans="1:21" x14ac:dyDescent="0.35">
      <c r="A248" s="59" t="str">
        <f t="shared" si="18"/>
        <v>Mon</v>
      </c>
      <c r="B248" s="91">
        <f t="shared" si="20"/>
        <v>45173</v>
      </c>
      <c r="C248" s="60">
        <f t="shared" si="21"/>
        <v>9</v>
      </c>
      <c r="D248" s="61">
        <f t="shared" si="19"/>
        <v>36</v>
      </c>
      <c r="E248" s="103"/>
      <c r="F248" s="60" t="str">
        <f>IFERROR(IF(OR(WEEKDAY(B248,2)=6,WEEKDAY(B248,2)=7),'Month summary'!$D$11,IF(E248="",'Month summary'!$C$11,E248)),"")</f>
        <v>W</v>
      </c>
      <c r="G248" s="62">
        <f>IF(B248&lt;Time!$B$2,"",IF(F248='Month summary'!$C$11,'Month summary'!$F$2/24,IF(F248="H/2",'Month summary'!$F$2/24/2,0)))</f>
        <v>0.33333333333333331</v>
      </c>
      <c r="H248" s="62">
        <f t="shared" si="22"/>
        <v>0</v>
      </c>
      <c r="I248" s="62" t="str">
        <f t="shared" si="23"/>
        <v/>
      </c>
      <c r="J248" s="108"/>
      <c r="K248" s="63" t="str">
        <f>IFERROR(INDEX(TableTime[Time],MATCH(B248,TableTime[Date],0)),"")</f>
        <v/>
      </c>
      <c r="L248" s="62" t="str">
        <f>IF(SUMIFS(TableTime[Duration],TableTime[Date],B248,TableTime[Activity],Projects!$C$9)+SUMIFS(TableTime[Duration],TableTime[Date],B248,TableTime[Activity],Projects!$C$10)+SUMIFS(TableTime[Duration],TableTime[Date],B248,TableTime[Activity],Projects!$C$11)=0,"",SUMIFS(TableTime[Duration],TableTime[Date],B248,TableTime[Activity],Projects!$C$9)+SUMIFS(TableTime[Duration],TableTime[Date],B248,TableTime[Activity],Projects!$C$10)+SUMIFS(TableTime[Duration],TableTime[Date],B248,TableTime[Activity],Projects!$C$11))</f>
        <v/>
      </c>
      <c r="M248" s="62" t="str" cm="1">
        <f t="array" ref="M248">IFERROR(LOOKUP(2,1/(TableTime[Date]=B248),TableTime[Time]),"")</f>
        <v/>
      </c>
      <c r="N248" s="63" t="str">
        <f>IF(SUMIFS(TableTime[[Duration]:[Duration]],TableTime[[Date]:[Date]],$B248,TableTime[[Activity]:[Activity]],N$1)=0,"",SUMIFS(TableTime[[Duration]:[Duration]],TableTime[[Date]:[Date]],$B248,TableTime[[Activity]:[Activity]],N$1))</f>
        <v/>
      </c>
      <c r="O248" s="62" t="str">
        <f>IF(SUMIFS(TableTime[[Duration]:[Duration]],TableTime[[Date]:[Date]],$B248,TableTime[[Activity]:[Activity]],O$1)=0,"",SUMIFS(TableTime[[Duration]:[Duration]],TableTime[[Date]:[Date]],$B248,TableTime[[Activity]:[Activity]],O$1))</f>
        <v/>
      </c>
      <c r="P248" s="62" t="str">
        <f>IF(SUMIFS(TableTime[[Duration]:[Duration]],TableTime[[Date]:[Date]],$B248,TableTime[[Activity]:[Activity]],P$1)=0,"",SUMIFS(TableTime[[Duration]:[Duration]],TableTime[[Date]:[Date]],$B248,TableTime[[Activity]:[Activity]],P$1))</f>
        <v/>
      </c>
      <c r="Q248" s="62" t="str">
        <f>IF(SUMIFS(TableTime[[Duration]:[Duration]],TableTime[[Date]:[Date]],$B248,TableTime[[Activity]:[Activity]],Q$1)=0,"",SUMIFS(TableTime[[Duration]:[Duration]],TableTime[[Date]:[Date]],$B248,TableTime[[Activity]:[Activity]],Q$1))</f>
        <v/>
      </c>
      <c r="R248" s="62" t="str">
        <f>IF(SUMIFS(TableTime[[Duration]:[Duration]],TableTime[[Date]:[Date]],$B248,TableTime[[Activity]:[Activity]],R$1)=0,"",SUMIFS(TableTime[[Duration]:[Duration]],TableTime[[Date]:[Date]],$B248,TableTime[[Activity]:[Activity]],R$1))</f>
        <v/>
      </c>
      <c r="S248" s="131" t="str">
        <f>IF(SUMIFS(TableTime[[Duration]:[Duration]],TableTime[[Date]:[Date]],$B248,TableTime[[Activity]:[Activity]],S$1)=0,"",SUMIFS(TableTime[[Duration]:[Duration]],TableTime[[Date]:[Date]],$B248,TableTime[[Activity]:[Activity]],S$1))</f>
        <v/>
      </c>
      <c r="T248" s="62" t="str">
        <f>IF(SUMIFS(TableTime[[Duration]:[Duration]],TableTime[[Date]:[Date]],$B248,TableTime[[Activity]:[Activity]],T$1)=0,"",SUMIFS(TableTime[[Duration]:[Duration]],TableTime[[Date]:[Date]],$B248,TableTime[[Activity]:[Activity]],T$1))</f>
        <v/>
      </c>
      <c r="U248" s="64" t="str">
        <f>IF(SUMIFS(TableTime[[Duration]:[Duration]],TableTime[[Date]:[Date]],$B248,TableTime[[Activity]:[Activity]],U$1)=0,"",SUMIFS(TableTime[[Duration]:[Duration]],TableTime[[Date]:[Date]],$B248,TableTime[[Activity]:[Activity]],U$1))</f>
        <v/>
      </c>
    </row>
    <row r="249" spans="1:21" x14ac:dyDescent="0.35">
      <c r="A249" s="35" t="str">
        <f t="shared" si="18"/>
        <v>Tue</v>
      </c>
      <c r="B249" s="5">
        <f t="shared" si="20"/>
        <v>45174</v>
      </c>
      <c r="C249" s="1">
        <f t="shared" si="21"/>
        <v>9</v>
      </c>
      <c r="D249" s="2">
        <f t="shared" si="19"/>
        <v>36</v>
      </c>
      <c r="E249" s="102"/>
      <c r="F249" s="1" t="str">
        <f>IFERROR(IF(OR(WEEKDAY(B249,2)=6,WEEKDAY(B249,2)=7),'Month summary'!$D$11,IF(E249="",'Month summary'!$C$11,E249)),"")</f>
        <v>W</v>
      </c>
      <c r="G249" s="4">
        <f>IF(B249&lt;Time!$B$2,"",IF(F249='Month summary'!$C$11,'Month summary'!$F$2/24,IF(F249="H/2",'Month summary'!$F$2/24/2,0)))</f>
        <v>0.33333333333333331</v>
      </c>
      <c r="H249" s="4">
        <f t="shared" si="22"/>
        <v>0</v>
      </c>
      <c r="I249" s="4" t="str">
        <f t="shared" si="23"/>
        <v/>
      </c>
      <c r="J249" s="107"/>
      <c r="K249" s="38" t="str">
        <f>IFERROR(INDEX(TableTime[Time],MATCH(B249,TableTime[Date],0)),"")</f>
        <v/>
      </c>
      <c r="L249" s="4" t="str">
        <f>IF(SUMIFS(TableTime[Duration],TableTime[Date],B249,TableTime[Activity],Projects!$C$9)+SUMIFS(TableTime[Duration],TableTime[Date],B249,TableTime[Activity],Projects!$C$10)+SUMIFS(TableTime[Duration],TableTime[Date],B249,TableTime[Activity],Projects!$C$11)=0,"",SUMIFS(TableTime[Duration],TableTime[Date],B249,TableTime[Activity],Projects!$C$9)+SUMIFS(TableTime[Duration],TableTime[Date],B249,TableTime[Activity],Projects!$C$10)+SUMIFS(TableTime[Duration],TableTime[Date],B249,TableTime[Activity],Projects!$C$11))</f>
        <v/>
      </c>
      <c r="M249" s="4" t="str" cm="1">
        <f t="array" ref="M249">IFERROR(LOOKUP(2,1/(TableTime[Date]=B249),TableTime[Time]),"")</f>
        <v/>
      </c>
      <c r="N249" s="38" t="str">
        <f>IF(SUMIFS(TableTime[[Duration]:[Duration]],TableTime[[Date]:[Date]],$B249,TableTime[[Activity]:[Activity]],N$1)=0,"",SUMIFS(TableTime[[Duration]:[Duration]],TableTime[[Date]:[Date]],$B249,TableTime[[Activity]:[Activity]],N$1))</f>
        <v/>
      </c>
      <c r="O249" s="4" t="str">
        <f>IF(SUMIFS(TableTime[[Duration]:[Duration]],TableTime[[Date]:[Date]],$B249,TableTime[[Activity]:[Activity]],O$1)=0,"",SUMIFS(TableTime[[Duration]:[Duration]],TableTime[[Date]:[Date]],$B249,TableTime[[Activity]:[Activity]],O$1))</f>
        <v/>
      </c>
      <c r="P249" s="4" t="str">
        <f>IF(SUMIFS(TableTime[[Duration]:[Duration]],TableTime[[Date]:[Date]],$B249,TableTime[[Activity]:[Activity]],P$1)=0,"",SUMIFS(TableTime[[Duration]:[Duration]],TableTime[[Date]:[Date]],$B249,TableTime[[Activity]:[Activity]],P$1))</f>
        <v/>
      </c>
      <c r="Q249" s="4" t="str">
        <f>IF(SUMIFS(TableTime[[Duration]:[Duration]],TableTime[[Date]:[Date]],$B249,TableTime[[Activity]:[Activity]],Q$1)=0,"",SUMIFS(TableTime[[Duration]:[Duration]],TableTime[[Date]:[Date]],$B249,TableTime[[Activity]:[Activity]],Q$1))</f>
        <v/>
      </c>
      <c r="R249" s="4" t="str">
        <f>IF(SUMIFS(TableTime[[Duration]:[Duration]],TableTime[[Date]:[Date]],$B249,TableTime[[Activity]:[Activity]],R$1)=0,"",SUMIFS(TableTime[[Duration]:[Duration]],TableTime[[Date]:[Date]],$B249,TableTime[[Activity]:[Activity]],R$1))</f>
        <v/>
      </c>
      <c r="S249" s="130" t="str">
        <f>IF(SUMIFS(TableTime[[Duration]:[Duration]],TableTime[[Date]:[Date]],$B249,TableTime[[Activity]:[Activity]],S$1)=0,"",SUMIFS(TableTime[[Duration]:[Duration]],TableTime[[Date]:[Date]],$B249,TableTime[[Activity]:[Activity]],S$1))</f>
        <v/>
      </c>
      <c r="T249" s="4" t="str">
        <f>IF(SUMIFS(TableTime[[Duration]:[Duration]],TableTime[[Date]:[Date]],$B249,TableTime[[Activity]:[Activity]],T$1)=0,"",SUMIFS(TableTime[[Duration]:[Duration]],TableTime[[Date]:[Date]],$B249,TableTime[[Activity]:[Activity]],T$1))</f>
        <v/>
      </c>
      <c r="U249" s="39" t="str">
        <f>IF(SUMIFS(TableTime[[Duration]:[Duration]],TableTime[[Date]:[Date]],$B249,TableTime[[Activity]:[Activity]],U$1)=0,"",SUMIFS(TableTime[[Duration]:[Duration]],TableTime[[Date]:[Date]],$B249,TableTime[[Activity]:[Activity]],U$1))</f>
        <v/>
      </c>
    </row>
    <row r="250" spans="1:21" x14ac:dyDescent="0.35">
      <c r="A250" s="59" t="str">
        <f t="shared" si="18"/>
        <v>Wed</v>
      </c>
      <c r="B250" s="91">
        <f t="shared" si="20"/>
        <v>45175</v>
      </c>
      <c r="C250" s="60">
        <f t="shared" si="21"/>
        <v>9</v>
      </c>
      <c r="D250" s="61">
        <f t="shared" si="19"/>
        <v>36</v>
      </c>
      <c r="E250" s="103"/>
      <c r="F250" s="60" t="str">
        <f>IFERROR(IF(OR(WEEKDAY(B250,2)=6,WEEKDAY(B250,2)=7),'Month summary'!$D$11,IF(E250="",'Month summary'!$C$11,E250)),"")</f>
        <v>W</v>
      </c>
      <c r="G250" s="62">
        <f>IF(B250&lt;Time!$B$2,"",IF(F250='Month summary'!$C$11,'Month summary'!$F$2/24,IF(F250="H/2",'Month summary'!$F$2/24/2,0)))</f>
        <v>0.33333333333333331</v>
      </c>
      <c r="H250" s="62">
        <f t="shared" si="22"/>
        <v>0</v>
      </c>
      <c r="I250" s="62" t="str">
        <f t="shared" si="23"/>
        <v/>
      </c>
      <c r="J250" s="108"/>
      <c r="K250" s="63" t="str">
        <f>IFERROR(INDEX(TableTime[Time],MATCH(B250,TableTime[Date],0)),"")</f>
        <v/>
      </c>
      <c r="L250" s="62" t="str">
        <f>IF(SUMIFS(TableTime[Duration],TableTime[Date],B250,TableTime[Activity],Projects!$C$9)+SUMIFS(TableTime[Duration],TableTime[Date],B250,TableTime[Activity],Projects!$C$10)+SUMIFS(TableTime[Duration],TableTime[Date],B250,TableTime[Activity],Projects!$C$11)=0,"",SUMIFS(TableTime[Duration],TableTime[Date],B250,TableTime[Activity],Projects!$C$9)+SUMIFS(TableTime[Duration],TableTime[Date],B250,TableTime[Activity],Projects!$C$10)+SUMIFS(TableTime[Duration],TableTime[Date],B250,TableTime[Activity],Projects!$C$11))</f>
        <v/>
      </c>
      <c r="M250" s="62" t="str" cm="1">
        <f t="array" ref="M250">IFERROR(LOOKUP(2,1/(TableTime[Date]=B250),TableTime[Time]),"")</f>
        <v/>
      </c>
      <c r="N250" s="63" t="str">
        <f>IF(SUMIFS(TableTime[[Duration]:[Duration]],TableTime[[Date]:[Date]],$B250,TableTime[[Activity]:[Activity]],N$1)=0,"",SUMIFS(TableTime[[Duration]:[Duration]],TableTime[[Date]:[Date]],$B250,TableTime[[Activity]:[Activity]],N$1))</f>
        <v/>
      </c>
      <c r="O250" s="62" t="str">
        <f>IF(SUMIFS(TableTime[[Duration]:[Duration]],TableTime[[Date]:[Date]],$B250,TableTime[[Activity]:[Activity]],O$1)=0,"",SUMIFS(TableTime[[Duration]:[Duration]],TableTime[[Date]:[Date]],$B250,TableTime[[Activity]:[Activity]],O$1))</f>
        <v/>
      </c>
      <c r="P250" s="62" t="str">
        <f>IF(SUMIFS(TableTime[[Duration]:[Duration]],TableTime[[Date]:[Date]],$B250,TableTime[[Activity]:[Activity]],P$1)=0,"",SUMIFS(TableTime[[Duration]:[Duration]],TableTime[[Date]:[Date]],$B250,TableTime[[Activity]:[Activity]],P$1))</f>
        <v/>
      </c>
      <c r="Q250" s="62" t="str">
        <f>IF(SUMIFS(TableTime[[Duration]:[Duration]],TableTime[[Date]:[Date]],$B250,TableTime[[Activity]:[Activity]],Q$1)=0,"",SUMIFS(TableTime[[Duration]:[Duration]],TableTime[[Date]:[Date]],$B250,TableTime[[Activity]:[Activity]],Q$1))</f>
        <v/>
      </c>
      <c r="R250" s="62" t="str">
        <f>IF(SUMIFS(TableTime[[Duration]:[Duration]],TableTime[[Date]:[Date]],$B250,TableTime[[Activity]:[Activity]],R$1)=0,"",SUMIFS(TableTime[[Duration]:[Duration]],TableTime[[Date]:[Date]],$B250,TableTime[[Activity]:[Activity]],R$1))</f>
        <v/>
      </c>
      <c r="S250" s="131" t="str">
        <f>IF(SUMIFS(TableTime[[Duration]:[Duration]],TableTime[[Date]:[Date]],$B250,TableTime[[Activity]:[Activity]],S$1)=0,"",SUMIFS(TableTime[[Duration]:[Duration]],TableTime[[Date]:[Date]],$B250,TableTime[[Activity]:[Activity]],S$1))</f>
        <v/>
      </c>
      <c r="T250" s="62" t="str">
        <f>IF(SUMIFS(TableTime[[Duration]:[Duration]],TableTime[[Date]:[Date]],$B250,TableTime[[Activity]:[Activity]],T$1)=0,"",SUMIFS(TableTime[[Duration]:[Duration]],TableTime[[Date]:[Date]],$B250,TableTime[[Activity]:[Activity]],T$1))</f>
        <v/>
      </c>
      <c r="U250" s="64" t="str">
        <f>IF(SUMIFS(TableTime[[Duration]:[Duration]],TableTime[[Date]:[Date]],$B250,TableTime[[Activity]:[Activity]],U$1)=0,"",SUMIFS(TableTime[[Duration]:[Duration]],TableTime[[Date]:[Date]],$B250,TableTime[[Activity]:[Activity]],U$1))</f>
        <v/>
      </c>
    </row>
    <row r="251" spans="1:21" x14ac:dyDescent="0.35">
      <c r="A251" s="35" t="str">
        <f t="shared" si="18"/>
        <v>Thr</v>
      </c>
      <c r="B251" s="5">
        <f t="shared" si="20"/>
        <v>45176</v>
      </c>
      <c r="C251" s="1">
        <f t="shared" si="21"/>
        <v>9</v>
      </c>
      <c r="D251" s="2">
        <f t="shared" si="19"/>
        <v>36</v>
      </c>
      <c r="E251" s="102"/>
      <c r="F251" s="1" t="str">
        <f>IFERROR(IF(OR(WEEKDAY(B251,2)=6,WEEKDAY(B251,2)=7),'Month summary'!$D$11,IF(E251="",'Month summary'!$C$11,E251)),"")</f>
        <v>W</v>
      </c>
      <c r="G251" s="4">
        <f>IF(B251&lt;Time!$B$2,"",IF(F251='Month summary'!$C$11,'Month summary'!$F$2/24,IF(F251="H/2",'Month summary'!$F$2/24/2,0)))</f>
        <v>0.33333333333333331</v>
      </c>
      <c r="H251" s="4">
        <f t="shared" si="22"/>
        <v>0</v>
      </c>
      <c r="I251" s="4" t="str">
        <f t="shared" si="23"/>
        <v/>
      </c>
      <c r="J251" s="107"/>
      <c r="K251" s="38" t="str">
        <f>IFERROR(INDEX(TableTime[Time],MATCH(B251,TableTime[Date],0)),"")</f>
        <v/>
      </c>
      <c r="L251" s="4" t="str">
        <f>IF(SUMIFS(TableTime[Duration],TableTime[Date],B251,TableTime[Activity],Projects!$C$9)+SUMIFS(TableTime[Duration],TableTime[Date],B251,TableTime[Activity],Projects!$C$10)+SUMIFS(TableTime[Duration],TableTime[Date],B251,TableTime[Activity],Projects!$C$11)=0,"",SUMIFS(TableTime[Duration],TableTime[Date],B251,TableTime[Activity],Projects!$C$9)+SUMIFS(TableTime[Duration],TableTime[Date],B251,TableTime[Activity],Projects!$C$10)+SUMIFS(TableTime[Duration],TableTime[Date],B251,TableTime[Activity],Projects!$C$11))</f>
        <v/>
      </c>
      <c r="M251" s="4" t="str" cm="1">
        <f t="array" ref="M251">IFERROR(LOOKUP(2,1/(TableTime[Date]=B251),TableTime[Time]),"")</f>
        <v/>
      </c>
      <c r="N251" s="38" t="str">
        <f>IF(SUMIFS(TableTime[[Duration]:[Duration]],TableTime[[Date]:[Date]],$B251,TableTime[[Activity]:[Activity]],N$1)=0,"",SUMIFS(TableTime[[Duration]:[Duration]],TableTime[[Date]:[Date]],$B251,TableTime[[Activity]:[Activity]],N$1))</f>
        <v/>
      </c>
      <c r="O251" s="4" t="str">
        <f>IF(SUMIFS(TableTime[[Duration]:[Duration]],TableTime[[Date]:[Date]],$B251,TableTime[[Activity]:[Activity]],O$1)=0,"",SUMIFS(TableTime[[Duration]:[Duration]],TableTime[[Date]:[Date]],$B251,TableTime[[Activity]:[Activity]],O$1))</f>
        <v/>
      </c>
      <c r="P251" s="4" t="str">
        <f>IF(SUMIFS(TableTime[[Duration]:[Duration]],TableTime[[Date]:[Date]],$B251,TableTime[[Activity]:[Activity]],P$1)=0,"",SUMIFS(TableTime[[Duration]:[Duration]],TableTime[[Date]:[Date]],$B251,TableTime[[Activity]:[Activity]],P$1))</f>
        <v/>
      </c>
      <c r="Q251" s="4" t="str">
        <f>IF(SUMIFS(TableTime[[Duration]:[Duration]],TableTime[[Date]:[Date]],$B251,TableTime[[Activity]:[Activity]],Q$1)=0,"",SUMIFS(TableTime[[Duration]:[Duration]],TableTime[[Date]:[Date]],$B251,TableTime[[Activity]:[Activity]],Q$1))</f>
        <v/>
      </c>
      <c r="R251" s="4" t="str">
        <f>IF(SUMIFS(TableTime[[Duration]:[Duration]],TableTime[[Date]:[Date]],$B251,TableTime[[Activity]:[Activity]],R$1)=0,"",SUMIFS(TableTime[[Duration]:[Duration]],TableTime[[Date]:[Date]],$B251,TableTime[[Activity]:[Activity]],R$1))</f>
        <v/>
      </c>
      <c r="S251" s="130" t="str">
        <f>IF(SUMIFS(TableTime[[Duration]:[Duration]],TableTime[[Date]:[Date]],$B251,TableTime[[Activity]:[Activity]],S$1)=0,"",SUMIFS(TableTime[[Duration]:[Duration]],TableTime[[Date]:[Date]],$B251,TableTime[[Activity]:[Activity]],S$1))</f>
        <v/>
      </c>
      <c r="T251" s="4" t="str">
        <f>IF(SUMIFS(TableTime[[Duration]:[Duration]],TableTime[[Date]:[Date]],$B251,TableTime[[Activity]:[Activity]],T$1)=0,"",SUMIFS(TableTime[[Duration]:[Duration]],TableTime[[Date]:[Date]],$B251,TableTime[[Activity]:[Activity]],T$1))</f>
        <v/>
      </c>
      <c r="U251" s="39" t="str">
        <f>IF(SUMIFS(TableTime[[Duration]:[Duration]],TableTime[[Date]:[Date]],$B251,TableTime[[Activity]:[Activity]],U$1)=0,"",SUMIFS(TableTime[[Duration]:[Duration]],TableTime[[Date]:[Date]],$B251,TableTime[[Activity]:[Activity]],U$1))</f>
        <v/>
      </c>
    </row>
    <row r="252" spans="1:21" x14ac:dyDescent="0.35">
      <c r="A252" s="59" t="str">
        <f t="shared" si="18"/>
        <v>Fri</v>
      </c>
      <c r="B252" s="91">
        <f t="shared" si="20"/>
        <v>45177</v>
      </c>
      <c r="C252" s="60">
        <f t="shared" si="21"/>
        <v>9</v>
      </c>
      <c r="D252" s="61">
        <f t="shared" si="19"/>
        <v>36</v>
      </c>
      <c r="E252" s="103"/>
      <c r="F252" s="60" t="str">
        <f>IFERROR(IF(OR(WEEKDAY(B252,2)=6,WEEKDAY(B252,2)=7),'Month summary'!$D$11,IF(E252="",'Month summary'!$C$11,E252)),"")</f>
        <v>W</v>
      </c>
      <c r="G252" s="62">
        <f>IF(B252&lt;Time!$B$2,"",IF(F252='Month summary'!$C$11,'Month summary'!$F$2/24,IF(F252="H/2",'Month summary'!$F$2/24/2,0)))</f>
        <v>0.33333333333333331</v>
      </c>
      <c r="H252" s="62">
        <f t="shared" si="22"/>
        <v>0</v>
      </c>
      <c r="I252" s="62" t="str">
        <f t="shared" si="23"/>
        <v/>
      </c>
      <c r="J252" s="108"/>
      <c r="K252" s="63" t="str">
        <f>IFERROR(INDEX(TableTime[Time],MATCH(B252,TableTime[Date],0)),"")</f>
        <v/>
      </c>
      <c r="L252" s="62" t="str">
        <f>IF(SUMIFS(TableTime[Duration],TableTime[Date],B252,TableTime[Activity],Projects!$C$9)+SUMIFS(TableTime[Duration],TableTime[Date],B252,TableTime[Activity],Projects!$C$10)+SUMIFS(TableTime[Duration],TableTime[Date],B252,TableTime[Activity],Projects!$C$11)=0,"",SUMIFS(TableTime[Duration],TableTime[Date],B252,TableTime[Activity],Projects!$C$9)+SUMIFS(TableTime[Duration],TableTime[Date],B252,TableTime[Activity],Projects!$C$10)+SUMIFS(TableTime[Duration],TableTime[Date],B252,TableTime[Activity],Projects!$C$11))</f>
        <v/>
      </c>
      <c r="M252" s="62" t="str" cm="1">
        <f t="array" ref="M252">IFERROR(LOOKUP(2,1/(TableTime[Date]=B252),TableTime[Time]),"")</f>
        <v/>
      </c>
      <c r="N252" s="63" t="str">
        <f>IF(SUMIFS(TableTime[[Duration]:[Duration]],TableTime[[Date]:[Date]],$B252,TableTime[[Activity]:[Activity]],N$1)=0,"",SUMIFS(TableTime[[Duration]:[Duration]],TableTime[[Date]:[Date]],$B252,TableTime[[Activity]:[Activity]],N$1))</f>
        <v/>
      </c>
      <c r="O252" s="62" t="str">
        <f>IF(SUMIFS(TableTime[[Duration]:[Duration]],TableTime[[Date]:[Date]],$B252,TableTime[[Activity]:[Activity]],O$1)=0,"",SUMIFS(TableTime[[Duration]:[Duration]],TableTime[[Date]:[Date]],$B252,TableTime[[Activity]:[Activity]],O$1))</f>
        <v/>
      </c>
      <c r="P252" s="62" t="str">
        <f>IF(SUMIFS(TableTime[[Duration]:[Duration]],TableTime[[Date]:[Date]],$B252,TableTime[[Activity]:[Activity]],P$1)=0,"",SUMIFS(TableTime[[Duration]:[Duration]],TableTime[[Date]:[Date]],$B252,TableTime[[Activity]:[Activity]],P$1))</f>
        <v/>
      </c>
      <c r="Q252" s="62" t="str">
        <f>IF(SUMIFS(TableTime[[Duration]:[Duration]],TableTime[[Date]:[Date]],$B252,TableTime[[Activity]:[Activity]],Q$1)=0,"",SUMIFS(TableTime[[Duration]:[Duration]],TableTime[[Date]:[Date]],$B252,TableTime[[Activity]:[Activity]],Q$1))</f>
        <v/>
      </c>
      <c r="R252" s="62" t="str">
        <f>IF(SUMIFS(TableTime[[Duration]:[Duration]],TableTime[[Date]:[Date]],$B252,TableTime[[Activity]:[Activity]],R$1)=0,"",SUMIFS(TableTime[[Duration]:[Duration]],TableTime[[Date]:[Date]],$B252,TableTime[[Activity]:[Activity]],R$1))</f>
        <v/>
      </c>
      <c r="S252" s="131" t="str">
        <f>IF(SUMIFS(TableTime[[Duration]:[Duration]],TableTime[[Date]:[Date]],$B252,TableTime[[Activity]:[Activity]],S$1)=0,"",SUMIFS(TableTime[[Duration]:[Duration]],TableTime[[Date]:[Date]],$B252,TableTime[[Activity]:[Activity]],S$1))</f>
        <v/>
      </c>
      <c r="T252" s="62" t="str">
        <f>IF(SUMIFS(TableTime[[Duration]:[Duration]],TableTime[[Date]:[Date]],$B252,TableTime[[Activity]:[Activity]],T$1)=0,"",SUMIFS(TableTime[[Duration]:[Duration]],TableTime[[Date]:[Date]],$B252,TableTime[[Activity]:[Activity]],T$1))</f>
        <v/>
      </c>
      <c r="U252" s="64" t="str">
        <f>IF(SUMIFS(TableTime[[Duration]:[Duration]],TableTime[[Date]:[Date]],$B252,TableTime[[Activity]:[Activity]],U$1)=0,"",SUMIFS(TableTime[[Duration]:[Duration]],TableTime[[Date]:[Date]],$B252,TableTime[[Activity]:[Activity]],U$1))</f>
        <v/>
      </c>
    </row>
    <row r="253" spans="1:21" x14ac:dyDescent="0.35">
      <c r="A253" s="35" t="str">
        <f t="shared" si="18"/>
        <v>Sat</v>
      </c>
      <c r="B253" s="5">
        <f t="shared" si="20"/>
        <v>45178</v>
      </c>
      <c r="C253" s="1">
        <f t="shared" si="21"/>
        <v>9</v>
      </c>
      <c r="D253" s="2">
        <f t="shared" si="19"/>
        <v>36</v>
      </c>
      <c r="E253" s="102"/>
      <c r="F253" s="1" t="str">
        <f>IFERROR(IF(OR(WEEKDAY(B253,2)=6,WEEKDAY(B253,2)=7),'Month summary'!$D$11,IF(E253="",'Month summary'!$C$11,E253)),"")</f>
        <v>WE</v>
      </c>
      <c r="G253" s="4">
        <f>IF(B253&lt;Time!$B$2,"",IF(F253='Month summary'!$C$11,'Month summary'!$F$2/24,IF(F253="H/2",'Month summary'!$F$2/24/2,0)))</f>
        <v>0</v>
      </c>
      <c r="H253" s="4">
        <f t="shared" si="22"/>
        <v>0</v>
      </c>
      <c r="I253" s="4" t="str">
        <f t="shared" si="23"/>
        <v/>
      </c>
      <c r="J253" s="107"/>
      <c r="K253" s="38" t="str">
        <f>IFERROR(INDEX(TableTime[Time],MATCH(B253,TableTime[Date],0)),"")</f>
        <v/>
      </c>
      <c r="L253" s="4" t="str">
        <f>IF(SUMIFS(TableTime[Duration],TableTime[Date],B253,TableTime[Activity],Projects!$C$9)+SUMIFS(TableTime[Duration],TableTime[Date],B253,TableTime[Activity],Projects!$C$10)+SUMIFS(TableTime[Duration],TableTime[Date],B253,TableTime[Activity],Projects!$C$11)=0,"",SUMIFS(TableTime[Duration],TableTime[Date],B253,TableTime[Activity],Projects!$C$9)+SUMIFS(TableTime[Duration],TableTime[Date],B253,TableTime[Activity],Projects!$C$10)+SUMIFS(TableTime[Duration],TableTime[Date],B253,TableTime[Activity],Projects!$C$11))</f>
        <v/>
      </c>
      <c r="M253" s="4" t="str" cm="1">
        <f t="array" ref="M253">IFERROR(LOOKUP(2,1/(TableTime[Date]=B253),TableTime[Time]),"")</f>
        <v/>
      </c>
      <c r="N253" s="38" t="str">
        <f>IF(SUMIFS(TableTime[[Duration]:[Duration]],TableTime[[Date]:[Date]],$B253,TableTime[[Activity]:[Activity]],N$1)=0,"",SUMIFS(TableTime[[Duration]:[Duration]],TableTime[[Date]:[Date]],$B253,TableTime[[Activity]:[Activity]],N$1))</f>
        <v/>
      </c>
      <c r="O253" s="4" t="str">
        <f>IF(SUMIFS(TableTime[[Duration]:[Duration]],TableTime[[Date]:[Date]],$B253,TableTime[[Activity]:[Activity]],O$1)=0,"",SUMIFS(TableTime[[Duration]:[Duration]],TableTime[[Date]:[Date]],$B253,TableTime[[Activity]:[Activity]],O$1))</f>
        <v/>
      </c>
      <c r="P253" s="4" t="str">
        <f>IF(SUMIFS(TableTime[[Duration]:[Duration]],TableTime[[Date]:[Date]],$B253,TableTime[[Activity]:[Activity]],P$1)=0,"",SUMIFS(TableTime[[Duration]:[Duration]],TableTime[[Date]:[Date]],$B253,TableTime[[Activity]:[Activity]],P$1))</f>
        <v/>
      </c>
      <c r="Q253" s="4" t="str">
        <f>IF(SUMIFS(TableTime[[Duration]:[Duration]],TableTime[[Date]:[Date]],$B253,TableTime[[Activity]:[Activity]],Q$1)=0,"",SUMIFS(TableTime[[Duration]:[Duration]],TableTime[[Date]:[Date]],$B253,TableTime[[Activity]:[Activity]],Q$1))</f>
        <v/>
      </c>
      <c r="R253" s="4" t="str">
        <f>IF(SUMIFS(TableTime[[Duration]:[Duration]],TableTime[[Date]:[Date]],$B253,TableTime[[Activity]:[Activity]],R$1)=0,"",SUMIFS(TableTime[[Duration]:[Duration]],TableTime[[Date]:[Date]],$B253,TableTime[[Activity]:[Activity]],R$1))</f>
        <v/>
      </c>
      <c r="S253" s="130" t="str">
        <f>IF(SUMIFS(TableTime[[Duration]:[Duration]],TableTime[[Date]:[Date]],$B253,TableTime[[Activity]:[Activity]],S$1)=0,"",SUMIFS(TableTime[[Duration]:[Duration]],TableTime[[Date]:[Date]],$B253,TableTime[[Activity]:[Activity]],S$1))</f>
        <v/>
      </c>
      <c r="T253" s="4" t="str">
        <f>IF(SUMIFS(TableTime[[Duration]:[Duration]],TableTime[[Date]:[Date]],$B253,TableTime[[Activity]:[Activity]],T$1)=0,"",SUMIFS(TableTime[[Duration]:[Duration]],TableTime[[Date]:[Date]],$B253,TableTime[[Activity]:[Activity]],T$1))</f>
        <v/>
      </c>
      <c r="U253" s="39" t="str">
        <f>IF(SUMIFS(TableTime[[Duration]:[Duration]],TableTime[[Date]:[Date]],$B253,TableTime[[Activity]:[Activity]],U$1)=0,"",SUMIFS(TableTime[[Duration]:[Duration]],TableTime[[Date]:[Date]],$B253,TableTime[[Activity]:[Activity]],U$1))</f>
        <v/>
      </c>
    </row>
    <row r="254" spans="1:21" x14ac:dyDescent="0.35">
      <c r="A254" s="59" t="str">
        <f t="shared" si="18"/>
        <v>Sun</v>
      </c>
      <c r="B254" s="91">
        <f t="shared" si="20"/>
        <v>45179</v>
      </c>
      <c r="C254" s="60">
        <f t="shared" si="21"/>
        <v>9</v>
      </c>
      <c r="D254" s="61">
        <f t="shared" si="19"/>
        <v>36</v>
      </c>
      <c r="E254" s="103"/>
      <c r="F254" s="60" t="str">
        <f>IFERROR(IF(OR(WEEKDAY(B254,2)=6,WEEKDAY(B254,2)=7),'Month summary'!$D$11,IF(E254="",'Month summary'!$C$11,E254)),"")</f>
        <v>WE</v>
      </c>
      <c r="G254" s="62">
        <f>IF(B254&lt;Time!$B$2,"",IF(F254='Month summary'!$C$11,'Month summary'!$F$2/24,IF(F254="H/2",'Month summary'!$F$2/24/2,0)))</f>
        <v>0</v>
      </c>
      <c r="H254" s="62">
        <f t="shared" si="22"/>
        <v>0</v>
      </c>
      <c r="I254" s="62" t="str">
        <f t="shared" si="23"/>
        <v/>
      </c>
      <c r="J254" s="108"/>
      <c r="K254" s="63" t="str">
        <f>IFERROR(INDEX(TableTime[Time],MATCH(B254,TableTime[Date],0)),"")</f>
        <v/>
      </c>
      <c r="L254" s="62" t="str">
        <f>IF(SUMIFS(TableTime[Duration],TableTime[Date],B254,TableTime[Activity],Projects!$C$9)+SUMIFS(TableTime[Duration],TableTime[Date],B254,TableTime[Activity],Projects!$C$10)+SUMIFS(TableTime[Duration],TableTime[Date],B254,TableTime[Activity],Projects!$C$11)=0,"",SUMIFS(TableTime[Duration],TableTime[Date],B254,TableTime[Activity],Projects!$C$9)+SUMIFS(TableTime[Duration],TableTime[Date],B254,TableTime[Activity],Projects!$C$10)+SUMIFS(TableTime[Duration],TableTime[Date],B254,TableTime[Activity],Projects!$C$11))</f>
        <v/>
      </c>
      <c r="M254" s="62" t="str" cm="1">
        <f t="array" ref="M254">IFERROR(LOOKUP(2,1/(TableTime[Date]=B254),TableTime[Time]),"")</f>
        <v/>
      </c>
      <c r="N254" s="63" t="str">
        <f>IF(SUMIFS(TableTime[[Duration]:[Duration]],TableTime[[Date]:[Date]],$B254,TableTime[[Activity]:[Activity]],N$1)=0,"",SUMIFS(TableTime[[Duration]:[Duration]],TableTime[[Date]:[Date]],$B254,TableTime[[Activity]:[Activity]],N$1))</f>
        <v/>
      </c>
      <c r="O254" s="62" t="str">
        <f>IF(SUMIFS(TableTime[[Duration]:[Duration]],TableTime[[Date]:[Date]],$B254,TableTime[[Activity]:[Activity]],O$1)=0,"",SUMIFS(TableTime[[Duration]:[Duration]],TableTime[[Date]:[Date]],$B254,TableTime[[Activity]:[Activity]],O$1))</f>
        <v/>
      </c>
      <c r="P254" s="62" t="str">
        <f>IF(SUMIFS(TableTime[[Duration]:[Duration]],TableTime[[Date]:[Date]],$B254,TableTime[[Activity]:[Activity]],P$1)=0,"",SUMIFS(TableTime[[Duration]:[Duration]],TableTime[[Date]:[Date]],$B254,TableTime[[Activity]:[Activity]],P$1))</f>
        <v/>
      </c>
      <c r="Q254" s="62" t="str">
        <f>IF(SUMIFS(TableTime[[Duration]:[Duration]],TableTime[[Date]:[Date]],$B254,TableTime[[Activity]:[Activity]],Q$1)=0,"",SUMIFS(TableTime[[Duration]:[Duration]],TableTime[[Date]:[Date]],$B254,TableTime[[Activity]:[Activity]],Q$1))</f>
        <v/>
      </c>
      <c r="R254" s="62" t="str">
        <f>IF(SUMIFS(TableTime[[Duration]:[Duration]],TableTime[[Date]:[Date]],$B254,TableTime[[Activity]:[Activity]],R$1)=0,"",SUMIFS(TableTime[[Duration]:[Duration]],TableTime[[Date]:[Date]],$B254,TableTime[[Activity]:[Activity]],R$1))</f>
        <v/>
      </c>
      <c r="S254" s="131" t="str">
        <f>IF(SUMIFS(TableTime[[Duration]:[Duration]],TableTime[[Date]:[Date]],$B254,TableTime[[Activity]:[Activity]],S$1)=0,"",SUMIFS(TableTime[[Duration]:[Duration]],TableTime[[Date]:[Date]],$B254,TableTime[[Activity]:[Activity]],S$1))</f>
        <v/>
      </c>
      <c r="T254" s="62" t="str">
        <f>IF(SUMIFS(TableTime[[Duration]:[Duration]],TableTime[[Date]:[Date]],$B254,TableTime[[Activity]:[Activity]],T$1)=0,"",SUMIFS(TableTime[[Duration]:[Duration]],TableTime[[Date]:[Date]],$B254,TableTime[[Activity]:[Activity]],T$1))</f>
        <v/>
      </c>
      <c r="U254" s="64" t="str">
        <f>IF(SUMIFS(TableTime[[Duration]:[Duration]],TableTime[[Date]:[Date]],$B254,TableTime[[Activity]:[Activity]],U$1)=0,"",SUMIFS(TableTime[[Duration]:[Duration]],TableTime[[Date]:[Date]],$B254,TableTime[[Activity]:[Activity]],U$1))</f>
        <v/>
      </c>
    </row>
    <row r="255" spans="1:21" x14ac:dyDescent="0.35">
      <c r="A255" s="35" t="str">
        <f t="shared" si="18"/>
        <v>Mon</v>
      </c>
      <c r="B255" s="5">
        <f t="shared" si="20"/>
        <v>45180</v>
      </c>
      <c r="C255" s="1">
        <f t="shared" si="21"/>
        <v>9</v>
      </c>
      <c r="D255" s="2">
        <f t="shared" si="19"/>
        <v>37</v>
      </c>
      <c r="E255" s="102"/>
      <c r="F255" s="1" t="str">
        <f>IFERROR(IF(OR(WEEKDAY(B255,2)=6,WEEKDAY(B255,2)=7),'Month summary'!$D$11,IF(E255="",'Month summary'!$C$11,E255)),"")</f>
        <v>W</v>
      </c>
      <c r="G255" s="4">
        <f>IF(B255&lt;Time!$B$2,"",IF(F255='Month summary'!$C$11,'Month summary'!$F$2/24,IF(F255="H/2",'Month summary'!$F$2/24/2,0)))</f>
        <v>0.33333333333333331</v>
      </c>
      <c r="H255" s="4">
        <f t="shared" si="22"/>
        <v>0</v>
      </c>
      <c r="I255" s="4" t="str">
        <f t="shared" si="23"/>
        <v/>
      </c>
      <c r="J255" s="107"/>
      <c r="K255" s="38" t="str">
        <f>IFERROR(INDEX(TableTime[Time],MATCH(B255,TableTime[Date],0)),"")</f>
        <v/>
      </c>
      <c r="L255" s="4" t="str">
        <f>IF(SUMIFS(TableTime[Duration],TableTime[Date],B255,TableTime[Activity],Projects!$C$9)+SUMIFS(TableTime[Duration],TableTime[Date],B255,TableTime[Activity],Projects!$C$10)+SUMIFS(TableTime[Duration],TableTime[Date],B255,TableTime[Activity],Projects!$C$11)=0,"",SUMIFS(TableTime[Duration],TableTime[Date],B255,TableTime[Activity],Projects!$C$9)+SUMIFS(TableTime[Duration],TableTime[Date],B255,TableTime[Activity],Projects!$C$10)+SUMIFS(TableTime[Duration],TableTime[Date],B255,TableTime[Activity],Projects!$C$11))</f>
        <v/>
      </c>
      <c r="M255" s="4" t="str" cm="1">
        <f t="array" ref="M255">IFERROR(LOOKUP(2,1/(TableTime[Date]=B255),TableTime[Time]),"")</f>
        <v/>
      </c>
      <c r="N255" s="38" t="str">
        <f>IF(SUMIFS(TableTime[[Duration]:[Duration]],TableTime[[Date]:[Date]],$B255,TableTime[[Activity]:[Activity]],N$1)=0,"",SUMIFS(TableTime[[Duration]:[Duration]],TableTime[[Date]:[Date]],$B255,TableTime[[Activity]:[Activity]],N$1))</f>
        <v/>
      </c>
      <c r="O255" s="4" t="str">
        <f>IF(SUMIFS(TableTime[[Duration]:[Duration]],TableTime[[Date]:[Date]],$B255,TableTime[[Activity]:[Activity]],O$1)=0,"",SUMIFS(TableTime[[Duration]:[Duration]],TableTime[[Date]:[Date]],$B255,TableTime[[Activity]:[Activity]],O$1))</f>
        <v/>
      </c>
      <c r="P255" s="4" t="str">
        <f>IF(SUMIFS(TableTime[[Duration]:[Duration]],TableTime[[Date]:[Date]],$B255,TableTime[[Activity]:[Activity]],P$1)=0,"",SUMIFS(TableTime[[Duration]:[Duration]],TableTime[[Date]:[Date]],$B255,TableTime[[Activity]:[Activity]],P$1))</f>
        <v/>
      </c>
      <c r="Q255" s="4" t="str">
        <f>IF(SUMIFS(TableTime[[Duration]:[Duration]],TableTime[[Date]:[Date]],$B255,TableTime[[Activity]:[Activity]],Q$1)=0,"",SUMIFS(TableTime[[Duration]:[Duration]],TableTime[[Date]:[Date]],$B255,TableTime[[Activity]:[Activity]],Q$1))</f>
        <v/>
      </c>
      <c r="R255" s="4" t="str">
        <f>IF(SUMIFS(TableTime[[Duration]:[Duration]],TableTime[[Date]:[Date]],$B255,TableTime[[Activity]:[Activity]],R$1)=0,"",SUMIFS(TableTime[[Duration]:[Duration]],TableTime[[Date]:[Date]],$B255,TableTime[[Activity]:[Activity]],R$1))</f>
        <v/>
      </c>
      <c r="S255" s="130" t="str">
        <f>IF(SUMIFS(TableTime[[Duration]:[Duration]],TableTime[[Date]:[Date]],$B255,TableTime[[Activity]:[Activity]],S$1)=0,"",SUMIFS(TableTime[[Duration]:[Duration]],TableTime[[Date]:[Date]],$B255,TableTime[[Activity]:[Activity]],S$1))</f>
        <v/>
      </c>
      <c r="T255" s="4" t="str">
        <f>IF(SUMIFS(TableTime[[Duration]:[Duration]],TableTime[[Date]:[Date]],$B255,TableTime[[Activity]:[Activity]],T$1)=0,"",SUMIFS(TableTime[[Duration]:[Duration]],TableTime[[Date]:[Date]],$B255,TableTime[[Activity]:[Activity]],T$1))</f>
        <v/>
      </c>
      <c r="U255" s="39" t="str">
        <f>IF(SUMIFS(TableTime[[Duration]:[Duration]],TableTime[[Date]:[Date]],$B255,TableTime[[Activity]:[Activity]],U$1)=0,"",SUMIFS(TableTime[[Duration]:[Duration]],TableTime[[Date]:[Date]],$B255,TableTime[[Activity]:[Activity]],U$1))</f>
        <v/>
      </c>
    </row>
    <row r="256" spans="1:21" x14ac:dyDescent="0.35">
      <c r="A256" s="59" t="str">
        <f t="shared" si="18"/>
        <v>Tue</v>
      </c>
      <c r="B256" s="91">
        <f t="shared" si="20"/>
        <v>45181</v>
      </c>
      <c r="C256" s="60">
        <f t="shared" si="21"/>
        <v>9</v>
      </c>
      <c r="D256" s="61">
        <f t="shared" si="19"/>
        <v>37</v>
      </c>
      <c r="E256" s="103"/>
      <c r="F256" s="60" t="str">
        <f>IFERROR(IF(OR(WEEKDAY(B256,2)=6,WEEKDAY(B256,2)=7),'Month summary'!$D$11,IF(E256="",'Month summary'!$C$11,E256)),"")</f>
        <v>W</v>
      </c>
      <c r="G256" s="62">
        <f>IF(B256&lt;Time!$B$2,"",IF(F256='Month summary'!$C$11,'Month summary'!$F$2/24,IF(F256="H/2",'Month summary'!$F$2/24/2,0)))</f>
        <v>0.33333333333333331</v>
      </c>
      <c r="H256" s="62">
        <f t="shared" si="22"/>
        <v>0</v>
      </c>
      <c r="I256" s="62" t="str">
        <f t="shared" si="23"/>
        <v/>
      </c>
      <c r="J256" s="108"/>
      <c r="K256" s="63" t="str">
        <f>IFERROR(INDEX(TableTime[Time],MATCH(B256,TableTime[Date],0)),"")</f>
        <v/>
      </c>
      <c r="L256" s="62" t="str">
        <f>IF(SUMIFS(TableTime[Duration],TableTime[Date],B256,TableTime[Activity],Projects!$C$9)+SUMIFS(TableTime[Duration],TableTime[Date],B256,TableTime[Activity],Projects!$C$10)+SUMIFS(TableTime[Duration],TableTime[Date],B256,TableTime[Activity],Projects!$C$11)=0,"",SUMIFS(TableTime[Duration],TableTime[Date],B256,TableTime[Activity],Projects!$C$9)+SUMIFS(TableTime[Duration],TableTime[Date],B256,TableTime[Activity],Projects!$C$10)+SUMIFS(TableTime[Duration],TableTime[Date],B256,TableTime[Activity],Projects!$C$11))</f>
        <v/>
      </c>
      <c r="M256" s="62" t="str" cm="1">
        <f t="array" ref="M256">IFERROR(LOOKUP(2,1/(TableTime[Date]=B256),TableTime[Time]),"")</f>
        <v/>
      </c>
      <c r="N256" s="63" t="str">
        <f>IF(SUMIFS(TableTime[[Duration]:[Duration]],TableTime[[Date]:[Date]],$B256,TableTime[[Activity]:[Activity]],N$1)=0,"",SUMIFS(TableTime[[Duration]:[Duration]],TableTime[[Date]:[Date]],$B256,TableTime[[Activity]:[Activity]],N$1))</f>
        <v/>
      </c>
      <c r="O256" s="62" t="str">
        <f>IF(SUMIFS(TableTime[[Duration]:[Duration]],TableTime[[Date]:[Date]],$B256,TableTime[[Activity]:[Activity]],O$1)=0,"",SUMIFS(TableTime[[Duration]:[Duration]],TableTime[[Date]:[Date]],$B256,TableTime[[Activity]:[Activity]],O$1))</f>
        <v/>
      </c>
      <c r="P256" s="62" t="str">
        <f>IF(SUMIFS(TableTime[[Duration]:[Duration]],TableTime[[Date]:[Date]],$B256,TableTime[[Activity]:[Activity]],P$1)=0,"",SUMIFS(TableTime[[Duration]:[Duration]],TableTime[[Date]:[Date]],$B256,TableTime[[Activity]:[Activity]],P$1))</f>
        <v/>
      </c>
      <c r="Q256" s="62" t="str">
        <f>IF(SUMIFS(TableTime[[Duration]:[Duration]],TableTime[[Date]:[Date]],$B256,TableTime[[Activity]:[Activity]],Q$1)=0,"",SUMIFS(TableTime[[Duration]:[Duration]],TableTime[[Date]:[Date]],$B256,TableTime[[Activity]:[Activity]],Q$1))</f>
        <v/>
      </c>
      <c r="R256" s="62" t="str">
        <f>IF(SUMIFS(TableTime[[Duration]:[Duration]],TableTime[[Date]:[Date]],$B256,TableTime[[Activity]:[Activity]],R$1)=0,"",SUMIFS(TableTime[[Duration]:[Duration]],TableTime[[Date]:[Date]],$B256,TableTime[[Activity]:[Activity]],R$1))</f>
        <v/>
      </c>
      <c r="S256" s="131" t="str">
        <f>IF(SUMIFS(TableTime[[Duration]:[Duration]],TableTime[[Date]:[Date]],$B256,TableTime[[Activity]:[Activity]],S$1)=0,"",SUMIFS(TableTime[[Duration]:[Duration]],TableTime[[Date]:[Date]],$B256,TableTime[[Activity]:[Activity]],S$1))</f>
        <v/>
      </c>
      <c r="T256" s="62" t="str">
        <f>IF(SUMIFS(TableTime[[Duration]:[Duration]],TableTime[[Date]:[Date]],$B256,TableTime[[Activity]:[Activity]],T$1)=0,"",SUMIFS(TableTime[[Duration]:[Duration]],TableTime[[Date]:[Date]],$B256,TableTime[[Activity]:[Activity]],T$1))</f>
        <v/>
      </c>
      <c r="U256" s="64" t="str">
        <f>IF(SUMIFS(TableTime[[Duration]:[Duration]],TableTime[[Date]:[Date]],$B256,TableTime[[Activity]:[Activity]],U$1)=0,"",SUMIFS(TableTime[[Duration]:[Duration]],TableTime[[Date]:[Date]],$B256,TableTime[[Activity]:[Activity]],U$1))</f>
        <v/>
      </c>
    </row>
    <row r="257" spans="1:21" x14ac:dyDescent="0.35">
      <c r="A257" s="35" t="str">
        <f t="shared" si="18"/>
        <v>Wed</v>
      </c>
      <c r="B257" s="5">
        <f t="shared" si="20"/>
        <v>45182</v>
      </c>
      <c r="C257" s="1">
        <f t="shared" si="21"/>
        <v>9</v>
      </c>
      <c r="D257" s="2">
        <f t="shared" si="19"/>
        <v>37</v>
      </c>
      <c r="E257" s="102"/>
      <c r="F257" s="1" t="str">
        <f>IFERROR(IF(OR(WEEKDAY(B257,2)=6,WEEKDAY(B257,2)=7),'Month summary'!$D$11,IF(E257="",'Month summary'!$C$11,E257)),"")</f>
        <v>W</v>
      </c>
      <c r="G257" s="4">
        <f>IF(B257&lt;Time!$B$2,"",IF(F257='Month summary'!$C$11,'Month summary'!$F$2/24,IF(F257="H/2",'Month summary'!$F$2/24/2,0)))</f>
        <v>0.33333333333333331</v>
      </c>
      <c r="H257" s="4">
        <f t="shared" si="22"/>
        <v>0</v>
      </c>
      <c r="I257" s="4" t="str">
        <f t="shared" si="23"/>
        <v/>
      </c>
      <c r="J257" s="107"/>
      <c r="K257" s="38" t="str">
        <f>IFERROR(INDEX(TableTime[Time],MATCH(B257,TableTime[Date],0)),"")</f>
        <v/>
      </c>
      <c r="L257" s="4" t="str">
        <f>IF(SUMIFS(TableTime[Duration],TableTime[Date],B257,TableTime[Activity],Projects!$C$9)+SUMIFS(TableTime[Duration],TableTime[Date],B257,TableTime[Activity],Projects!$C$10)+SUMIFS(TableTime[Duration],TableTime[Date],B257,TableTime[Activity],Projects!$C$11)=0,"",SUMIFS(TableTime[Duration],TableTime[Date],B257,TableTime[Activity],Projects!$C$9)+SUMIFS(TableTime[Duration],TableTime[Date],B257,TableTime[Activity],Projects!$C$10)+SUMIFS(TableTime[Duration],TableTime[Date],B257,TableTime[Activity],Projects!$C$11))</f>
        <v/>
      </c>
      <c r="M257" s="4" t="str" cm="1">
        <f t="array" ref="M257">IFERROR(LOOKUP(2,1/(TableTime[Date]=B257),TableTime[Time]),"")</f>
        <v/>
      </c>
      <c r="N257" s="38" t="str">
        <f>IF(SUMIFS(TableTime[[Duration]:[Duration]],TableTime[[Date]:[Date]],$B257,TableTime[[Activity]:[Activity]],N$1)=0,"",SUMIFS(TableTime[[Duration]:[Duration]],TableTime[[Date]:[Date]],$B257,TableTime[[Activity]:[Activity]],N$1))</f>
        <v/>
      </c>
      <c r="O257" s="4" t="str">
        <f>IF(SUMIFS(TableTime[[Duration]:[Duration]],TableTime[[Date]:[Date]],$B257,TableTime[[Activity]:[Activity]],O$1)=0,"",SUMIFS(TableTime[[Duration]:[Duration]],TableTime[[Date]:[Date]],$B257,TableTime[[Activity]:[Activity]],O$1))</f>
        <v/>
      </c>
      <c r="P257" s="4" t="str">
        <f>IF(SUMIFS(TableTime[[Duration]:[Duration]],TableTime[[Date]:[Date]],$B257,TableTime[[Activity]:[Activity]],P$1)=0,"",SUMIFS(TableTime[[Duration]:[Duration]],TableTime[[Date]:[Date]],$B257,TableTime[[Activity]:[Activity]],P$1))</f>
        <v/>
      </c>
      <c r="Q257" s="4" t="str">
        <f>IF(SUMIFS(TableTime[[Duration]:[Duration]],TableTime[[Date]:[Date]],$B257,TableTime[[Activity]:[Activity]],Q$1)=0,"",SUMIFS(TableTime[[Duration]:[Duration]],TableTime[[Date]:[Date]],$B257,TableTime[[Activity]:[Activity]],Q$1))</f>
        <v/>
      </c>
      <c r="R257" s="4" t="str">
        <f>IF(SUMIFS(TableTime[[Duration]:[Duration]],TableTime[[Date]:[Date]],$B257,TableTime[[Activity]:[Activity]],R$1)=0,"",SUMIFS(TableTime[[Duration]:[Duration]],TableTime[[Date]:[Date]],$B257,TableTime[[Activity]:[Activity]],R$1))</f>
        <v/>
      </c>
      <c r="S257" s="130" t="str">
        <f>IF(SUMIFS(TableTime[[Duration]:[Duration]],TableTime[[Date]:[Date]],$B257,TableTime[[Activity]:[Activity]],S$1)=0,"",SUMIFS(TableTime[[Duration]:[Duration]],TableTime[[Date]:[Date]],$B257,TableTime[[Activity]:[Activity]],S$1))</f>
        <v/>
      </c>
      <c r="T257" s="4" t="str">
        <f>IF(SUMIFS(TableTime[[Duration]:[Duration]],TableTime[[Date]:[Date]],$B257,TableTime[[Activity]:[Activity]],T$1)=0,"",SUMIFS(TableTime[[Duration]:[Duration]],TableTime[[Date]:[Date]],$B257,TableTime[[Activity]:[Activity]],T$1))</f>
        <v/>
      </c>
      <c r="U257" s="39" t="str">
        <f>IF(SUMIFS(TableTime[[Duration]:[Duration]],TableTime[[Date]:[Date]],$B257,TableTime[[Activity]:[Activity]],U$1)=0,"",SUMIFS(TableTime[[Duration]:[Duration]],TableTime[[Date]:[Date]],$B257,TableTime[[Activity]:[Activity]],U$1))</f>
        <v/>
      </c>
    </row>
    <row r="258" spans="1:21" x14ac:dyDescent="0.35">
      <c r="A258" s="59" t="str">
        <f t="shared" ref="A258:A321" si="24">IFERROR(CHOOSE(WEEKDAY(B258,2),"Mon","Tue","Wed","Thr","Fri","Sat","Sun"),"")</f>
        <v>Thr</v>
      </c>
      <c r="B258" s="91">
        <f t="shared" si="20"/>
        <v>45183</v>
      </c>
      <c r="C258" s="60">
        <f t="shared" si="21"/>
        <v>9</v>
      </c>
      <c r="D258" s="61">
        <f t="shared" ref="D258:D321" si="25">IFERROR(WEEKNUM(B258,21),"")</f>
        <v>37</v>
      </c>
      <c r="E258" s="103"/>
      <c r="F258" s="60" t="str">
        <f>IFERROR(IF(OR(WEEKDAY(B258,2)=6,WEEKDAY(B258,2)=7),'Month summary'!$D$11,IF(E258="",'Month summary'!$C$11,E258)),"")</f>
        <v>W</v>
      </c>
      <c r="G258" s="62">
        <f>IF(B258&lt;Time!$B$2,"",IF(F258='Month summary'!$C$11,'Month summary'!$F$2/24,IF(F258="H/2",'Month summary'!$F$2/24/2,0)))</f>
        <v>0.33333333333333331</v>
      </c>
      <c r="H258" s="62">
        <f t="shared" si="22"/>
        <v>0</v>
      </c>
      <c r="I258" s="62" t="str">
        <f t="shared" si="23"/>
        <v/>
      </c>
      <c r="J258" s="108"/>
      <c r="K258" s="63" t="str">
        <f>IFERROR(INDEX(TableTime[Time],MATCH(B258,TableTime[Date],0)),"")</f>
        <v/>
      </c>
      <c r="L258" s="62" t="str">
        <f>IF(SUMIFS(TableTime[Duration],TableTime[Date],B258,TableTime[Activity],Projects!$C$9)+SUMIFS(TableTime[Duration],TableTime[Date],B258,TableTime[Activity],Projects!$C$10)+SUMIFS(TableTime[Duration],TableTime[Date],B258,TableTime[Activity],Projects!$C$11)=0,"",SUMIFS(TableTime[Duration],TableTime[Date],B258,TableTime[Activity],Projects!$C$9)+SUMIFS(TableTime[Duration],TableTime[Date],B258,TableTime[Activity],Projects!$C$10)+SUMIFS(TableTime[Duration],TableTime[Date],B258,TableTime[Activity],Projects!$C$11))</f>
        <v/>
      </c>
      <c r="M258" s="62" t="str" cm="1">
        <f t="array" ref="M258">IFERROR(LOOKUP(2,1/(TableTime[Date]=B258),TableTime[Time]),"")</f>
        <v/>
      </c>
      <c r="N258" s="63" t="str">
        <f>IF(SUMIFS(TableTime[[Duration]:[Duration]],TableTime[[Date]:[Date]],$B258,TableTime[[Activity]:[Activity]],N$1)=0,"",SUMIFS(TableTime[[Duration]:[Duration]],TableTime[[Date]:[Date]],$B258,TableTime[[Activity]:[Activity]],N$1))</f>
        <v/>
      </c>
      <c r="O258" s="62" t="str">
        <f>IF(SUMIFS(TableTime[[Duration]:[Duration]],TableTime[[Date]:[Date]],$B258,TableTime[[Activity]:[Activity]],O$1)=0,"",SUMIFS(TableTime[[Duration]:[Duration]],TableTime[[Date]:[Date]],$B258,TableTime[[Activity]:[Activity]],O$1))</f>
        <v/>
      </c>
      <c r="P258" s="62" t="str">
        <f>IF(SUMIFS(TableTime[[Duration]:[Duration]],TableTime[[Date]:[Date]],$B258,TableTime[[Activity]:[Activity]],P$1)=0,"",SUMIFS(TableTime[[Duration]:[Duration]],TableTime[[Date]:[Date]],$B258,TableTime[[Activity]:[Activity]],P$1))</f>
        <v/>
      </c>
      <c r="Q258" s="62" t="str">
        <f>IF(SUMIFS(TableTime[[Duration]:[Duration]],TableTime[[Date]:[Date]],$B258,TableTime[[Activity]:[Activity]],Q$1)=0,"",SUMIFS(TableTime[[Duration]:[Duration]],TableTime[[Date]:[Date]],$B258,TableTime[[Activity]:[Activity]],Q$1))</f>
        <v/>
      </c>
      <c r="R258" s="62" t="str">
        <f>IF(SUMIFS(TableTime[[Duration]:[Duration]],TableTime[[Date]:[Date]],$B258,TableTime[[Activity]:[Activity]],R$1)=0,"",SUMIFS(TableTime[[Duration]:[Duration]],TableTime[[Date]:[Date]],$B258,TableTime[[Activity]:[Activity]],R$1))</f>
        <v/>
      </c>
      <c r="S258" s="131" t="str">
        <f>IF(SUMIFS(TableTime[[Duration]:[Duration]],TableTime[[Date]:[Date]],$B258,TableTime[[Activity]:[Activity]],S$1)=0,"",SUMIFS(TableTime[[Duration]:[Duration]],TableTime[[Date]:[Date]],$B258,TableTime[[Activity]:[Activity]],S$1))</f>
        <v/>
      </c>
      <c r="T258" s="62" t="str">
        <f>IF(SUMIFS(TableTime[[Duration]:[Duration]],TableTime[[Date]:[Date]],$B258,TableTime[[Activity]:[Activity]],T$1)=0,"",SUMIFS(TableTime[[Duration]:[Duration]],TableTime[[Date]:[Date]],$B258,TableTime[[Activity]:[Activity]],T$1))</f>
        <v/>
      </c>
      <c r="U258" s="64" t="str">
        <f>IF(SUMIFS(TableTime[[Duration]:[Duration]],TableTime[[Date]:[Date]],$B258,TableTime[[Activity]:[Activity]],U$1)=0,"",SUMIFS(TableTime[[Duration]:[Duration]],TableTime[[Date]:[Date]],$B258,TableTime[[Activity]:[Activity]],U$1))</f>
        <v/>
      </c>
    </row>
    <row r="259" spans="1:21" x14ac:dyDescent="0.35">
      <c r="A259" s="35" t="str">
        <f t="shared" si="24"/>
        <v>Fri</v>
      </c>
      <c r="B259" s="5">
        <f t="shared" ref="B259:B322" si="26">IF(YEAR(B258+1)=Year,B258+1,"")</f>
        <v>45184</v>
      </c>
      <c r="C259" s="1">
        <f t="shared" ref="C259:C322" si="27">MONTH(B259)</f>
        <v>9</v>
      </c>
      <c r="D259" s="2">
        <f t="shared" si="25"/>
        <v>37</v>
      </c>
      <c r="E259" s="102"/>
      <c r="F259" s="1" t="str">
        <f>IFERROR(IF(OR(WEEKDAY(B259,2)=6,WEEKDAY(B259,2)=7),'Month summary'!$D$11,IF(E259="",'Month summary'!$C$11,E259)),"")</f>
        <v>W</v>
      </c>
      <c r="G259" s="4">
        <f>IF(B259&lt;Time!$B$2,"",IF(F259='Month summary'!$C$11,'Month summary'!$F$2/24,IF(F259="H/2",'Month summary'!$F$2/24/2,0)))</f>
        <v>0.33333333333333331</v>
      </c>
      <c r="H259" s="4">
        <f t="shared" ref="H259:H322" si="28">SUM(N259:S259)</f>
        <v>0</v>
      </c>
      <c r="I259" s="4" t="str">
        <f t="shared" ref="I259:I322" si="29">IF(ROUND(H259,2)=0,"",H259)</f>
        <v/>
      </c>
      <c r="J259" s="107"/>
      <c r="K259" s="38" t="str">
        <f>IFERROR(INDEX(TableTime[Time],MATCH(B259,TableTime[Date],0)),"")</f>
        <v/>
      </c>
      <c r="L259" s="4" t="str">
        <f>IF(SUMIFS(TableTime[Duration],TableTime[Date],B259,TableTime[Activity],Projects!$C$9)+SUMIFS(TableTime[Duration],TableTime[Date],B259,TableTime[Activity],Projects!$C$10)+SUMIFS(TableTime[Duration],TableTime[Date],B259,TableTime[Activity],Projects!$C$11)=0,"",SUMIFS(TableTime[Duration],TableTime[Date],B259,TableTime[Activity],Projects!$C$9)+SUMIFS(TableTime[Duration],TableTime[Date],B259,TableTime[Activity],Projects!$C$10)+SUMIFS(TableTime[Duration],TableTime[Date],B259,TableTime[Activity],Projects!$C$11))</f>
        <v/>
      </c>
      <c r="M259" s="4" t="str" cm="1">
        <f t="array" ref="M259">IFERROR(LOOKUP(2,1/(TableTime[Date]=B259),TableTime[Time]),"")</f>
        <v/>
      </c>
      <c r="N259" s="38" t="str">
        <f>IF(SUMIFS(TableTime[[Duration]:[Duration]],TableTime[[Date]:[Date]],$B259,TableTime[[Activity]:[Activity]],N$1)=0,"",SUMIFS(TableTime[[Duration]:[Duration]],TableTime[[Date]:[Date]],$B259,TableTime[[Activity]:[Activity]],N$1))</f>
        <v/>
      </c>
      <c r="O259" s="4" t="str">
        <f>IF(SUMIFS(TableTime[[Duration]:[Duration]],TableTime[[Date]:[Date]],$B259,TableTime[[Activity]:[Activity]],O$1)=0,"",SUMIFS(TableTime[[Duration]:[Duration]],TableTime[[Date]:[Date]],$B259,TableTime[[Activity]:[Activity]],O$1))</f>
        <v/>
      </c>
      <c r="P259" s="4" t="str">
        <f>IF(SUMIFS(TableTime[[Duration]:[Duration]],TableTime[[Date]:[Date]],$B259,TableTime[[Activity]:[Activity]],P$1)=0,"",SUMIFS(TableTime[[Duration]:[Duration]],TableTime[[Date]:[Date]],$B259,TableTime[[Activity]:[Activity]],P$1))</f>
        <v/>
      </c>
      <c r="Q259" s="4" t="str">
        <f>IF(SUMIFS(TableTime[[Duration]:[Duration]],TableTime[[Date]:[Date]],$B259,TableTime[[Activity]:[Activity]],Q$1)=0,"",SUMIFS(TableTime[[Duration]:[Duration]],TableTime[[Date]:[Date]],$B259,TableTime[[Activity]:[Activity]],Q$1))</f>
        <v/>
      </c>
      <c r="R259" s="4" t="str">
        <f>IF(SUMIFS(TableTime[[Duration]:[Duration]],TableTime[[Date]:[Date]],$B259,TableTime[[Activity]:[Activity]],R$1)=0,"",SUMIFS(TableTime[[Duration]:[Duration]],TableTime[[Date]:[Date]],$B259,TableTime[[Activity]:[Activity]],R$1))</f>
        <v/>
      </c>
      <c r="S259" s="130" t="str">
        <f>IF(SUMIFS(TableTime[[Duration]:[Duration]],TableTime[[Date]:[Date]],$B259,TableTime[[Activity]:[Activity]],S$1)=0,"",SUMIFS(TableTime[[Duration]:[Duration]],TableTime[[Date]:[Date]],$B259,TableTime[[Activity]:[Activity]],S$1))</f>
        <v/>
      </c>
      <c r="T259" s="4" t="str">
        <f>IF(SUMIFS(TableTime[[Duration]:[Duration]],TableTime[[Date]:[Date]],$B259,TableTime[[Activity]:[Activity]],T$1)=0,"",SUMIFS(TableTime[[Duration]:[Duration]],TableTime[[Date]:[Date]],$B259,TableTime[[Activity]:[Activity]],T$1))</f>
        <v/>
      </c>
      <c r="U259" s="39" t="str">
        <f>IF(SUMIFS(TableTime[[Duration]:[Duration]],TableTime[[Date]:[Date]],$B259,TableTime[[Activity]:[Activity]],U$1)=0,"",SUMIFS(TableTime[[Duration]:[Duration]],TableTime[[Date]:[Date]],$B259,TableTime[[Activity]:[Activity]],U$1))</f>
        <v/>
      </c>
    </row>
    <row r="260" spans="1:21" x14ac:dyDescent="0.35">
      <c r="A260" s="59" t="str">
        <f t="shared" si="24"/>
        <v>Sat</v>
      </c>
      <c r="B260" s="91">
        <f t="shared" si="26"/>
        <v>45185</v>
      </c>
      <c r="C260" s="60">
        <f t="shared" si="27"/>
        <v>9</v>
      </c>
      <c r="D260" s="61">
        <f t="shared" si="25"/>
        <v>37</v>
      </c>
      <c r="E260" s="103"/>
      <c r="F260" s="60" t="str">
        <f>IFERROR(IF(OR(WEEKDAY(B260,2)=6,WEEKDAY(B260,2)=7),'Month summary'!$D$11,IF(E260="",'Month summary'!$C$11,E260)),"")</f>
        <v>WE</v>
      </c>
      <c r="G260" s="62">
        <f>IF(B260&lt;Time!$B$2,"",IF(F260='Month summary'!$C$11,'Month summary'!$F$2/24,IF(F260="H/2",'Month summary'!$F$2/24/2,0)))</f>
        <v>0</v>
      </c>
      <c r="H260" s="62">
        <f t="shared" si="28"/>
        <v>0</v>
      </c>
      <c r="I260" s="62" t="str">
        <f t="shared" si="29"/>
        <v/>
      </c>
      <c r="J260" s="108"/>
      <c r="K260" s="63" t="str">
        <f>IFERROR(INDEX(TableTime[Time],MATCH(B260,TableTime[Date],0)),"")</f>
        <v/>
      </c>
      <c r="L260" s="62" t="str">
        <f>IF(SUMIFS(TableTime[Duration],TableTime[Date],B260,TableTime[Activity],Projects!$C$9)+SUMIFS(TableTime[Duration],TableTime[Date],B260,TableTime[Activity],Projects!$C$10)+SUMIFS(TableTime[Duration],TableTime[Date],B260,TableTime[Activity],Projects!$C$11)=0,"",SUMIFS(TableTime[Duration],TableTime[Date],B260,TableTime[Activity],Projects!$C$9)+SUMIFS(TableTime[Duration],TableTime[Date],B260,TableTime[Activity],Projects!$C$10)+SUMIFS(TableTime[Duration],TableTime[Date],B260,TableTime[Activity],Projects!$C$11))</f>
        <v/>
      </c>
      <c r="M260" s="62" t="str" cm="1">
        <f t="array" ref="M260">IFERROR(LOOKUP(2,1/(TableTime[Date]=B260),TableTime[Time]),"")</f>
        <v/>
      </c>
      <c r="N260" s="63" t="str">
        <f>IF(SUMIFS(TableTime[[Duration]:[Duration]],TableTime[[Date]:[Date]],$B260,TableTime[[Activity]:[Activity]],N$1)=0,"",SUMIFS(TableTime[[Duration]:[Duration]],TableTime[[Date]:[Date]],$B260,TableTime[[Activity]:[Activity]],N$1))</f>
        <v/>
      </c>
      <c r="O260" s="62" t="str">
        <f>IF(SUMIFS(TableTime[[Duration]:[Duration]],TableTime[[Date]:[Date]],$B260,TableTime[[Activity]:[Activity]],O$1)=0,"",SUMIFS(TableTime[[Duration]:[Duration]],TableTime[[Date]:[Date]],$B260,TableTime[[Activity]:[Activity]],O$1))</f>
        <v/>
      </c>
      <c r="P260" s="62" t="str">
        <f>IF(SUMIFS(TableTime[[Duration]:[Duration]],TableTime[[Date]:[Date]],$B260,TableTime[[Activity]:[Activity]],P$1)=0,"",SUMIFS(TableTime[[Duration]:[Duration]],TableTime[[Date]:[Date]],$B260,TableTime[[Activity]:[Activity]],P$1))</f>
        <v/>
      </c>
      <c r="Q260" s="62" t="str">
        <f>IF(SUMIFS(TableTime[[Duration]:[Duration]],TableTime[[Date]:[Date]],$B260,TableTime[[Activity]:[Activity]],Q$1)=0,"",SUMIFS(TableTime[[Duration]:[Duration]],TableTime[[Date]:[Date]],$B260,TableTime[[Activity]:[Activity]],Q$1))</f>
        <v/>
      </c>
      <c r="R260" s="62" t="str">
        <f>IF(SUMIFS(TableTime[[Duration]:[Duration]],TableTime[[Date]:[Date]],$B260,TableTime[[Activity]:[Activity]],R$1)=0,"",SUMIFS(TableTime[[Duration]:[Duration]],TableTime[[Date]:[Date]],$B260,TableTime[[Activity]:[Activity]],R$1))</f>
        <v/>
      </c>
      <c r="S260" s="131" t="str">
        <f>IF(SUMIFS(TableTime[[Duration]:[Duration]],TableTime[[Date]:[Date]],$B260,TableTime[[Activity]:[Activity]],S$1)=0,"",SUMIFS(TableTime[[Duration]:[Duration]],TableTime[[Date]:[Date]],$B260,TableTime[[Activity]:[Activity]],S$1))</f>
        <v/>
      </c>
      <c r="T260" s="62" t="str">
        <f>IF(SUMIFS(TableTime[[Duration]:[Duration]],TableTime[[Date]:[Date]],$B260,TableTime[[Activity]:[Activity]],T$1)=0,"",SUMIFS(TableTime[[Duration]:[Duration]],TableTime[[Date]:[Date]],$B260,TableTime[[Activity]:[Activity]],T$1))</f>
        <v/>
      </c>
      <c r="U260" s="64" t="str">
        <f>IF(SUMIFS(TableTime[[Duration]:[Duration]],TableTime[[Date]:[Date]],$B260,TableTime[[Activity]:[Activity]],U$1)=0,"",SUMIFS(TableTime[[Duration]:[Duration]],TableTime[[Date]:[Date]],$B260,TableTime[[Activity]:[Activity]],U$1))</f>
        <v/>
      </c>
    </row>
    <row r="261" spans="1:21" x14ac:dyDescent="0.35">
      <c r="A261" s="35" t="str">
        <f t="shared" si="24"/>
        <v>Sun</v>
      </c>
      <c r="B261" s="5">
        <f t="shared" si="26"/>
        <v>45186</v>
      </c>
      <c r="C261" s="1">
        <f t="shared" si="27"/>
        <v>9</v>
      </c>
      <c r="D261" s="2">
        <f t="shared" si="25"/>
        <v>37</v>
      </c>
      <c r="E261" s="102"/>
      <c r="F261" s="1" t="str">
        <f>IFERROR(IF(OR(WEEKDAY(B261,2)=6,WEEKDAY(B261,2)=7),'Month summary'!$D$11,IF(E261="",'Month summary'!$C$11,E261)),"")</f>
        <v>WE</v>
      </c>
      <c r="G261" s="4">
        <f>IF(B261&lt;Time!$B$2,"",IF(F261='Month summary'!$C$11,'Month summary'!$F$2/24,IF(F261="H/2",'Month summary'!$F$2/24/2,0)))</f>
        <v>0</v>
      </c>
      <c r="H261" s="4">
        <f t="shared" si="28"/>
        <v>0</v>
      </c>
      <c r="I261" s="4" t="str">
        <f t="shared" si="29"/>
        <v/>
      </c>
      <c r="J261" s="107"/>
      <c r="K261" s="38" t="str">
        <f>IFERROR(INDEX(TableTime[Time],MATCH(B261,TableTime[Date],0)),"")</f>
        <v/>
      </c>
      <c r="L261" s="4" t="str">
        <f>IF(SUMIFS(TableTime[Duration],TableTime[Date],B261,TableTime[Activity],Projects!$C$9)+SUMIFS(TableTime[Duration],TableTime[Date],B261,TableTime[Activity],Projects!$C$10)+SUMIFS(TableTime[Duration],TableTime[Date],B261,TableTime[Activity],Projects!$C$11)=0,"",SUMIFS(TableTime[Duration],TableTime[Date],B261,TableTime[Activity],Projects!$C$9)+SUMIFS(TableTime[Duration],TableTime[Date],B261,TableTime[Activity],Projects!$C$10)+SUMIFS(TableTime[Duration],TableTime[Date],B261,TableTime[Activity],Projects!$C$11))</f>
        <v/>
      </c>
      <c r="M261" s="4" t="str" cm="1">
        <f t="array" ref="M261">IFERROR(LOOKUP(2,1/(TableTime[Date]=B261),TableTime[Time]),"")</f>
        <v/>
      </c>
      <c r="N261" s="38" t="str">
        <f>IF(SUMIFS(TableTime[[Duration]:[Duration]],TableTime[[Date]:[Date]],$B261,TableTime[[Activity]:[Activity]],N$1)=0,"",SUMIFS(TableTime[[Duration]:[Duration]],TableTime[[Date]:[Date]],$B261,TableTime[[Activity]:[Activity]],N$1))</f>
        <v/>
      </c>
      <c r="O261" s="4" t="str">
        <f>IF(SUMIFS(TableTime[[Duration]:[Duration]],TableTime[[Date]:[Date]],$B261,TableTime[[Activity]:[Activity]],O$1)=0,"",SUMIFS(TableTime[[Duration]:[Duration]],TableTime[[Date]:[Date]],$B261,TableTime[[Activity]:[Activity]],O$1))</f>
        <v/>
      </c>
      <c r="P261" s="4" t="str">
        <f>IF(SUMIFS(TableTime[[Duration]:[Duration]],TableTime[[Date]:[Date]],$B261,TableTime[[Activity]:[Activity]],P$1)=0,"",SUMIFS(TableTime[[Duration]:[Duration]],TableTime[[Date]:[Date]],$B261,TableTime[[Activity]:[Activity]],P$1))</f>
        <v/>
      </c>
      <c r="Q261" s="4" t="str">
        <f>IF(SUMIFS(TableTime[[Duration]:[Duration]],TableTime[[Date]:[Date]],$B261,TableTime[[Activity]:[Activity]],Q$1)=0,"",SUMIFS(TableTime[[Duration]:[Duration]],TableTime[[Date]:[Date]],$B261,TableTime[[Activity]:[Activity]],Q$1))</f>
        <v/>
      </c>
      <c r="R261" s="4" t="str">
        <f>IF(SUMIFS(TableTime[[Duration]:[Duration]],TableTime[[Date]:[Date]],$B261,TableTime[[Activity]:[Activity]],R$1)=0,"",SUMIFS(TableTime[[Duration]:[Duration]],TableTime[[Date]:[Date]],$B261,TableTime[[Activity]:[Activity]],R$1))</f>
        <v/>
      </c>
      <c r="S261" s="130" t="str">
        <f>IF(SUMIFS(TableTime[[Duration]:[Duration]],TableTime[[Date]:[Date]],$B261,TableTime[[Activity]:[Activity]],S$1)=0,"",SUMIFS(TableTime[[Duration]:[Duration]],TableTime[[Date]:[Date]],$B261,TableTime[[Activity]:[Activity]],S$1))</f>
        <v/>
      </c>
      <c r="T261" s="4" t="str">
        <f>IF(SUMIFS(TableTime[[Duration]:[Duration]],TableTime[[Date]:[Date]],$B261,TableTime[[Activity]:[Activity]],T$1)=0,"",SUMIFS(TableTime[[Duration]:[Duration]],TableTime[[Date]:[Date]],$B261,TableTime[[Activity]:[Activity]],T$1))</f>
        <v/>
      </c>
      <c r="U261" s="39" t="str">
        <f>IF(SUMIFS(TableTime[[Duration]:[Duration]],TableTime[[Date]:[Date]],$B261,TableTime[[Activity]:[Activity]],U$1)=0,"",SUMIFS(TableTime[[Duration]:[Duration]],TableTime[[Date]:[Date]],$B261,TableTime[[Activity]:[Activity]],U$1))</f>
        <v/>
      </c>
    </row>
    <row r="262" spans="1:21" x14ac:dyDescent="0.35">
      <c r="A262" s="59" t="str">
        <f t="shared" si="24"/>
        <v>Mon</v>
      </c>
      <c r="B262" s="91">
        <f t="shared" si="26"/>
        <v>45187</v>
      </c>
      <c r="C262" s="60">
        <f t="shared" si="27"/>
        <v>9</v>
      </c>
      <c r="D262" s="61">
        <f t="shared" si="25"/>
        <v>38</v>
      </c>
      <c r="E262" s="103"/>
      <c r="F262" s="60" t="str">
        <f>IFERROR(IF(OR(WEEKDAY(B262,2)=6,WEEKDAY(B262,2)=7),'Month summary'!$D$11,IF(E262="",'Month summary'!$C$11,E262)),"")</f>
        <v>W</v>
      </c>
      <c r="G262" s="62">
        <f>IF(B262&lt;Time!$B$2,"",IF(F262='Month summary'!$C$11,'Month summary'!$F$2/24,IF(F262="H/2",'Month summary'!$F$2/24/2,0)))</f>
        <v>0.33333333333333331</v>
      </c>
      <c r="H262" s="62">
        <f t="shared" si="28"/>
        <v>0</v>
      </c>
      <c r="I262" s="62" t="str">
        <f t="shared" si="29"/>
        <v/>
      </c>
      <c r="J262" s="108"/>
      <c r="K262" s="63" t="str">
        <f>IFERROR(INDEX(TableTime[Time],MATCH(B262,TableTime[Date],0)),"")</f>
        <v/>
      </c>
      <c r="L262" s="62" t="str">
        <f>IF(SUMIFS(TableTime[Duration],TableTime[Date],B262,TableTime[Activity],Projects!$C$9)+SUMIFS(TableTime[Duration],TableTime[Date],B262,TableTime[Activity],Projects!$C$10)+SUMIFS(TableTime[Duration],TableTime[Date],B262,TableTime[Activity],Projects!$C$11)=0,"",SUMIFS(TableTime[Duration],TableTime[Date],B262,TableTime[Activity],Projects!$C$9)+SUMIFS(TableTime[Duration],TableTime[Date],B262,TableTime[Activity],Projects!$C$10)+SUMIFS(TableTime[Duration],TableTime[Date],B262,TableTime[Activity],Projects!$C$11))</f>
        <v/>
      </c>
      <c r="M262" s="62" t="str" cm="1">
        <f t="array" ref="M262">IFERROR(LOOKUP(2,1/(TableTime[Date]=B262),TableTime[Time]),"")</f>
        <v/>
      </c>
      <c r="N262" s="63" t="str">
        <f>IF(SUMIFS(TableTime[[Duration]:[Duration]],TableTime[[Date]:[Date]],$B262,TableTime[[Activity]:[Activity]],N$1)=0,"",SUMIFS(TableTime[[Duration]:[Duration]],TableTime[[Date]:[Date]],$B262,TableTime[[Activity]:[Activity]],N$1))</f>
        <v/>
      </c>
      <c r="O262" s="62" t="str">
        <f>IF(SUMIFS(TableTime[[Duration]:[Duration]],TableTime[[Date]:[Date]],$B262,TableTime[[Activity]:[Activity]],O$1)=0,"",SUMIFS(TableTime[[Duration]:[Duration]],TableTime[[Date]:[Date]],$B262,TableTime[[Activity]:[Activity]],O$1))</f>
        <v/>
      </c>
      <c r="P262" s="62" t="str">
        <f>IF(SUMIFS(TableTime[[Duration]:[Duration]],TableTime[[Date]:[Date]],$B262,TableTime[[Activity]:[Activity]],P$1)=0,"",SUMIFS(TableTime[[Duration]:[Duration]],TableTime[[Date]:[Date]],$B262,TableTime[[Activity]:[Activity]],P$1))</f>
        <v/>
      </c>
      <c r="Q262" s="62" t="str">
        <f>IF(SUMIFS(TableTime[[Duration]:[Duration]],TableTime[[Date]:[Date]],$B262,TableTime[[Activity]:[Activity]],Q$1)=0,"",SUMIFS(TableTime[[Duration]:[Duration]],TableTime[[Date]:[Date]],$B262,TableTime[[Activity]:[Activity]],Q$1))</f>
        <v/>
      </c>
      <c r="R262" s="62" t="str">
        <f>IF(SUMIFS(TableTime[[Duration]:[Duration]],TableTime[[Date]:[Date]],$B262,TableTime[[Activity]:[Activity]],R$1)=0,"",SUMIFS(TableTime[[Duration]:[Duration]],TableTime[[Date]:[Date]],$B262,TableTime[[Activity]:[Activity]],R$1))</f>
        <v/>
      </c>
      <c r="S262" s="131" t="str">
        <f>IF(SUMIFS(TableTime[[Duration]:[Duration]],TableTime[[Date]:[Date]],$B262,TableTime[[Activity]:[Activity]],S$1)=0,"",SUMIFS(TableTime[[Duration]:[Duration]],TableTime[[Date]:[Date]],$B262,TableTime[[Activity]:[Activity]],S$1))</f>
        <v/>
      </c>
      <c r="T262" s="62" t="str">
        <f>IF(SUMIFS(TableTime[[Duration]:[Duration]],TableTime[[Date]:[Date]],$B262,TableTime[[Activity]:[Activity]],T$1)=0,"",SUMIFS(TableTime[[Duration]:[Duration]],TableTime[[Date]:[Date]],$B262,TableTime[[Activity]:[Activity]],T$1))</f>
        <v/>
      </c>
      <c r="U262" s="64" t="str">
        <f>IF(SUMIFS(TableTime[[Duration]:[Duration]],TableTime[[Date]:[Date]],$B262,TableTime[[Activity]:[Activity]],U$1)=0,"",SUMIFS(TableTime[[Duration]:[Duration]],TableTime[[Date]:[Date]],$B262,TableTime[[Activity]:[Activity]],U$1))</f>
        <v/>
      </c>
    </row>
    <row r="263" spans="1:21" x14ac:dyDescent="0.35">
      <c r="A263" s="35" t="str">
        <f t="shared" si="24"/>
        <v>Tue</v>
      </c>
      <c r="B263" s="5">
        <f t="shared" si="26"/>
        <v>45188</v>
      </c>
      <c r="C263" s="1">
        <f t="shared" si="27"/>
        <v>9</v>
      </c>
      <c r="D263" s="2">
        <f t="shared" si="25"/>
        <v>38</v>
      </c>
      <c r="E263" s="102"/>
      <c r="F263" s="1" t="str">
        <f>IFERROR(IF(OR(WEEKDAY(B263,2)=6,WEEKDAY(B263,2)=7),'Month summary'!$D$11,IF(E263="",'Month summary'!$C$11,E263)),"")</f>
        <v>W</v>
      </c>
      <c r="G263" s="4">
        <f>IF(B263&lt;Time!$B$2,"",IF(F263='Month summary'!$C$11,'Month summary'!$F$2/24,IF(F263="H/2",'Month summary'!$F$2/24/2,0)))</f>
        <v>0.33333333333333331</v>
      </c>
      <c r="H263" s="4">
        <f t="shared" si="28"/>
        <v>0</v>
      </c>
      <c r="I263" s="4" t="str">
        <f t="shared" si="29"/>
        <v/>
      </c>
      <c r="J263" s="107"/>
      <c r="K263" s="38" t="str">
        <f>IFERROR(INDEX(TableTime[Time],MATCH(B263,TableTime[Date],0)),"")</f>
        <v/>
      </c>
      <c r="L263" s="4" t="str">
        <f>IF(SUMIFS(TableTime[Duration],TableTime[Date],B263,TableTime[Activity],Projects!$C$9)+SUMIFS(TableTime[Duration],TableTime[Date],B263,TableTime[Activity],Projects!$C$10)+SUMIFS(TableTime[Duration],TableTime[Date],B263,TableTime[Activity],Projects!$C$11)=0,"",SUMIFS(TableTime[Duration],TableTime[Date],B263,TableTime[Activity],Projects!$C$9)+SUMIFS(TableTime[Duration],TableTime[Date],B263,TableTime[Activity],Projects!$C$10)+SUMIFS(TableTime[Duration],TableTime[Date],B263,TableTime[Activity],Projects!$C$11))</f>
        <v/>
      </c>
      <c r="M263" s="4" t="str" cm="1">
        <f t="array" ref="M263">IFERROR(LOOKUP(2,1/(TableTime[Date]=B263),TableTime[Time]),"")</f>
        <v/>
      </c>
      <c r="N263" s="38" t="str">
        <f>IF(SUMIFS(TableTime[[Duration]:[Duration]],TableTime[[Date]:[Date]],$B263,TableTime[[Activity]:[Activity]],N$1)=0,"",SUMIFS(TableTime[[Duration]:[Duration]],TableTime[[Date]:[Date]],$B263,TableTime[[Activity]:[Activity]],N$1))</f>
        <v/>
      </c>
      <c r="O263" s="4" t="str">
        <f>IF(SUMIFS(TableTime[[Duration]:[Duration]],TableTime[[Date]:[Date]],$B263,TableTime[[Activity]:[Activity]],O$1)=0,"",SUMIFS(TableTime[[Duration]:[Duration]],TableTime[[Date]:[Date]],$B263,TableTime[[Activity]:[Activity]],O$1))</f>
        <v/>
      </c>
      <c r="P263" s="4" t="str">
        <f>IF(SUMIFS(TableTime[[Duration]:[Duration]],TableTime[[Date]:[Date]],$B263,TableTime[[Activity]:[Activity]],P$1)=0,"",SUMIFS(TableTime[[Duration]:[Duration]],TableTime[[Date]:[Date]],$B263,TableTime[[Activity]:[Activity]],P$1))</f>
        <v/>
      </c>
      <c r="Q263" s="4" t="str">
        <f>IF(SUMIFS(TableTime[[Duration]:[Duration]],TableTime[[Date]:[Date]],$B263,TableTime[[Activity]:[Activity]],Q$1)=0,"",SUMIFS(TableTime[[Duration]:[Duration]],TableTime[[Date]:[Date]],$B263,TableTime[[Activity]:[Activity]],Q$1))</f>
        <v/>
      </c>
      <c r="R263" s="4" t="str">
        <f>IF(SUMIFS(TableTime[[Duration]:[Duration]],TableTime[[Date]:[Date]],$B263,TableTime[[Activity]:[Activity]],R$1)=0,"",SUMIFS(TableTime[[Duration]:[Duration]],TableTime[[Date]:[Date]],$B263,TableTime[[Activity]:[Activity]],R$1))</f>
        <v/>
      </c>
      <c r="S263" s="130" t="str">
        <f>IF(SUMIFS(TableTime[[Duration]:[Duration]],TableTime[[Date]:[Date]],$B263,TableTime[[Activity]:[Activity]],S$1)=0,"",SUMIFS(TableTime[[Duration]:[Duration]],TableTime[[Date]:[Date]],$B263,TableTime[[Activity]:[Activity]],S$1))</f>
        <v/>
      </c>
      <c r="T263" s="4" t="str">
        <f>IF(SUMIFS(TableTime[[Duration]:[Duration]],TableTime[[Date]:[Date]],$B263,TableTime[[Activity]:[Activity]],T$1)=0,"",SUMIFS(TableTime[[Duration]:[Duration]],TableTime[[Date]:[Date]],$B263,TableTime[[Activity]:[Activity]],T$1))</f>
        <v/>
      </c>
      <c r="U263" s="39" t="str">
        <f>IF(SUMIFS(TableTime[[Duration]:[Duration]],TableTime[[Date]:[Date]],$B263,TableTime[[Activity]:[Activity]],U$1)=0,"",SUMIFS(TableTime[[Duration]:[Duration]],TableTime[[Date]:[Date]],$B263,TableTime[[Activity]:[Activity]],U$1))</f>
        <v/>
      </c>
    </row>
    <row r="264" spans="1:21" x14ac:dyDescent="0.35">
      <c r="A264" s="59" t="str">
        <f t="shared" si="24"/>
        <v>Wed</v>
      </c>
      <c r="B264" s="91">
        <f t="shared" si="26"/>
        <v>45189</v>
      </c>
      <c r="C264" s="60">
        <f t="shared" si="27"/>
        <v>9</v>
      </c>
      <c r="D264" s="61">
        <f t="shared" si="25"/>
        <v>38</v>
      </c>
      <c r="E264" s="103"/>
      <c r="F264" s="60" t="str">
        <f>IFERROR(IF(OR(WEEKDAY(B264,2)=6,WEEKDAY(B264,2)=7),'Month summary'!$D$11,IF(E264="",'Month summary'!$C$11,E264)),"")</f>
        <v>W</v>
      </c>
      <c r="G264" s="62">
        <f>IF(B264&lt;Time!$B$2,"",IF(F264='Month summary'!$C$11,'Month summary'!$F$2/24,IF(F264="H/2",'Month summary'!$F$2/24/2,0)))</f>
        <v>0.33333333333333331</v>
      </c>
      <c r="H264" s="62">
        <f t="shared" si="28"/>
        <v>0</v>
      </c>
      <c r="I264" s="62" t="str">
        <f t="shared" si="29"/>
        <v/>
      </c>
      <c r="J264" s="108"/>
      <c r="K264" s="63" t="str">
        <f>IFERROR(INDEX(TableTime[Time],MATCH(B264,TableTime[Date],0)),"")</f>
        <v/>
      </c>
      <c r="L264" s="62" t="str">
        <f>IF(SUMIFS(TableTime[Duration],TableTime[Date],B264,TableTime[Activity],Projects!$C$9)+SUMIFS(TableTime[Duration],TableTime[Date],B264,TableTime[Activity],Projects!$C$10)+SUMIFS(TableTime[Duration],TableTime[Date],B264,TableTime[Activity],Projects!$C$11)=0,"",SUMIFS(TableTime[Duration],TableTime[Date],B264,TableTime[Activity],Projects!$C$9)+SUMIFS(TableTime[Duration],TableTime[Date],B264,TableTime[Activity],Projects!$C$10)+SUMIFS(TableTime[Duration],TableTime[Date],B264,TableTime[Activity],Projects!$C$11))</f>
        <v/>
      </c>
      <c r="M264" s="62" t="str" cm="1">
        <f t="array" ref="M264">IFERROR(LOOKUP(2,1/(TableTime[Date]=B264),TableTime[Time]),"")</f>
        <v/>
      </c>
      <c r="N264" s="63" t="str">
        <f>IF(SUMIFS(TableTime[[Duration]:[Duration]],TableTime[[Date]:[Date]],$B264,TableTime[[Activity]:[Activity]],N$1)=0,"",SUMIFS(TableTime[[Duration]:[Duration]],TableTime[[Date]:[Date]],$B264,TableTime[[Activity]:[Activity]],N$1))</f>
        <v/>
      </c>
      <c r="O264" s="62" t="str">
        <f>IF(SUMIFS(TableTime[[Duration]:[Duration]],TableTime[[Date]:[Date]],$B264,TableTime[[Activity]:[Activity]],O$1)=0,"",SUMIFS(TableTime[[Duration]:[Duration]],TableTime[[Date]:[Date]],$B264,TableTime[[Activity]:[Activity]],O$1))</f>
        <v/>
      </c>
      <c r="P264" s="62" t="str">
        <f>IF(SUMIFS(TableTime[[Duration]:[Duration]],TableTime[[Date]:[Date]],$B264,TableTime[[Activity]:[Activity]],P$1)=0,"",SUMIFS(TableTime[[Duration]:[Duration]],TableTime[[Date]:[Date]],$B264,TableTime[[Activity]:[Activity]],P$1))</f>
        <v/>
      </c>
      <c r="Q264" s="62" t="str">
        <f>IF(SUMIFS(TableTime[[Duration]:[Duration]],TableTime[[Date]:[Date]],$B264,TableTime[[Activity]:[Activity]],Q$1)=0,"",SUMIFS(TableTime[[Duration]:[Duration]],TableTime[[Date]:[Date]],$B264,TableTime[[Activity]:[Activity]],Q$1))</f>
        <v/>
      </c>
      <c r="R264" s="62" t="str">
        <f>IF(SUMIFS(TableTime[[Duration]:[Duration]],TableTime[[Date]:[Date]],$B264,TableTime[[Activity]:[Activity]],R$1)=0,"",SUMIFS(TableTime[[Duration]:[Duration]],TableTime[[Date]:[Date]],$B264,TableTime[[Activity]:[Activity]],R$1))</f>
        <v/>
      </c>
      <c r="S264" s="131" t="str">
        <f>IF(SUMIFS(TableTime[[Duration]:[Duration]],TableTime[[Date]:[Date]],$B264,TableTime[[Activity]:[Activity]],S$1)=0,"",SUMIFS(TableTime[[Duration]:[Duration]],TableTime[[Date]:[Date]],$B264,TableTime[[Activity]:[Activity]],S$1))</f>
        <v/>
      </c>
      <c r="T264" s="62" t="str">
        <f>IF(SUMIFS(TableTime[[Duration]:[Duration]],TableTime[[Date]:[Date]],$B264,TableTime[[Activity]:[Activity]],T$1)=0,"",SUMIFS(TableTime[[Duration]:[Duration]],TableTime[[Date]:[Date]],$B264,TableTime[[Activity]:[Activity]],T$1))</f>
        <v/>
      </c>
      <c r="U264" s="64" t="str">
        <f>IF(SUMIFS(TableTime[[Duration]:[Duration]],TableTime[[Date]:[Date]],$B264,TableTime[[Activity]:[Activity]],U$1)=0,"",SUMIFS(TableTime[[Duration]:[Duration]],TableTime[[Date]:[Date]],$B264,TableTime[[Activity]:[Activity]],U$1))</f>
        <v/>
      </c>
    </row>
    <row r="265" spans="1:21" x14ac:dyDescent="0.35">
      <c r="A265" s="35" t="str">
        <f t="shared" si="24"/>
        <v>Thr</v>
      </c>
      <c r="B265" s="5">
        <f t="shared" si="26"/>
        <v>45190</v>
      </c>
      <c r="C265" s="1">
        <f t="shared" si="27"/>
        <v>9</v>
      </c>
      <c r="D265" s="2">
        <f t="shared" si="25"/>
        <v>38</v>
      </c>
      <c r="E265" s="102"/>
      <c r="F265" s="1" t="str">
        <f>IFERROR(IF(OR(WEEKDAY(B265,2)=6,WEEKDAY(B265,2)=7),'Month summary'!$D$11,IF(E265="",'Month summary'!$C$11,E265)),"")</f>
        <v>W</v>
      </c>
      <c r="G265" s="4">
        <f>IF(B265&lt;Time!$B$2,"",IF(F265='Month summary'!$C$11,'Month summary'!$F$2/24,IF(F265="H/2",'Month summary'!$F$2/24/2,0)))</f>
        <v>0.33333333333333331</v>
      </c>
      <c r="H265" s="4">
        <f t="shared" si="28"/>
        <v>0</v>
      </c>
      <c r="I265" s="4" t="str">
        <f t="shared" si="29"/>
        <v/>
      </c>
      <c r="J265" s="107"/>
      <c r="K265" s="38" t="str">
        <f>IFERROR(INDEX(TableTime[Time],MATCH(B265,TableTime[Date],0)),"")</f>
        <v/>
      </c>
      <c r="L265" s="4" t="str">
        <f>IF(SUMIFS(TableTime[Duration],TableTime[Date],B265,TableTime[Activity],Projects!$C$9)+SUMIFS(TableTime[Duration],TableTime[Date],B265,TableTime[Activity],Projects!$C$10)+SUMIFS(TableTime[Duration],TableTime[Date],B265,TableTime[Activity],Projects!$C$11)=0,"",SUMIFS(TableTime[Duration],TableTime[Date],B265,TableTime[Activity],Projects!$C$9)+SUMIFS(TableTime[Duration],TableTime[Date],B265,TableTime[Activity],Projects!$C$10)+SUMIFS(TableTime[Duration],TableTime[Date],B265,TableTime[Activity],Projects!$C$11))</f>
        <v/>
      </c>
      <c r="M265" s="4" t="str" cm="1">
        <f t="array" ref="M265">IFERROR(LOOKUP(2,1/(TableTime[Date]=B265),TableTime[Time]),"")</f>
        <v/>
      </c>
      <c r="N265" s="38" t="str">
        <f>IF(SUMIFS(TableTime[[Duration]:[Duration]],TableTime[[Date]:[Date]],$B265,TableTime[[Activity]:[Activity]],N$1)=0,"",SUMIFS(TableTime[[Duration]:[Duration]],TableTime[[Date]:[Date]],$B265,TableTime[[Activity]:[Activity]],N$1))</f>
        <v/>
      </c>
      <c r="O265" s="4" t="str">
        <f>IF(SUMIFS(TableTime[[Duration]:[Duration]],TableTime[[Date]:[Date]],$B265,TableTime[[Activity]:[Activity]],O$1)=0,"",SUMIFS(TableTime[[Duration]:[Duration]],TableTime[[Date]:[Date]],$B265,TableTime[[Activity]:[Activity]],O$1))</f>
        <v/>
      </c>
      <c r="P265" s="4" t="str">
        <f>IF(SUMIFS(TableTime[[Duration]:[Duration]],TableTime[[Date]:[Date]],$B265,TableTime[[Activity]:[Activity]],P$1)=0,"",SUMIFS(TableTime[[Duration]:[Duration]],TableTime[[Date]:[Date]],$B265,TableTime[[Activity]:[Activity]],P$1))</f>
        <v/>
      </c>
      <c r="Q265" s="4" t="str">
        <f>IF(SUMIFS(TableTime[[Duration]:[Duration]],TableTime[[Date]:[Date]],$B265,TableTime[[Activity]:[Activity]],Q$1)=0,"",SUMIFS(TableTime[[Duration]:[Duration]],TableTime[[Date]:[Date]],$B265,TableTime[[Activity]:[Activity]],Q$1))</f>
        <v/>
      </c>
      <c r="R265" s="4" t="str">
        <f>IF(SUMIFS(TableTime[[Duration]:[Duration]],TableTime[[Date]:[Date]],$B265,TableTime[[Activity]:[Activity]],R$1)=0,"",SUMIFS(TableTime[[Duration]:[Duration]],TableTime[[Date]:[Date]],$B265,TableTime[[Activity]:[Activity]],R$1))</f>
        <v/>
      </c>
      <c r="S265" s="130" t="str">
        <f>IF(SUMIFS(TableTime[[Duration]:[Duration]],TableTime[[Date]:[Date]],$B265,TableTime[[Activity]:[Activity]],S$1)=0,"",SUMIFS(TableTime[[Duration]:[Duration]],TableTime[[Date]:[Date]],$B265,TableTime[[Activity]:[Activity]],S$1))</f>
        <v/>
      </c>
      <c r="T265" s="4" t="str">
        <f>IF(SUMIFS(TableTime[[Duration]:[Duration]],TableTime[[Date]:[Date]],$B265,TableTime[[Activity]:[Activity]],T$1)=0,"",SUMIFS(TableTime[[Duration]:[Duration]],TableTime[[Date]:[Date]],$B265,TableTime[[Activity]:[Activity]],T$1))</f>
        <v/>
      </c>
      <c r="U265" s="39" t="str">
        <f>IF(SUMIFS(TableTime[[Duration]:[Duration]],TableTime[[Date]:[Date]],$B265,TableTime[[Activity]:[Activity]],U$1)=0,"",SUMIFS(TableTime[[Duration]:[Duration]],TableTime[[Date]:[Date]],$B265,TableTime[[Activity]:[Activity]],U$1))</f>
        <v/>
      </c>
    </row>
    <row r="266" spans="1:21" x14ac:dyDescent="0.35">
      <c r="A266" s="59" t="str">
        <f t="shared" si="24"/>
        <v>Fri</v>
      </c>
      <c r="B266" s="91">
        <f t="shared" si="26"/>
        <v>45191</v>
      </c>
      <c r="C266" s="60">
        <f t="shared" si="27"/>
        <v>9</v>
      </c>
      <c r="D266" s="61">
        <f t="shared" si="25"/>
        <v>38</v>
      </c>
      <c r="E266" s="103"/>
      <c r="F266" s="60" t="str">
        <f>IFERROR(IF(OR(WEEKDAY(B266,2)=6,WEEKDAY(B266,2)=7),'Month summary'!$D$11,IF(E266="",'Month summary'!$C$11,E266)),"")</f>
        <v>W</v>
      </c>
      <c r="G266" s="62">
        <f>IF(B266&lt;Time!$B$2,"",IF(F266='Month summary'!$C$11,'Month summary'!$F$2/24,IF(F266="H/2",'Month summary'!$F$2/24/2,0)))</f>
        <v>0.33333333333333331</v>
      </c>
      <c r="H266" s="62">
        <f t="shared" si="28"/>
        <v>0</v>
      </c>
      <c r="I266" s="62" t="str">
        <f t="shared" si="29"/>
        <v/>
      </c>
      <c r="J266" s="108"/>
      <c r="K266" s="63" t="str">
        <f>IFERROR(INDEX(TableTime[Time],MATCH(B266,TableTime[Date],0)),"")</f>
        <v/>
      </c>
      <c r="L266" s="62" t="str">
        <f>IF(SUMIFS(TableTime[Duration],TableTime[Date],B266,TableTime[Activity],Projects!$C$9)+SUMIFS(TableTime[Duration],TableTime[Date],B266,TableTime[Activity],Projects!$C$10)+SUMIFS(TableTime[Duration],TableTime[Date],B266,TableTime[Activity],Projects!$C$11)=0,"",SUMIFS(TableTime[Duration],TableTime[Date],B266,TableTime[Activity],Projects!$C$9)+SUMIFS(TableTime[Duration],TableTime[Date],B266,TableTime[Activity],Projects!$C$10)+SUMIFS(TableTime[Duration],TableTime[Date],B266,TableTime[Activity],Projects!$C$11))</f>
        <v/>
      </c>
      <c r="M266" s="62" t="str" cm="1">
        <f t="array" ref="M266">IFERROR(LOOKUP(2,1/(TableTime[Date]=B266),TableTime[Time]),"")</f>
        <v/>
      </c>
      <c r="N266" s="63" t="str">
        <f>IF(SUMIFS(TableTime[[Duration]:[Duration]],TableTime[[Date]:[Date]],$B266,TableTime[[Activity]:[Activity]],N$1)=0,"",SUMIFS(TableTime[[Duration]:[Duration]],TableTime[[Date]:[Date]],$B266,TableTime[[Activity]:[Activity]],N$1))</f>
        <v/>
      </c>
      <c r="O266" s="62" t="str">
        <f>IF(SUMIFS(TableTime[[Duration]:[Duration]],TableTime[[Date]:[Date]],$B266,TableTime[[Activity]:[Activity]],O$1)=0,"",SUMIFS(TableTime[[Duration]:[Duration]],TableTime[[Date]:[Date]],$B266,TableTime[[Activity]:[Activity]],O$1))</f>
        <v/>
      </c>
      <c r="P266" s="62" t="str">
        <f>IF(SUMIFS(TableTime[[Duration]:[Duration]],TableTime[[Date]:[Date]],$B266,TableTime[[Activity]:[Activity]],P$1)=0,"",SUMIFS(TableTime[[Duration]:[Duration]],TableTime[[Date]:[Date]],$B266,TableTime[[Activity]:[Activity]],P$1))</f>
        <v/>
      </c>
      <c r="Q266" s="62" t="str">
        <f>IF(SUMIFS(TableTime[[Duration]:[Duration]],TableTime[[Date]:[Date]],$B266,TableTime[[Activity]:[Activity]],Q$1)=0,"",SUMIFS(TableTime[[Duration]:[Duration]],TableTime[[Date]:[Date]],$B266,TableTime[[Activity]:[Activity]],Q$1))</f>
        <v/>
      </c>
      <c r="R266" s="62" t="str">
        <f>IF(SUMIFS(TableTime[[Duration]:[Duration]],TableTime[[Date]:[Date]],$B266,TableTime[[Activity]:[Activity]],R$1)=0,"",SUMIFS(TableTime[[Duration]:[Duration]],TableTime[[Date]:[Date]],$B266,TableTime[[Activity]:[Activity]],R$1))</f>
        <v/>
      </c>
      <c r="S266" s="131" t="str">
        <f>IF(SUMIFS(TableTime[[Duration]:[Duration]],TableTime[[Date]:[Date]],$B266,TableTime[[Activity]:[Activity]],S$1)=0,"",SUMIFS(TableTime[[Duration]:[Duration]],TableTime[[Date]:[Date]],$B266,TableTime[[Activity]:[Activity]],S$1))</f>
        <v/>
      </c>
      <c r="T266" s="62" t="str">
        <f>IF(SUMIFS(TableTime[[Duration]:[Duration]],TableTime[[Date]:[Date]],$B266,TableTime[[Activity]:[Activity]],T$1)=0,"",SUMIFS(TableTime[[Duration]:[Duration]],TableTime[[Date]:[Date]],$B266,TableTime[[Activity]:[Activity]],T$1))</f>
        <v/>
      </c>
      <c r="U266" s="64" t="str">
        <f>IF(SUMIFS(TableTime[[Duration]:[Duration]],TableTime[[Date]:[Date]],$B266,TableTime[[Activity]:[Activity]],U$1)=0,"",SUMIFS(TableTime[[Duration]:[Duration]],TableTime[[Date]:[Date]],$B266,TableTime[[Activity]:[Activity]],U$1))</f>
        <v/>
      </c>
    </row>
    <row r="267" spans="1:21" x14ac:dyDescent="0.35">
      <c r="A267" s="35" t="str">
        <f t="shared" si="24"/>
        <v>Sat</v>
      </c>
      <c r="B267" s="5">
        <f t="shared" si="26"/>
        <v>45192</v>
      </c>
      <c r="C267" s="1">
        <f t="shared" si="27"/>
        <v>9</v>
      </c>
      <c r="D267" s="2">
        <f t="shared" si="25"/>
        <v>38</v>
      </c>
      <c r="E267" s="102"/>
      <c r="F267" s="1" t="str">
        <f>IFERROR(IF(OR(WEEKDAY(B267,2)=6,WEEKDAY(B267,2)=7),'Month summary'!$D$11,IF(E267="",'Month summary'!$C$11,E267)),"")</f>
        <v>WE</v>
      </c>
      <c r="G267" s="4">
        <f>IF(B267&lt;Time!$B$2,"",IF(F267='Month summary'!$C$11,'Month summary'!$F$2/24,IF(F267="H/2",'Month summary'!$F$2/24/2,0)))</f>
        <v>0</v>
      </c>
      <c r="H267" s="4">
        <f t="shared" si="28"/>
        <v>0</v>
      </c>
      <c r="I267" s="4" t="str">
        <f t="shared" si="29"/>
        <v/>
      </c>
      <c r="J267" s="107"/>
      <c r="K267" s="38" t="str">
        <f>IFERROR(INDEX(TableTime[Time],MATCH(B267,TableTime[Date],0)),"")</f>
        <v/>
      </c>
      <c r="L267" s="4" t="str">
        <f>IF(SUMIFS(TableTime[Duration],TableTime[Date],B267,TableTime[Activity],Projects!$C$9)+SUMIFS(TableTime[Duration],TableTime[Date],B267,TableTime[Activity],Projects!$C$10)+SUMIFS(TableTime[Duration],TableTime[Date],B267,TableTime[Activity],Projects!$C$11)=0,"",SUMIFS(TableTime[Duration],TableTime[Date],B267,TableTime[Activity],Projects!$C$9)+SUMIFS(TableTime[Duration],TableTime[Date],B267,TableTime[Activity],Projects!$C$10)+SUMIFS(TableTime[Duration],TableTime[Date],B267,TableTime[Activity],Projects!$C$11))</f>
        <v/>
      </c>
      <c r="M267" s="4" t="str" cm="1">
        <f t="array" ref="M267">IFERROR(LOOKUP(2,1/(TableTime[Date]=B267),TableTime[Time]),"")</f>
        <v/>
      </c>
      <c r="N267" s="38" t="str">
        <f>IF(SUMIFS(TableTime[[Duration]:[Duration]],TableTime[[Date]:[Date]],$B267,TableTime[[Activity]:[Activity]],N$1)=0,"",SUMIFS(TableTime[[Duration]:[Duration]],TableTime[[Date]:[Date]],$B267,TableTime[[Activity]:[Activity]],N$1))</f>
        <v/>
      </c>
      <c r="O267" s="4" t="str">
        <f>IF(SUMIFS(TableTime[[Duration]:[Duration]],TableTime[[Date]:[Date]],$B267,TableTime[[Activity]:[Activity]],O$1)=0,"",SUMIFS(TableTime[[Duration]:[Duration]],TableTime[[Date]:[Date]],$B267,TableTime[[Activity]:[Activity]],O$1))</f>
        <v/>
      </c>
      <c r="P267" s="4" t="str">
        <f>IF(SUMIFS(TableTime[[Duration]:[Duration]],TableTime[[Date]:[Date]],$B267,TableTime[[Activity]:[Activity]],P$1)=0,"",SUMIFS(TableTime[[Duration]:[Duration]],TableTime[[Date]:[Date]],$B267,TableTime[[Activity]:[Activity]],P$1))</f>
        <v/>
      </c>
      <c r="Q267" s="4" t="str">
        <f>IF(SUMIFS(TableTime[[Duration]:[Duration]],TableTime[[Date]:[Date]],$B267,TableTime[[Activity]:[Activity]],Q$1)=0,"",SUMIFS(TableTime[[Duration]:[Duration]],TableTime[[Date]:[Date]],$B267,TableTime[[Activity]:[Activity]],Q$1))</f>
        <v/>
      </c>
      <c r="R267" s="4" t="str">
        <f>IF(SUMIFS(TableTime[[Duration]:[Duration]],TableTime[[Date]:[Date]],$B267,TableTime[[Activity]:[Activity]],R$1)=0,"",SUMIFS(TableTime[[Duration]:[Duration]],TableTime[[Date]:[Date]],$B267,TableTime[[Activity]:[Activity]],R$1))</f>
        <v/>
      </c>
      <c r="S267" s="130" t="str">
        <f>IF(SUMIFS(TableTime[[Duration]:[Duration]],TableTime[[Date]:[Date]],$B267,TableTime[[Activity]:[Activity]],S$1)=0,"",SUMIFS(TableTime[[Duration]:[Duration]],TableTime[[Date]:[Date]],$B267,TableTime[[Activity]:[Activity]],S$1))</f>
        <v/>
      </c>
      <c r="T267" s="4" t="str">
        <f>IF(SUMIFS(TableTime[[Duration]:[Duration]],TableTime[[Date]:[Date]],$B267,TableTime[[Activity]:[Activity]],T$1)=0,"",SUMIFS(TableTime[[Duration]:[Duration]],TableTime[[Date]:[Date]],$B267,TableTime[[Activity]:[Activity]],T$1))</f>
        <v/>
      </c>
      <c r="U267" s="39" t="str">
        <f>IF(SUMIFS(TableTime[[Duration]:[Duration]],TableTime[[Date]:[Date]],$B267,TableTime[[Activity]:[Activity]],U$1)=0,"",SUMIFS(TableTime[[Duration]:[Duration]],TableTime[[Date]:[Date]],$B267,TableTime[[Activity]:[Activity]],U$1))</f>
        <v/>
      </c>
    </row>
    <row r="268" spans="1:21" x14ac:dyDescent="0.35">
      <c r="A268" s="59" t="str">
        <f t="shared" si="24"/>
        <v>Sun</v>
      </c>
      <c r="B268" s="91">
        <f t="shared" si="26"/>
        <v>45193</v>
      </c>
      <c r="C268" s="60">
        <f t="shared" si="27"/>
        <v>9</v>
      </c>
      <c r="D268" s="61">
        <f t="shared" si="25"/>
        <v>38</v>
      </c>
      <c r="E268" s="103"/>
      <c r="F268" s="60" t="str">
        <f>IFERROR(IF(OR(WEEKDAY(B268,2)=6,WEEKDAY(B268,2)=7),'Month summary'!$D$11,IF(E268="",'Month summary'!$C$11,E268)),"")</f>
        <v>WE</v>
      </c>
      <c r="G268" s="62">
        <f>IF(B268&lt;Time!$B$2,"",IF(F268='Month summary'!$C$11,'Month summary'!$F$2/24,IF(F268="H/2",'Month summary'!$F$2/24/2,0)))</f>
        <v>0</v>
      </c>
      <c r="H268" s="62">
        <f t="shared" si="28"/>
        <v>0</v>
      </c>
      <c r="I268" s="62" t="str">
        <f t="shared" si="29"/>
        <v/>
      </c>
      <c r="J268" s="108"/>
      <c r="K268" s="63" t="str">
        <f>IFERROR(INDEX(TableTime[Time],MATCH(B268,TableTime[Date],0)),"")</f>
        <v/>
      </c>
      <c r="L268" s="62" t="str">
        <f>IF(SUMIFS(TableTime[Duration],TableTime[Date],B268,TableTime[Activity],Projects!$C$9)+SUMIFS(TableTime[Duration],TableTime[Date],B268,TableTime[Activity],Projects!$C$10)+SUMIFS(TableTime[Duration],TableTime[Date],B268,TableTime[Activity],Projects!$C$11)=0,"",SUMIFS(TableTime[Duration],TableTime[Date],B268,TableTime[Activity],Projects!$C$9)+SUMIFS(TableTime[Duration],TableTime[Date],B268,TableTime[Activity],Projects!$C$10)+SUMIFS(TableTime[Duration],TableTime[Date],B268,TableTime[Activity],Projects!$C$11))</f>
        <v/>
      </c>
      <c r="M268" s="62" t="str" cm="1">
        <f t="array" ref="M268">IFERROR(LOOKUP(2,1/(TableTime[Date]=B268),TableTime[Time]),"")</f>
        <v/>
      </c>
      <c r="N268" s="63" t="str">
        <f>IF(SUMIFS(TableTime[[Duration]:[Duration]],TableTime[[Date]:[Date]],$B268,TableTime[[Activity]:[Activity]],N$1)=0,"",SUMIFS(TableTime[[Duration]:[Duration]],TableTime[[Date]:[Date]],$B268,TableTime[[Activity]:[Activity]],N$1))</f>
        <v/>
      </c>
      <c r="O268" s="62" t="str">
        <f>IF(SUMIFS(TableTime[[Duration]:[Duration]],TableTime[[Date]:[Date]],$B268,TableTime[[Activity]:[Activity]],O$1)=0,"",SUMIFS(TableTime[[Duration]:[Duration]],TableTime[[Date]:[Date]],$B268,TableTime[[Activity]:[Activity]],O$1))</f>
        <v/>
      </c>
      <c r="P268" s="62" t="str">
        <f>IF(SUMIFS(TableTime[[Duration]:[Duration]],TableTime[[Date]:[Date]],$B268,TableTime[[Activity]:[Activity]],P$1)=0,"",SUMIFS(TableTime[[Duration]:[Duration]],TableTime[[Date]:[Date]],$B268,TableTime[[Activity]:[Activity]],P$1))</f>
        <v/>
      </c>
      <c r="Q268" s="62" t="str">
        <f>IF(SUMIFS(TableTime[[Duration]:[Duration]],TableTime[[Date]:[Date]],$B268,TableTime[[Activity]:[Activity]],Q$1)=0,"",SUMIFS(TableTime[[Duration]:[Duration]],TableTime[[Date]:[Date]],$B268,TableTime[[Activity]:[Activity]],Q$1))</f>
        <v/>
      </c>
      <c r="R268" s="62" t="str">
        <f>IF(SUMIFS(TableTime[[Duration]:[Duration]],TableTime[[Date]:[Date]],$B268,TableTime[[Activity]:[Activity]],R$1)=0,"",SUMIFS(TableTime[[Duration]:[Duration]],TableTime[[Date]:[Date]],$B268,TableTime[[Activity]:[Activity]],R$1))</f>
        <v/>
      </c>
      <c r="S268" s="131" t="str">
        <f>IF(SUMIFS(TableTime[[Duration]:[Duration]],TableTime[[Date]:[Date]],$B268,TableTime[[Activity]:[Activity]],S$1)=0,"",SUMIFS(TableTime[[Duration]:[Duration]],TableTime[[Date]:[Date]],$B268,TableTime[[Activity]:[Activity]],S$1))</f>
        <v/>
      </c>
      <c r="T268" s="62" t="str">
        <f>IF(SUMIFS(TableTime[[Duration]:[Duration]],TableTime[[Date]:[Date]],$B268,TableTime[[Activity]:[Activity]],T$1)=0,"",SUMIFS(TableTime[[Duration]:[Duration]],TableTime[[Date]:[Date]],$B268,TableTime[[Activity]:[Activity]],T$1))</f>
        <v/>
      </c>
      <c r="U268" s="64" t="str">
        <f>IF(SUMIFS(TableTime[[Duration]:[Duration]],TableTime[[Date]:[Date]],$B268,TableTime[[Activity]:[Activity]],U$1)=0,"",SUMIFS(TableTime[[Duration]:[Duration]],TableTime[[Date]:[Date]],$B268,TableTime[[Activity]:[Activity]],U$1))</f>
        <v/>
      </c>
    </row>
    <row r="269" spans="1:21" x14ac:dyDescent="0.35">
      <c r="A269" s="35" t="str">
        <f t="shared" si="24"/>
        <v>Mon</v>
      </c>
      <c r="B269" s="5">
        <f t="shared" si="26"/>
        <v>45194</v>
      </c>
      <c r="C269" s="1">
        <f t="shared" si="27"/>
        <v>9</v>
      </c>
      <c r="D269" s="2">
        <f t="shared" si="25"/>
        <v>39</v>
      </c>
      <c r="E269" s="102"/>
      <c r="F269" s="1" t="str">
        <f>IFERROR(IF(OR(WEEKDAY(B269,2)=6,WEEKDAY(B269,2)=7),'Month summary'!$D$11,IF(E269="",'Month summary'!$C$11,E269)),"")</f>
        <v>W</v>
      </c>
      <c r="G269" s="4">
        <f>IF(B269&lt;Time!$B$2,"",IF(F269='Month summary'!$C$11,'Month summary'!$F$2/24,IF(F269="H/2",'Month summary'!$F$2/24/2,0)))</f>
        <v>0.33333333333333331</v>
      </c>
      <c r="H269" s="4">
        <f t="shared" si="28"/>
        <v>0</v>
      </c>
      <c r="I269" s="4" t="str">
        <f t="shared" si="29"/>
        <v/>
      </c>
      <c r="J269" s="107"/>
      <c r="K269" s="38" t="str">
        <f>IFERROR(INDEX(TableTime[Time],MATCH(B269,TableTime[Date],0)),"")</f>
        <v/>
      </c>
      <c r="L269" s="4" t="str">
        <f>IF(SUMIFS(TableTime[Duration],TableTime[Date],B269,TableTime[Activity],Projects!$C$9)+SUMIFS(TableTime[Duration],TableTime[Date],B269,TableTime[Activity],Projects!$C$10)+SUMIFS(TableTime[Duration],TableTime[Date],B269,TableTime[Activity],Projects!$C$11)=0,"",SUMIFS(TableTime[Duration],TableTime[Date],B269,TableTime[Activity],Projects!$C$9)+SUMIFS(TableTime[Duration],TableTime[Date],B269,TableTime[Activity],Projects!$C$10)+SUMIFS(TableTime[Duration],TableTime[Date],B269,TableTime[Activity],Projects!$C$11))</f>
        <v/>
      </c>
      <c r="M269" s="4" t="str" cm="1">
        <f t="array" ref="M269">IFERROR(LOOKUP(2,1/(TableTime[Date]=B269),TableTime[Time]),"")</f>
        <v/>
      </c>
      <c r="N269" s="38" t="str">
        <f>IF(SUMIFS(TableTime[[Duration]:[Duration]],TableTime[[Date]:[Date]],$B269,TableTime[[Activity]:[Activity]],N$1)=0,"",SUMIFS(TableTime[[Duration]:[Duration]],TableTime[[Date]:[Date]],$B269,TableTime[[Activity]:[Activity]],N$1))</f>
        <v/>
      </c>
      <c r="O269" s="4" t="str">
        <f>IF(SUMIFS(TableTime[[Duration]:[Duration]],TableTime[[Date]:[Date]],$B269,TableTime[[Activity]:[Activity]],O$1)=0,"",SUMIFS(TableTime[[Duration]:[Duration]],TableTime[[Date]:[Date]],$B269,TableTime[[Activity]:[Activity]],O$1))</f>
        <v/>
      </c>
      <c r="P269" s="4" t="str">
        <f>IF(SUMIFS(TableTime[[Duration]:[Duration]],TableTime[[Date]:[Date]],$B269,TableTime[[Activity]:[Activity]],P$1)=0,"",SUMIFS(TableTime[[Duration]:[Duration]],TableTime[[Date]:[Date]],$B269,TableTime[[Activity]:[Activity]],P$1))</f>
        <v/>
      </c>
      <c r="Q269" s="4" t="str">
        <f>IF(SUMIFS(TableTime[[Duration]:[Duration]],TableTime[[Date]:[Date]],$B269,TableTime[[Activity]:[Activity]],Q$1)=0,"",SUMIFS(TableTime[[Duration]:[Duration]],TableTime[[Date]:[Date]],$B269,TableTime[[Activity]:[Activity]],Q$1))</f>
        <v/>
      </c>
      <c r="R269" s="4" t="str">
        <f>IF(SUMIFS(TableTime[[Duration]:[Duration]],TableTime[[Date]:[Date]],$B269,TableTime[[Activity]:[Activity]],R$1)=0,"",SUMIFS(TableTime[[Duration]:[Duration]],TableTime[[Date]:[Date]],$B269,TableTime[[Activity]:[Activity]],R$1))</f>
        <v/>
      </c>
      <c r="S269" s="130" t="str">
        <f>IF(SUMIFS(TableTime[[Duration]:[Duration]],TableTime[[Date]:[Date]],$B269,TableTime[[Activity]:[Activity]],S$1)=0,"",SUMIFS(TableTime[[Duration]:[Duration]],TableTime[[Date]:[Date]],$B269,TableTime[[Activity]:[Activity]],S$1))</f>
        <v/>
      </c>
      <c r="T269" s="4" t="str">
        <f>IF(SUMIFS(TableTime[[Duration]:[Duration]],TableTime[[Date]:[Date]],$B269,TableTime[[Activity]:[Activity]],T$1)=0,"",SUMIFS(TableTime[[Duration]:[Duration]],TableTime[[Date]:[Date]],$B269,TableTime[[Activity]:[Activity]],T$1))</f>
        <v/>
      </c>
      <c r="U269" s="39" t="str">
        <f>IF(SUMIFS(TableTime[[Duration]:[Duration]],TableTime[[Date]:[Date]],$B269,TableTime[[Activity]:[Activity]],U$1)=0,"",SUMIFS(TableTime[[Duration]:[Duration]],TableTime[[Date]:[Date]],$B269,TableTime[[Activity]:[Activity]],U$1))</f>
        <v/>
      </c>
    </row>
    <row r="270" spans="1:21" x14ac:dyDescent="0.35">
      <c r="A270" s="59" t="str">
        <f t="shared" si="24"/>
        <v>Tue</v>
      </c>
      <c r="B270" s="91">
        <f t="shared" si="26"/>
        <v>45195</v>
      </c>
      <c r="C270" s="60">
        <f t="shared" si="27"/>
        <v>9</v>
      </c>
      <c r="D270" s="61">
        <f t="shared" si="25"/>
        <v>39</v>
      </c>
      <c r="E270" s="103"/>
      <c r="F270" s="60" t="str">
        <f>IFERROR(IF(OR(WEEKDAY(B270,2)=6,WEEKDAY(B270,2)=7),'Month summary'!$D$11,IF(E270="",'Month summary'!$C$11,E270)),"")</f>
        <v>W</v>
      </c>
      <c r="G270" s="62">
        <f>IF(B270&lt;Time!$B$2,"",IF(F270='Month summary'!$C$11,'Month summary'!$F$2/24,IF(F270="H/2",'Month summary'!$F$2/24/2,0)))</f>
        <v>0.33333333333333331</v>
      </c>
      <c r="H270" s="62">
        <f t="shared" si="28"/>
        <v>0</v>
      </c>
      <c r="I270" s="62" t="str">
        <f t="shared" si="29"/>
        <v/>
      </c>
      <c r="J270" s="108"/>
      <c r="K270" s="63" t="str">
        <f>IFERROR(INDEX(TableTime[Time],MATCH(B270,TableTime[Date],0)),"")</f>
        <v/>
      </c>
      <c r="L270" s="62" t="str">
        <f>IF(SUMIFS(TableTime[Duration],TableTime[Date],B270,TableTime[Activity],Projects!$C$9)+SUMIFS(TableTime[Duration],TableTime[Date],B270,TableTime[Activity],Projects!$C$10)+SUMIFS(TableTime[Duration],TableTime[Date],B270,TableTime[Activity],Projects!$C$11)=0,"",SUMIFS(TableTime[Duration],TableTime[Date],B270,TableTime[Activity],Projects!$C$9)+SUMIFS(TableTime[Duration],TableTime[Date],B270,TableTime[Activity],Projects!$C$10)+SUMIFS(TableTime[Duration],TableTime[Date],B270,TableTime[Activity],Projects!$C$11))</f>
        <v/>
      </c>
      <c r="M270" s="62" t="str" cm="1">
        <f t="array" ref="M270">IFERROR(LOOKUP(2,1/(TableTime[Date]=B270),TableTime[Time]),"")</f>
        <v/>
      </c>
      <c r="N270" s="63" t="str">
        <f>IF(SUMIFS(TableTime[[Duration]:[Duration]],TableTime[[Date]:[Date]],$B270,TableTime[[Activity]:[Activity]],N$1)=0,"",SUMIFS(TableTime[[Duration]:[Duration]],TableTime[[Date]:[Date]],$B270,TableTime[[Activity]:[Activity]],N$1))</f>
        <v/>
      </c>
      <c r="O270" s="62" t="str">
        <f>IF(SUMIFS(TableTime[[Duration]:[Duration]],TableTime[[Date]:[Date]],$B270,TableTime[[Activity]:[Activity]],O$1)=0,"",SUMIFS(TableTime[[Duration]:[Duration]],TableTime[[Date]:[Date]],$B270,TableTime[[Activity]:[Activity]],O$1))</f>
        <v/>
      </c>
      <c r="P270" s="62" t="str">
        <f>IF(SUMIFS(TableTime[[Duration]:[Duration]],TableTime[[Date]:[Date]],$B270,TableTime[[Activity]:[Activity]],P$1)=0,"",SUMIFS(TableTime[[Duration]:[Duration]],TableTime[[Date]:[Date]],$B270,TableTime[[Activity]:[Activity]],P$1))</f>
        <v/>
      </c>
      <c r="Q270" s="62" t="str">
        <f>IF(SUMIFS(TableTime[[Duration]:[Duration]],TableTime[[Date]:[Date]],$B270,TableTime[[Activity]:[Activity]],Q$1)=0,"",SUMIFS(TableTime[[Duration]:[Duration]],TableTime[[Date]:[Date]],$B270,TableTime[[Activity]:[Activity]],Q$1))</f>
        <v/>
      </c>
      <c r="R270" s="62" t="str">
        <f>IF(SUMIFS(TableTime[[Duration]:[Duration]],TableTime[[Date]:[Date]],$B270,TableTime[[Activity]:[Activity]],R$1)=0,"",SUMIFS(TableTime[[Duration]:[Duration]],TableTime[[Date]:[Date]],$B270,TableTime[[Activity]:[Activity]],R$1))</f>
        <v/>
      </c>
      <c r="S270" s="131" t="str">
        <f>IF(SUMIFS(TableTime[[Duration]:[Duration]],TableTime[[Date]:[Date]],$B270,TableTime[[Activity]:[Activity]],S$1)=0,"",SUMIFS(TableTime[[Duration]:[Duration]],TableTime[[Date]:[Date]],$B270,TableTime[[Activity]:[Activity]],S$1))</f>
        <v/>
      </c>
      <c r="T270" s="62" t="str">
        <f>IF(SUMIFS(TableTime[[Duration]:[Duration]],TableTime[[Date]:[Date]],$B270,TableTime[[Activity]:[Activity]],T$1)=0,"",SUMIFS(TableTime[[Duration]:[Duration]],TableTime[[Date]:[Date]],$B270,TableTime[[Activity]:[Activity]],T$1))</f>
        <v/>
      </c>
      <c r="U270" s="64" t="str">
        <f>IF(SUMIFS(TableTime[[Duration]:[Duration]],TableTime[[Date]:[Date]],$B270,TableTime[[Activity]:[Activity]],U$1)=0,"",SUMIFS(TableTime[[Duration]:[Duration]],TableTime[[Date]:[Date]],$B270,TableTime[[Activity]:[Activity]],U$1))</f>
        <v/>
      </c>
    </row>
    <row r="271" spans="1:21" x14ac:dyDescent="0.35">
      <c r="A271" s="35" t="str">
        <f t="shared" si="24"/>
        <v>Wed</v>
      </c>
      <c r="B271" s="5">
        <f t="shared" si="26"/>
        <v>45196</v>
      </c>
      <c r="C271" s="1">
        <f t="shared" si="27"/>
        <v>9</v>
      </c>
      <c r="D271" s="2">
        <f t="shared" si="25"/>
        <v>39</v>
      </c>
      <c r="E271" s="102"/>
      <c r="F271" s="1" t="str">
        <f>IFERROR(IF(OR(WEEKDAY(B271,2)=6,WEEKDAY(B271,2)=7),'Month summary'!$D$11,IF(E271="",'Month summary'!$C$11,E271)),"")</f>
        <v>W</v>
      </c>
      <c r="G271" s="4">
        <f>IF(B271&lt;Time!$B$2,"",IF(F271='Month summary'!$C$11,'Month summary'!$F$2/24,IF(F271="H/2",'Month summary'!$F$2/24/2,0)))</f>
        <v>0.33333333333333331</v>
      </c>
      <c r="H271" s="4">
        <f t="shared" si="28"/>
        <v>0</v>
      </c>
      <c r="I271" s="4" t="str">
        <f t="shared" si="29"/>
        <v/>
      </c>
      <c r="J271" s="107"/>
      <c r="K271" s="38" t="str">
        <f>IFERROR(INDEX(TableTime[Time],MATCH(B271,TableTime[Date],0)),"")</f>
        <v/>
      </c>
      <c r="L271" s="4" t="str">
        <f>IF(SUMIFS(TableTime[Duration],TableTime[Date],B271,TableTime[Activity],Projects!$C$9)+SUMIFS(TableTime[Duration],TableTime[Date],B271,TableTime[Activity],Projects!$C$10)+SUMIFS(TableTime[Duration],TableTime[Date],B271,TableTime[Activity],Projects!$C$11)=0,"",SUMIFS(TableTime[Duration],TableTime[Date],B271,TableTime[Activity],Projects!$C$9)+SUMIFS(TableTime[Duration],TableTime[Date],B271,TableTime[Activity],Projects!$C$10)+SUMIFS(TableTime[Duration],TableTime[Date],B271,TableTime[Activity],Projects!$C$11))</f>
        <v/>
      </c>
      <c r="M271" s="4" t="str" cm="1">
        <f t="array" ref="M271">IFERROR(LOOKUP(2,1/(TableTime[Date]=B271),TableTime[Time]),"")</f>
        <v/>
      </c>
      <c r="N271" s="38" t="str">
        <f>IF(SUMIFS(TableTime[[Duration]:[Duration]],TableTime[[Date]:[Date]],$B271,TableTime[[Activity]:[Activity]],N$1)=0,"",SUMIFS(TableTime[[Duration]:[Duration]],TableTime[[Date]:[Date]],$B271,TableTime[[Activity]:[Activity]],N$1))</f>
        <v/>
      </c>
      <c r="O271" s="4" t="str">
        <f>IF(SUMIFS(TableTime[[Duration]:[Duration]],TableTime[[Date]:[Date]],$B271,TableTime[[Activity]:[Activity]],O$1)=0,"",SUMIFS(TableTime[[Duration]:[Duration]],TableTime[[Date]:[Date]],$B271,TableTime[[Activity]:[Activity]],O$1))</f>
        <v/>
      </c>
      <c r="P271" s="4" t="str">
        <f>IF(SUMIFS(TableTime[[Duration]:[Duration]],TableTime[[Date]:[Date]],$B271,TableTime[[Activity]:[Activity]],P$1)=0,"",SUMIFS(TableTime[[Duration]:[Duration]],TableTime[[Date]:[Date]],$B271,TableTime[[Activity]:[Activity]],P$1))</f>
        <v/>
      </c>
      <c r="Q271" s="4" t="str">
        <f>IF(SUMIFS(TableTime[[Duration]:[Duration]],TableTime[[Date]:[Date]],$B271,TableTime[[Activity]:[Activity]],Q$1)=0,"",SUMIFS(TableTime[[Duration]:[Duration]],TableTime[[Date]:[Date]],$B271,TableTime[[Activity]:[Activity]],Q$1))</f>
        <v/>
      </c>
      <c r="R271" s="4" t="str">
        <f>IF(SUMIFS(TableTime[[Duration]:[Duration]],TableTime[[Date]:[Date]],$B271,TableTime[[Activity]:[Activity]],R$1)=0,"",SUMIFS(TableTime[[Duration]:[Duration]],TableTime[[Date]:[Date]],$B271,TableTime[[Activity]:[Activity]],R$1))</f>
        <v/>
      </c>
      <c r="S271" s="130" t="str">
        <f>IF(SUMIFS(TableTime[[Duration]:[Duration]],TableTime[[Date]:[Date]],$B271,TableTime[[Activity]:[Activity]],S$1)=0,"",SUMIFS(TableTime[[Duration]:[Duration]],TableTime[[Date]:[Date]],$B271,TableTime[[Activity]:[Activity]],S$1))</f>
        <v/>
      </c>
      <c r="T271" s="4" t="str">
        <f>IF(SUMIFS(TableTime[[Duration]:[Duration]],TableTime[[Date]:[Date]],$B271,TableTime[[Activity]:[Activity]],T$1)=0,"",SUMIFS(TableTime[[Duration]:[Duration]],TableTime[[Date]:[Date]],$B271,TableTime[[Activity]:[Activity]],T$1))</f>
        <v/>
      </c>
      <c r="U271" s="39" t="str">
        <f>IF(SUMIFS(TableTime[[Duration]:[Duration]],TableTime[[Date]:[Date]],$B271,TableTime[[Activity]:[Activity]],U$1)=0,"",SUMIFS(TableTime[[Duration]:[Duration]],TableTime[[Date]:[Date]],$B271,TableTime[[Activity]:[Activity]],U$1))</f>
        <v/>
      </c>
    </row>
    <row r="272" spans="1:21" x14ac:dyDescent="0.35">
      <c r="A272" s="59" t="str">
        <f t="shared" si="24"/>
        <v>Thr</v>
      </c>
      <c r="B272" s="91">
        <f t="shared" si="26"/>
        <v>45197</v>
      </c>
      <c r="C272" s="60">
        <f t="shared" si="27"/>
        <v>9</v>
      </c>
      <c r="D272" s="61">
        <f t="shared" si="25"/>
        <v>39</v>
      </c>
      <c r="E272" s="103"/>
      <c r="F272" s="60" t="str">
        <f>IFERROR(IF(OR(WEEKDAY(B272,2)=6,WEEKDAY(B272,2)=7),'Month summary'!$D$11,IF(E272="",'Month summary'!$C$11,E272)),"")</f>
        <v>W</v>
      </c>
      <c r="G272" s="62">
        <f>IF(B272&lt;Time!$B$2,"",IF(F272='Month summary'!$C$11,'Month summary'!$F$2/24,IF(F272="H/2",'Month summary'!$F$2/24/2,0)))</f>
        <v>0.33333333333333331</v>
      </c>
      <c r="H272" s="62">
        <f t="shared" si="28"/>
        <v>0</v>
      </c>
      <c r="I272" s="62" t="str">
        <f t="shared" si="29"/>
        <v/>
      </c>
      <c r="J272" s="108"/>
      <c r="K272" s="63" t="str">
        <f>IFERROR(INDEX(TableTime[Time],MATCH(B272,TableTime[Date],0)),"")</f>
        <v/>
      </c>
      <c r="L272" s="62" t="str">
        <f>IF(SUMIFS(TableTime[Duration],TableTime[Date],B272,TableTime[Activity],Projects!$C$9)+SUMIFS(TableTime[Duration],TableTime[Date],B272,TableTime[Activity],Projects!$C$10)+SUMIFS(TableTime[Duration],TableTime[Date],B272,TableTime[Activity],Projects!$C$11)=0,"",SUMIFS(TableTime[Duration],TableTime[Date],B272,TableTime[Activity],Projects!$C$9)+SUMIFS(TableTime[Duration],TableTime[Date],B272,TableTime[Activity],Projects!$C$10)+SUMIFS(TableTime[Duration],TableTime[Date],B272,TableTime[Activity],Projects!$C$11))</f>
        <v/>
      </c>
      <c r="M272" s="62" t="str" cm="1">
        <f t="array" ref="M272">IFERROR(LOOKUP(2,1/(TableTime[Date]=B272),TableTime[Time]),"")</f>
        <v/>
      </c>
      <c r="N272" s="63" t="str">
        <f>IF(SUMIFS(TableTime[[Duration]:[Duration]],TableTime[[Date]:[Date]],$B272,TableTime[[Activity]:[Activity]],N$1)=0,"",SUMIFS(TableTime[[Duration]:[Duration]],TableTime[[Date]:[Date]],$B272,TableTime[[Activity]:[Activity]],N$1))</f>
        <v/>
      </c>
      <c r="O272" s="62" t="str">
        <f>IF(SUMIFS(TableTime[[Duration]:[Duration]],TableTime[[Date]:[Date]],$B272,TableTime[[Activity]:[Activity]],O$1)=0,"",SUMIFS(TableTime[[Duration]:[Duration]],TableTime[[Date]:[Date]],$B272,TableTime[[Activity]:[Activity]],O$1))</f>
        <v/>
      </c>
      <c r="P272" s="62" t="str">
        <f>IF(SUMIFS(TableTime[[Duration]:[Duration]],TableTime[[Date]:[Date]],$B272,TableTime[[Activity]:[Activity]],P$1)=0,"",SUMIFS(TableTime[[Duration]:[Duration]],TableTime[[Date]:[Date]],$B272,TableTime[[Activity]:[Activity]],P$1))</f>
        <v/>
      </c>
      <c r="Q272" s="62" t="str">
        <f>IF(SUMIFS(TableTime[[Duration]:[Duration]],TableTime[[Date]:[Date]],$B272,TableTime[[Activity]:[Activity]],Q$1)=0,"",SUMIFS(TableTime[[Duration]:[Duration]],TableTime[[Date]:[Date]],$B272,TableTime[[Activity]:[Activity]],Q$1))</f>
        <v/>
      </c>
      <c r="R272" s="62" t="str">
        <f>IF(SUMIFS(TableTime[[Duration]:[Duration]],TableTime[[Date]:[Date]],$B272,TableTime[[Activity]:[Activity]],R$1)=0,"",SUMIFS(TableTime[[Duration]:[Duration]],TableTime[[Date]:[Date]],$B272,TableTime[[Activity]:[Activity]],R$1))</f>
        <v/>
      </c>
      <c r="S272" s="131" t="str">
        <f>IF(SUMIFS(TableTime[[Duration]:[Duration]],TableTime[[Date]:[Date]],$B272,TableTime[[Activity]:[Activity]],S$1)=0,"",SUMIFS(TableTime[[Duration]:[Duration]],TableTime[[Date]:[Date]],$B272,TableTime[[Activity]:[Activity]],S$1))</f>
        <v/>
      </c>
      <c r="T272" s="62" t="str">
        <f>IF(SUMIFS(TableTime[[Duration]:[Duration]],TableTime[[Date]:[Date]],$B272,TableTime[[Activity]:[Activity]],T$1)=0,"",SUMIFS(TableTime[[Duration]:[Duration]],TableTime[[Date]:[Date]],$B272,TableTime[[Activity]:[Activity]],T$1))</f>
        <v/>
      </c>
      <c r="U272" s="64" t="str">
        <f>IF(SUMIFS(TableTime[[Duration]:[Duration]],TableTime[[Date]:[Date]],$B272,TableTime[[Activity]:[Activity]],U$1)=0,"",SUMIFS(TableTime[[Duration]:[Duration]],TableTime[[Date]:[Date]],$B272,TableTime[[Activity]:[Activity]],U$1))</f>
        <v/>
      </c>
    </row>
    <row r="273" spans="1:21" x14ac:dyDescent="0.35">
      <c r="A273" s="35" t="str">
        <f t="shared" si="24"/>
        <v>Fri</v>
      </c>
      <c r="B273" s="5">
        <f t="shared" si="26"/>
        <v>45198</v>
      </c>
      <c r="C273" s="1">
        <f t="shared" si="27"/>
        <v>9</v>
      </c>
      <c r="D273" s="2">
        <f t="shared" si="25"/>
        <v>39</v>
      </c>
      <c r="E273" s="102"/>
      <c r="F273" s="1" t="str">
        <f>IFERROR(IF(OR(WEEKDAY(B273,2)=6,WEEKDAY(B273,2)=7),'Month summary'!$D$11,IF(E273="",'Month summary'!$C$11,E273)),"")</f>
        <v>W</v>
      </c>
      <c r="G273" s="4">
        <f>IF(B273&lt;Time!$B$2,"",IF(F273='Month summary'!$C$11,'Month summary'!$F$2/24,IF(F273="H/2",'Month summary'!$F$2/24/2,0)))</f>
        <v>0.33333333333333331</v>
      </c>
      <c r="H273" s="4">
        <f t="shared" si="28"/>
        <v>0</v>
      </c>
      <c r="I273" s="4" t="str">
        <f t="shared" si="29"/>
        <v/>
      </c>
      <c r="J273" s="107"/>
      <c r="K273" s="38" t="str">
        <f>IFERROR(INDEX(TableTime[Time],MATCH(B273,TableTime[Date],0)),"")</f>
        <v/>
      </c>
      <c r="L273" s="4" t="str">
        <f>IF(SUMIFS(TableTime[Duration],TableTime[Date],B273,TableTime[Activity],Projects!$C$9)+SUMIFS(TableTime[Duration],TableTime[Date],B273,TableTime[Activity],Projects!$C$10)+SUMIFS(TableTime[Duration],TableTime[Date],B273,TableTime[Activity],Projects!$C$11)=0,"",SUMIFS(TableTime[Duration],TableTime[Date],B273,TableTime[Activity],Projects!$C$9)+SUMIFS(TableTime[Duration],TableTime[Date],B273,TableTime[Activity],Projects!$C$10)+SUMIFS(TableTime[Duration],TableTime[Date],B273,TableTime[Activity],Projects!$C$11))</f>
        <v/>
      </c>
      <c r="M273" s="4" t="str" cm="1">
        <f t="array" ref="M273">IFERROR(LOOKUP(2,1/(TableTime[Date]=B273),TableTime[Time]),"")</f>
        <v/>
      </c>
      <c r="N273" s="38" t="str">
        <f>IF(SUMIFS(TableTime[[Duration]:[Duration]],TableTime[[Date]:[Date]],$B273,TableTime[[Activity]:[Activity]],N$1)=0,"",SUMIFS(TableTime[[Duration]:[Duration]],TableTime[[Date]:[Date]],$B273,TableTime[[Activity]:[Activity]],N$1))</f>
        <v/>
      </c>
      <c r="O273" s="4" t="str">
        <f>IF(SUMIFS(TableTime[[Duration]:[Duration]],TableTime[[Date]:[Date]],$B273,TableTime[[Activity]:[Activity]],O$1)=0,"",SUMIFS(TableTime[[Duration]:[Duration]],TableTime[[Date]:[Date]],$B273,TableTime[[Activity]:[Activity]],O$1))</f>
        <v/>
      </c>
      <c r="P273" s="4" t="str">
        <f>IF(SUMIFS(TableTime[[Duration]:[Duration]],TableTime[[Date]:[Date]],$B273,TableTime[[Activity]:[Activity]],P$1)=0,"",SUMIFS(TableTime[[Duration]:[Duration]],TableTime[[Date]:[Date]],$B273,TableTime[[Activity]:[Activity]],P$1))</f>
        <v/>
      </c>
      <c r="Q273" s="4" t="str">
        <f>IF(SUMIFS(TableTime[[Duration]:[Duration]],TableTime[[Date]:[Date]],$B273,TableTime[[Activity]:[Activity]],Q$1)=0,"",SUMIFS(TableTime[[Duration]:[Duration]],TableTime[[Date]:[Date]],$B273,TableTime[[Activity]:[Activity]],Q$1))</f>
        <v/>
      </c>
      <c r="R273" s="4" t="str">
        <f>IF(SUMIFS(TableTime[[Duration]:[Duration]],TableTime[[Date]:[Date]],$B273,TableTime[[Activity]:[Activity]],R$1)=0,"",SUMIFS(TableTime[[Duration]:[Duration]],TableTime[[Date]:[Date]],$B273,TableTime[[Activity]:[Activity]],R$1))</f>
        <v/>
      </c>
      <c r="S273" s="130" t="str">
        <f>IF(SUMIFS(TableTime[[Duration]:[Duration]],TableTime[[Date]:[Date]],$B273,TableTime[[Activity]:[Activity]],S$1)=0,"",SUMIFS(TableTime[[Duration]:[Duration]],TableTime[[Date]:[Date]],$B273,TableTime[[Activity]:[Activity]],S$1))</f>
        <v/>
      </c>
      <c r="T273" s="4" t="str">
        <f>IF(SUMIFS(TableTime[[Duration]:[Duration]],TableTime[[Date]:[Date]],$B273,TableTime[[Activity]:[Activity]],T$1)=0,"",SUMIFS(TableTime[[Duration]:[Duration]],TableTime[[Date]:[Date]],$B273,TableTime[[Activity]:[Activity]],T$1))</f>
        <v/>
      </c>
      <c r="U273" s="39" t="str">
        <f>IF(SUMIFS(TableTime[[Duration]:[Duration]],TableTime[[Date]:[Date]],$B273,TableTime[[Activity]:[Activity]],U$1)=0,"",SUMIFS(TableTime[[Duration]:[Duration]],TableTime[[Date]:[Date]],$B273,TableTime[[Activity]:[Activity]],U$1))</f>
        <v/>
      </c>
    </row>
    <row r="274" spans="1:21" x14ac:dyDescent="0.35">
      <c r="A274" s="59" t="str">
        <f t="shared" si="24"/>
        <v>Sat</v>
      </c>
      <c r="B274" s="91">
        <f t="shared" si="26"/>
        <v>45199</v>
      </c>
      <c r="C274" s="60">
        <f t="shared" si="27"/>
        <v>9</v>
      </c>
      <c r="D274" s="61">
        <f t="shared" si="25"/>
        <v>39</v>
      </c>
      <c r="E274" s="103"/>
      <c r="F274" s="60" t="str">
        <f>IFERROR(IF(OR(WEEKDAY(B274,2)=6,WEEKDAY(B274,2)=7),'Month summary'!$D$11,IF(E274="",'Month summary'!$C$11,E274)),"")</f>
        <v>WE</v>
      </c>
      <c r="G274" s="62">
        <f>IF(B274&lt;Time!$B$2,"",IF(F274='Month summary'!$C$11,'Month summary'!$F$2/24,IF(F274="H/2",'Month summary'!$F$2/24/2,0)))</f>
        <v>0</v>
      </c>
      <c r="H274" s="62">
        <f t="shared" si="28"/>
        <v>0</v>
      </c>
      <c r="I274" s="62" t="str">
        <f t="shared" si="29"/>
        <v/>
      </c>
      <c r="J274" s="108"/>
      <c r="K274" s="63" t="str">
        <f>IFERROR(INDEX(TableTime[Time],MATCH(B274,TableTime[Date],0)),"")</f>
        <v/>
      </c>
      <c r="L274" s="62" t="str">
        <f>IF(SUMIFS(TableTime[Duration],TableTime[Date],B274,TableTime[Activity],Projects!$C$9)+SUMIFS(TableTime[Duration],TableTime[Date],B274,TableTime[Activity],Projects!$C$10)+SUMIFS(TableTime[Duration],TableTime[Date],B274,TableTime[Activity],Projects!$C$11)=0,"",SUMIFS(TableTime[Duration],TableTime[Date],B274,TableTime[Activity],Projects!$C$9)+SUMIFS(TableTime[Duration],TableTime[Date],B274,TableTime[Activity],Projects!$C$10)+SUMIFS(TableTime[Duration],TableTime[Date],B274,TableTime[Activity],Projects!$C$11))</f>
        <v/>
      </c>
      <c r="M274" s="62" t="str" cm="1">
        <f t="array" ref="M274">IFERROR(LOOKUP(2,1/(TableTime[Date]=B274),TableTime[Time]),"")</f>
        <v/>
      </c>
      <c r="N274" s="63" t="str">
        <f>IF(SUMIFS(TableTime[[Duration]:[Duration]],TableTime[[Date]:[Date]],$B274,TableTime[[Activity]:[Activity]],N$1)=0,"",SUMIFS(TableTime[[Duration]:[Duration]],TableTime[[Date]:[Date]],$B274,TableTime[[Activity]:[Activity]],N$1))</f>
        <v/>
      </c>
      <c r="O274" s="62" t="str">
        <f>IF(SUMIFS(TableTime[[Duration]:[Duration]],TableTime[[Date]:[Date]],$B274,TableTime[[Activity]:[Activity]],O$1)=0,"",SUMIFS(TableTime[[Duration]:[Duration]],TableTime[[Date]:[Date]],$B274,TableTime[[Activity]:[Activity]],O$1))</f>
        <v/>
      </c>
      <c r="P274" s="62" t="str">
        <f>IF(SUMIFS(TableTime[[Duration]:[Duration]],TableTime[[Date]:[Date]],$B274,TableTime[[Activity]:[Activity]],P$1)=0,"",SUMIFS(TableTime[[Duration]:[Duration]],TableTime[[Date]:[Date]],$B274,TableTime[[Activity]:[Activity]],P$1))</f>
        <v/>
      </c>
      <c r="Q274" s="62" t="str">
        <f>IF(SUMIFS(TableTime[[Duration]:[Duration]],TableTime[[Date]:[Date]],$B274,TableTime[[Activity]:[Activity]],Q$1)=0,"",SUMIFS(TableTime[[Duration]:[Duration]],TableTime[[Date]:[Date]],$B274,TableTime[[Activity]:[Activity]],Q$1))</f>
        <v/>
      </c>
      <c r="R274" s="62" t="str">
        <f>IF(SUMIFS(TableTime[[Duration]:[Duration]],TableTime[[Date]:[Date]],$B274,TableTime[[Activity]:[Activity]],R$1)=0,"",SUMIFS(TableTime[[Duration]:[Duration]],TableTime[[Date]:[Date]],$B274,TableTime[[Activity]:[Activity]],R$1))</f>
        <v/>
      </c>
      <c r="S274" s="131" t="str">
        <f>IF(SUMIFS(TableTime[[Duration]:[Duration]],TableTime[[Date]:[Date]],$B274,TableTime[[Activity]:[Activity]],S$1)=0,"",SUMIFS(TableTime[[Duration]:[Duration]],TableTime[[Date]:[Date]],$B274,TableTime[[Activity]:[Activity]],S$1))</f>
        <v/>
      </c>
      <c r="T274" s="62" t="str">
        <f>IF(SUMIFS(TableTime[[Duration]:[Duration]],TableTime[[Date]:[Date]],$B274,TableTime[[Activity]:[Activity]],T$1)=0,"",SUMIFS(TableTime[[Duration]:[Duration]],TableTime[[Date]:[Date]],$B274,TableTime[[Activity]:[Activity]],T$1))</f>
        <v/>
      </c>
      <c r="U274" s="64" t="str">
        <f>IF(SUMIFS(TableTime[[Duration]:[Duration]],TableTime[[Date]:[Date]],$B274,TableTime[[Activity]:[Activity]],U$1)=0,"",SUMIFS(TableTime[[Duration]:[Duration]],TableTime[[Date]:[Date]],$B274,TableTime[[Activity]:[Activity]],U$1))</f>
        <v/>
      </c>
    </row>
    <row r="275" spans="1:21" x14ac:dyDescent="0.35">
      <c r="A275" s="35" t="str">
        <f t="shared" si="24"/>
        <v>Sun</v>
      </c>
      <c r="B275" s="5">
        <f t="shared" si="26"/>
        <v>45200</v>
      </c>
      <c r="C275" s="1">
        <f t="shared" si="27"/>
        <v>10</v>
      </c>
      <c r="D275" s="2">
        <f t="shared" si="25"/>
        <v>39</v>
      </c>
      <c r="E275" s="102"/>
      <c r="F275" s="1" t="str">
        <f>IFERROR(IF(OR(WEEKDAY(B275,2)=6,WEEKDAY(B275,2)=7),'Month summary'!$D$11,IF(E275="",'Month summary'!$C$11,E275)),"")</f>
        <v>WE</v>
      </c>
      <c r="G275" s="4">
        <f>IF(B275&lt;Time!$B$2,"",IF(F275='Month summary'!$C$11,'Month summary'!$F$2/24,IF(F275="H/2",'Month summary'!$F$2/24/2,0)))</f>
        <v>0</v>
      </c>
      <c r="H275" s="4">
        <f t="shared" si="28"/>
        <v>0</v>
      </c>
      <c r="I275" s="4" t="str">
        <f t="shared" si="29"/>
        <v/>
      </c>
      <c r="J275" s="107"/>
      <c r="K275" s="38" t="str">
        <f>IFERROR(INDEX(TableTime[Time],MATCH(B275,TableTime[Date],0)),"")</f>
        <v/>
      </c>
      <c r="L275" s="4" t="str">
        <f>IF(SUMIFS(TableTime[Duration],TableTime[Date],B275,TableTime[Activity],Projects!$C$9)+SUMIFS(TableTime[Duration],TableTime[Date],B275,TableTime[Activity],Projects!$C$10)+SUMIFS(TableTime[Duration],TableTime[Date],B275,TableTime[Activity],Projects!$C$11)=0,"",SUMIFS(TableTime[Duration],TableTime[Date],B275,TableTime[Activity],Projects!$C$9)+SUMIFS(TableTime[Duration],TableTime[Date],B275,TableTime[Activity],Projects!$C$10)+SUMIFS(TableTime[Duration],TableTime[Date],B275,TableTime[Activity],Projects!$C$11))</f>
        <v/>
      </c>
      <c r="M275" s="4" t="str" cm="1">
        <f t="array" ref="M275">IFERROR(LOOKUP(2,1/(TableTime[Date]=B275),TableTime[Time]),"")</f>
        <v/>
      </c>
      <c r="N275" s="38" t="str">
        <f>IF(SUMIFS(TableTime[[Duration]:[Duration]],TableTime[[Date]:[Date]],$B275,TableTime[[Activity]:[Activity]],N$1)=0,"",SUMIFS(TableTime[[Duration]:[Duration]],TableTime[[Date]:[Date]],$B275,TableTime[[Activity]:[Activity]],N$1))</f>
        <v/>
      </c>
      <c r="O275" s="4" t="str">
        <f>IF(SUMIFS(TableTime[[Duration]:[Duration]],TableTime[[Date]:[Date]],$B275,TableTime[[Activity]:[Activity]],O$1)=0,"",SUMIFS(TableTime[[Duration]:[Duration]],TableTime[[Date]:[Date]],$B275,TableTime[[Activity]:[Activity]],O$1))</f>
        <v/>
      </c>
      <c r="P275" s="4" t="str">
        <f>IF(SUMIFS(TableTime[[Duration]:[Duration]],TableTime[[Date]:[Date]],$B275,TableTime[[Activity]:[Activity]],P$1)=0,"",SUMIFS(TableTime[[Duration]:[Duration]],TableTime[[Date]:[Date]],$B275,TableTime[[Activity]:[Activity]],P$1))</f>
        <v/>
      </c>
      <c r="Q275" s="4" t="str">
        <f>IF(SUMIFS(TableTime[[Duration]:[Duration]],TableTime[[Date]:[Date]],$B275,TableTime[[Activity]:[Activity]],Q$1)=0,"",SUMIFS(TableTime[[Duration]:[Duration]],TableTime[[Date]:[Date]],$B275,TableTime[[Activity]:[Activity]],Q$1))</f>
        <v/>
      </c>
      <c r="R275" s="4" t="str">
        <f>IF(SUMIFS(TableTime[[Duration]:[Duration]],TableTime[[Date]:[Date]],$B275,TableTime[[Activity]:[Activity]],R$1)=0,"",SUMIFS(TableTime[[Duration]:[Duration]],TableTime[[Date]:[Date]],$B275,TableTime[[Activity]:[Activity]],R$1))</f>
        <v/>
      </c>
      <c r="S275" s="130" t="str">
        <f>IF(SUMIFS(TableTime[[Duration]:[Duration]],TableTime[[Date]:[Date]],$B275,TableTime[[Activity]:[Activity]],S$1)=0,"",SUMIFS(TableTime[[Duration]:[Duration]],TableTime[[Date]:[Date]],$B275,TableTime[[Activity]:[Activity]],S$1))</f>
        <v/>
      </c>
      <c r="T275" s="4" t="str">
        <f>IF(SUMIFS(TableTime[[Duration]:[Duration]],TableTime[[Date]:[Date]],$B275,TableTime[[Activity]:[Activity]],T$1)=0,"",SUMIFS(TableTime[[Duration]:[Duration]],TableTime[[Date]:[Date]],$B275,TableTime[[Activity]:[Activity]],T$1))</f>
        <v/>
      </c>
      <c r="U275" s="39" t="str">
        <f>IF(SUMIFS(TableTime[[Duration]:[Duration]],TableTime[[Date]:[Date]],$B275,TableTime[[Activity]:[Activity]],U$1)=0,"",SUMIFS(TableTime[[Duration]:[Duration]],TableTime[[Date]:[Date]],$B275,TableTime[[Activity]:[Activity]],U$1))</f>
        <v/>
      </c>
    </row>
    <row r="276" spans="1:21" x14ac:dyDescent="0.35">
      <c r="A276" s="59" t="str">
        <f t="shared" si="24"/>
        <v>Mon</v>
      </c>
      <c r="B276" s="91">
        <f t="shared" si="26"/>
        <v>45201</v>
      </c>
      <c r="C276" s="60">
        <f t="shared" si="27"/>
        <v>10</v>
      </c>
      <c r="D276" s="61">
        <f t="shared" si="25"/>
        <v>40</v>
      </c>
      <c r="E276" s="103"/>
      <c r="F276" s="60" t="str">
        <f>IFERROR(IF(OR(WEEKDAY(B276,2)=6,WEEKDAY(B276,2)=7),'Month summary'!$D$11,IF(E276="",'Month summary'!$C$11,E276)),"")</f>
        <v>W</v>
      </c>
      <c r="G276" s="62">
        <f>IF(B276&lt;Time!$B$2,"",IF(F276='Month summary'!$C$11,'Month summary'!$F$2/24,IF(F276="H/2",'Month summary'!$F$2/24/2,0)))</f>
        <v>0.33333333333333331</v>
      </c>
      <c r="H276" s="62">
        <f t="shared" si="28"/>
        <v>0</v>
      </c>
      <c r="I276" s="62" t="str">
        <f t="shared" si="29"/>
        <v/>
      </c>
      <c r="J276" s="108"/>
      <c r="K276" s="63" t="str">
        <f>IFERROR(INDEX(TableTime[Time],MATCH(B276,TableTime[Date],0)),"")</f>
        <v/>
      </c>
      <c r="L276" s="62" t="str">
        <f>IF(SUMIFS(TableTime[Duration],TableTime[Date],B276,TableTime[Activity],Projects!$C$9)+SUMIFS(TableTime[Duration],TableTime[Date],B276,TableTime[Activity],Projects!$C$10)+SUMIFS(TableTime[Duration],TableTime[Date],B276,TableTime[Activity],Projects!$C$11)=0,"",SUMIFS(TableTime[Duration],TableTime[Date],B276,TableTime[Activity],Projects!$C$9)+SUMIFS(TableTime[Duration],TableTime[Date],B276,TableTime[Activity],Projects!$C$10)+SUMIFS(TableTime[Duration],TableTime[Date],B276,TableTime[Activity],Projects!$C$11))</f>
        <v/>
      </c>
      <c r="M276" s="62" t="str" cm="1">
        <f t="array" ref="M276">IFERROR(LOOKUP(2,1/(TableTime[Date]=B276),TableTime[Time]),"")</f>
        <v/>
      </c>
      <c r="N276" s="63" t="str">
        <f>IF(SUMIFS(TableTime[[Duration]:[Duration]],TableTime[[Date]:[Date]],$B276,TableTime[[Activity]:[Activity]],N$1)=0,"",SUMIFS(TableTime[[Duration]:[Duration]],TableTime[[Date]:[Date]],$B276,TableTime[[Activity]:[Activity]],N$1))</f>
        <v/>
      </c>
      <c r="O276" s="62" t="str">
        <f>IF(SUMIFS(TableTime[[Duration]:[Duration]],TableTime[[Date]:[Date]],$B276,TableTime[[Activity]:[Activity]],O$1)=0,"",SUMIFS(TableTime[[Duration]:[Duration]],TableTime[[Date]:[Date]],$B276,TableTime[[Activity]:[Activity]],O$1))</f>
        <v/>
      </c>
      <c r="P276" s="62" t="str">
        <f>IF(SUMIFS(TableTime[[Duration]:[Duration]],TableTime[[Date]:[Date]],$B276,TableTime[[Activity]:[Activity]],P$1)=0,"",SUMIFS(TableTime[[Duration]:[Duration]],TableTime[[Date]:[Date]],$B276,TableTime[[Activity]:[Activity]],P$1))</f>
        <v/>
      </c>
      <c r="Q276" s="62" t="str">
        <f>IF(SUMIFS(TableTime[[Duration]:[Duration]],TableTime[[Date]:[Date]],$B276,TableTime[[Activity]:[Activity]],Q$1)=0,"",SUMIFS(TableTime[[Duration]:[Duration]],TableTime[[Date]:[Date]],$B276,TableTime[[Activity]:[Activity]],Q$1))</f>
        <v/>
      </c>
      <c r="R276" s="62" t="str">
        <f>IF(SUMIFS(TableTime[[Duration]:[Duration]],TableTime[[Date]:[Date]],$B276,TableTime[[Activity]:[Activity]],R$1)=0,"",SUMIFS(TableTime[[Duration]:[Duration]],TableTime[[Date]:[Date]],$B276,TableTime[[Activity]:[Activity]],R$1))</f>
        <v/>
      </c>
      <c r="S276" s="131" t="str">
        <f>IF(SUMIFS(TableTime[[Duration]:[Duration]],TableTime[[Date]:[Date]],$B276,TableTime[[Activity]:[Activity]],S$1)=0,"",SUMIFS(TableTime[[Duration]:[Duration]],TableTime[[Date]:[Date]],$B276,TableTime[[Activity]:[Activity]],S$1))</f>
        <v/>
      </c>
      <c r="T276" s="62" t="str">
        <f>IF(SUMIFS(TableTime[[Duration]:[Duration]],TableTime[[Date]:[Date]],$B276,TableTime[[Activity]:[Activity]],T$1)=0,"",SUMIFS(TableTime[[Duration]:[Duration]],TableTime[[Date]:[Date]],$B276,TableTime[[Activity]:[Activity]],T$1))</f>
        <v/>
      </c>
      <c r="U276" s="64" t="str">
        <f>IF(SUMIFS(TableTime[[Duration]:[Duration]],TableTime[[Date]:[Date]],$B276,TableTime[[Activity]:[Activity]],U$1)=0,"",SUMIFS(TableTime[[Duration]:[Duration]],TableTime[[Date]:[Date]],$B276,TableTime[[Activity]:[Activity]],U$1))</f>
        <v/>
      </c>
    </row>
    <row r="277" spans="1:21" x14ac:dyDescent="0.35">
      <c r="A277" s="35" t="str">
        <f t="shared" si="24"/>
        <v>Tue</v>
      </c>
      <c r="B277" s="5">
        <f t="shared" si="26"/>
        <v>45202</v>
      </c>
      <c r="C277" s="1">
        <f t="shared" si="27"/>
        <v>10</v>
      </c>
      <c r="D277" s="2">
        <f t="shared" si="25"/>
        <v>40</v>
      </c>
      <c r="E277" s="102"/>
      <c r="F277" s="1" t="str">
        <f>IFERROR(IF(OR(WEEKDAY(B277,2)=6,WEEKDAY(B277,2)=7),'Month summary'!$D$11,IF(E277="",'Month summary'!$C$11,E277)),"")</f>
        <v>W</v>
      </c>
      <c r="G277" s="4">
        <f>IF(B277&lt;Time!$B$2,"",IF(F277='Month summary'!$C$11,'Month summary'!$F$2/24,IF(F277="H/2",'Month summary'!$F$2/24/2,0)))</f>
        <v>0.33333333333333331</v>
      </c>
      <c r="H277" s="4">
        <f t="shared" si="28"/>
        <v>0</v>
      </c>
      <c r="I277" s="4" t="str">
        <f t="shared" si="29"/>
        <v/>
      </c>
      <c r="J277" s="107"/>
      <c r="K277" s="38" t="str">
        <f>IFERROR(INDEX(TableTime[Time],MATCH(B277,TableTime[Date],0)),"")</f>
        <v/>
      </c>
      <c r="L277" s="4" t="str">
        <f>IF(SUMIFS(TableTime[Duration],TableTime[Date],B277,TableTime[Activity],Projects!$C$9)+SUMIFS(TableTime[Duration],TableTime[Date],B277,TableTime[Activity],Projects!$C$10)+SUMIFS(TableTime[Duration],TableTime[Date],B277,TableTime[Activity],Projects!$C$11)=0,"",SUMIFS(TableTime[Duration],TableTime[Date],B277,TableTime[Activity],Projects!$C$9)+SUMIFS(TableTime[Duration],TableTime[Date],B277,TableTime[Activity],Projects!$C$10)+SUMIFS(TableTime[Duration],TableTime[Date],B277,TableTime[Activity],Projects!$C$11))</f>
        <v/>
      </c>
      <c r="M277" s="4" t="str" cm="1">
        <f t="array" ref="M277">IFERROR(LOOKUP(2,1/(TableTime[Date]=B277),TableTime[Time]),"")</f>
        <v/>
      </c>
      <c r="N277" s="38" t="str">
        <f>IF(SUMIFS(TableTime[[Duration]:[Duration]],TableTime[[Date]:[Date]],$B277,TableTime[[Activity]:[Activity]],N$1)=0,"",SUMIFS(TableTime[[Duration]:[Duration]],TableTime[[Date]:[Date]],$B277,TableTime[[Activity]:[Activity]],N$1))</f>
        <v/>
      </c>
      <c r="O277" s="4" t="str">
        <f>IF(SUMIFS(TableTime[[Duration]:[Duration]],TableTime[[Date]:[Date]],$B277,TableTime[[Activity]:[Activity]],O$1)=0,"",SUMIFS(TableTime[[Duration]:[Duration]],TableTime[[Date]:[Date]],$B277,TableTime[[Activity]:[Activity]],O$1))</f>
        <v/>
      </c>
      <c r="P277" s="4" t="str">
        <f>IF(SUMIFS(TableTime[[Duration]:[Duration]],TableTime[[Date]:[Date]],$B277,TableTime[[Activity]:[Activity]],P$1)=0,"",SUMIFS(TableTime[[Duration]:[Duration]],TableTime[[Date]:[Date]],$B277,TableTime[[Activity]:[Activity]],P$1))</f>
        <v/>
      </c>
      <c r="Q277" s="4" t="str">
        <f>IF(SUMIFS(TableTime[[Duration]:[Duration]],TableTime[[Date]:[Date]],$B277,TableTime[[Activity]:[Activity]],Q$1)=0,"",SUMIFS(TableTime[[Duration]:[Duration]],TableTime[[Date]:[Date]],$B277,TableTime[[Activity]:[Activity]],Q$1))</f>
        <v/>
      </c>
      <c r="R277" s="4" t="str">
        <f>IF(SUMIFS(TableTime[[Duration]:[Duration]],TableTime[[Date]:[Date]],$B277,TableTime[[Activity]:[Activity]],R$1)=0,"",SUMIFS(TableTime[[Duration]:[Duration]],TableTime[[Date]:[Date]],$B277,TableTime[[Activity]:[Activity]],R$1))</f>
        <v/>
      </c>
      <c r="S277" s="130" t="str">
        <f>IF(SUMIFS(TableTime[[Duration]:[Duration]],TableTime[[Date]:[Date]],$B277,TableTime[[Activity]:[Activity]],S$1)=0,"",SUMIFS(TableTime[[Duration]:[Duration]],TableTime[[Date]:[Date]],$B277,TableTime[[Activity]:[Activity]],S$1))</f>
        <v/>
      </c>
      <c r="T277" s="4" t="str">
        <f>IF(SUMIFS(TableTime[[Duration]:[Duration]],TableTime[[Date]:[Date]],$B277,TableTime[[Activity]:[Activity]],T$1)=0,"",SUMIFS(TableTime[[Duration]:[Duration]],TableTime[[Date]:[Date]],$B277,TableTime[[Activity]:[Activity]],T$1))</f>
        <v/>
      </c>
      <c r="U277" s="39" t="str">
        <f>IF(SUMIFS(TableTime[[Duration]:[Duration]],TableTime[[Date]:[Date]],$B277,TableTime[[Activity]:[Activity]],U$1)=0,"",SUMIFS(TableTime[[Duration]:[Duration]],TableTime[[Date]:[Date]],$B277,TableTime[[Activity]:[Activity]],U$1))</f>
        <v/>
      </c>
    </row>
    <row r="278" spans="1:21" x14ac:dyDescent="0.35">
      <c r="A278" s="59" t="str">
        <f t="shared" si="24"/>
        <v>Wed</v>
      </c>
      <c r="B278" s="91">
        <f t="shared" si="26"/>
        <v>45203</v>
      </c>
      <c r="C278" s="60">
        <f t="shared" si="27"/>
        <v>10</v>
      </c>
      <c r="D278" s="61">
        <f t="shared" si="25"/>
        <v>40</v>
      </c>
      <c r="E278" s="103"/>
      <c r="F278" s="60" t="str">
        <f>IFERROR(IF(OR(WEEKDAY(B278,2)=6,WEEKDAY(B278,2)=7),'Month summary'!$D$11,IF(E278="",'Month summary'!$C$11,E278)),"")</f>
        <v>W</v>
      </c>
      <c r="G278" s="62">
        <f>IF(B278&lt;Time!$B$2,"",IF(F278='Month summary'!$C$11,'Month summary'!$F$2/24,IF(F278="H/2",'Month summary'!$F$2/24/2,0)))</f>
        <v>0.33333333333333331</v>
      </c>
      <c r="H278" s="62">
        <f t="shared" si="28"/>
        <v>0</v>
      </c>
      <c r="I278" s="62" t="str">
        <f t="shared" si="29"/>
        <v/>
      </c>
      <c r="J278" s="108"/>
      <c r="K278" s="63" t="str">
        <f>IFERROR(INDEX(TableTime[Time],MATCH(B278,TableTime[Date],0)),"")</f>
        <v/>
      </c>
      <c r="L278" s="62" t="str">
        <f>IF(SUMIFS(TableTime[Duration],TableTime[Date],B278,TableTime[Activity],Projects!$C$9)+SUMIFS(TableTime[Duration],TableTime[Date],B278,TableTime[Activity],Projects!$C$10)+SUMIFS(TableTime[Duration],TableTime[Date],B278,TableTime[Activity],Projects!$C$11)=0,"",SUMIFS(TableTime[Duration],TableTime[Date],B278,TableTime[Activity],Projects!$C$9)+SUMIFS(TableTime[Duration],TableTime[Date],B278,TableTime[Activity],Projects!$C$10)+SUMIFS(TableTime[Duration],TableTime[Date],B278,TableTime[Activity],Projects!$C$11))</f>
        <v/>
      </c>
      <c r="M278" s="62" t="str" cm="1">
        <f t="array" ref="M278">IFERROR(LOOKUP(2,1/(TableTime[Date]=B278),TableTime[Time]),"")</f>
        <v/>
      </c>
      <c r="N278" s="63" t="str">
        <f>IF(SUMIFS(TableTime[[Duration]:[Duration]],TableTime[[Date]:[Date]],$B278,TableTime[[Activity]:[Activity]],N$1)=0,"",SUMIFS(TableTime[[Duration]:[Duration]],TableTime[[Date]:[Date]],$B278,TableTime[[Activity]:[Activity]],N$1))</f>
        <v/>
      </c>
      <c r="O278" s="62" t="str">
        <f>IF(SUMIFS(TableTime[[Duration]:[Duration]],TableTime[[Date]:[Date]],$B278,TableTime[[Activity]:[Activity]],O$1)=0,"",SUMIFS(TableTime[[Duration]:[Duration]],TableTime[[Date]:[Date]],$B278,TableTime[[Activity]:[Activity]],O$1))</f>
        <v/>
      </c>
      <c r="P278" s="62" t="str">
        <f>IF(SUMIFS(TableTime[[Duration]:[Duration]],TableTime[[Date]:[Date]],$B278,TableTime[[Activity]:[Activity]],P$1)=0,"",SUMIFS(TableTime[[Duration]:[Duration]],TableTime[[Date]:[Date]],$B278,TableTime[[Activity]:[Activity]],P$1))</f>
        <v/>
      </c>
      <c r="Q278" s="62" t="str">
        <f>IF(SUMIFS(TableTime[[Duration]:[Duration]],TableTime[[Date]:[Date]],$B278,TableTime[[Activity]:[Activity]],Q$1)=0,"",SUMIFS(TableTime[[Duration]:[Duration]],TableTime[[Date]:[Date]],$B278,TableTime[[Activity]:[Activity]],Q$1))</f>
        <v/>
      </c>
      <c r="R278" s="62" t="str">
        <f>IF(SUMIFS(TableTime[[Duration]:[Duration]],TableTime[[Date]:[Date]],$B278,TableTime[[Activity]:[Activity]],R$1)=0,"",SUMIFS(TableTime[[Duration]:[Duration]],TableTime[[Date]:[Date]],$B278,TableTime[[Activity]:[Activity]],R$1))</f>
        <v/>
      </c>
      <c r="S278" s="131" t="str">
        <f>IF(SUMIFS(TableTime[[Duration]:[Duration]],TableTime[[Date]:[Date]],$B278,TableTime[[Activity]:[Activity]],S$1)=0,"",SUMIFS(TableTime[[Duration]:[Duration]],TableTime[[Date]:[Date]],$B278,TableTime[[Activity]:[Activity]],S$1))</f>
        <v/>
      </c>
      <c r="T278" s="62" t="str">
        <f>IF(SUMIFS(TableTime[[Duration]:[Duration]],TableTime[[Date]:[Date]],$B278,TableTime[[Activity]:[Activity]],T$1)=0,"",SUMIFS(TableTime[[Duration]:[Duration]],TableTime[[Date]:[Date]],$B278,TableTime[[Activity]:[Activity]],T$1))</f>
        <v/>
      </c>
      <c r="U278" s="64" t="str">
        <f>IF(SUMIFS(TableTime[[Duration]:[Duration]],TableTime[[Date]:[Date]],$B278,TableTime[[Activity]:[Activity]],U$1)=0,"",SUMIFS(TableTime[[Duration]:[Duration]],TableTime[[Date]:[Date]],$B278,TableTime[[Activity]:[Activity]],U$1))</f>
        <v/>
      </c>
    </row>
    <row r="279" spans="1:21" x14ac:dyDescent="0.35">
      <c r="A279" s="35" t="str">
        <f t="shared" si="24"/>
        <v>Thr</v>
      </c>
      <c r="B279" s="5">
        <f t="shared" si="26"/>
        <v>45204</v>
      </c>
      <c r="C279" s="1">
        <f t="shared" si="27"/>
        <v>10</v>
      </c>
      <c r="D279" s="2">
        <f t="shared" si="25"/>
        <v>40</v>
      </c>
      <c r="E279" s="102"/>
      <c r="F279" s="1" t="str">
        <f>IFERROR(IF(OR(WEEKDAY(B279,2)=6,WEEKDAY(B279,2)=7),'Month summary'!$D$11,IF(E279="",'Month summary'!$C$11,E279)),"")</f>
        <v>W</v>
      </c>
      <c r="G279" s="4">
        <f>IF(B279&lt;Time!$B$2,"",IF(F279='Month summary'!$C$11,'Month summary'!$F$2/24,IF(F279="H/2",'Month summary'!$F$2/24/2,0)))</f>
        <v>0.33333333333333331</v>
      </c>
      <c r="H279" s="4">
        <f t="shared" si="28"/>
        <v>0</v>
      </c>
      <c r="I279" s="4" t="str">
        <f t="shared" si="29"/>
        <v/>
      </c>
      <c r="J279" s="107"/>
      <c r="K279" s="38" t="str">
        <f>IFERROR(INDEX(TableTime[Time],MATCH(B279,TableTime[Date],0)),"")</f>
        <v/>
      </c>
      <c r="L279" s="4" t="str">
        <f>IF(SUMIFS(TableTime[Duration],TableTime[Date],B279,TableTime[Activity],Projects!$C$9)+SUMIFS(TableTime[Duration],TableTime[Date],B279,TableTime[Activity],Projects!$C$10)+SUMIFS(TableTime[Duration],TableTime[Date],B279,TableTime[Activity],Projects!$C$11)=0,"",SUMIFS(TableTime[Duration],TableTime[Date],B279,TableTime[Activity],Projects!$C$9)+SUMIFS(TableTime[Duration],TableTime[Date],B279,TableTime[Activity],Projects!$C$10)+SUMIFS(TableTime[Duration],TableTime[Date],B279,TableTime[Activity],Projects!$C$11))</f>
        <v/>
      </c>
      <c r="M279" s="4" t="str" cm="1">
        <f t="array" ref="M279">IFERROR(LOOKUP(2,1/(TableTime[Date]=B279),TableTime[Time]),"")</f>
        <v/>
      </c>
      <c r="N279" s="38" t="str">
        <f>IF(SUMIFS(TableTime[[Duration]:[Duration]],TableTime[[Date]:[Date]],$B279,TableTime[[Activity]:[Activity]],N$1)=0,"",SUMIFS(TableTime[[Duration]:[Duration]],TableTime[[Date]:[Date]],$B279,TableTime[[Activity]:[Activity]],N$1))</f>
        <v/>
      </c>
      <c r="O279" s="4" t="str">
        <f>IF(SUMIFS(TableTime[[Duration]:[Duration]],TableTime[[Date]:[Date]],$B279,TableTime[[Activity]:[Activity]],O$1)=0,"",SUMIFS(TableTime[[Duration]:[Duration]],TableTime[[Date]:[Date]],$B279,TableTime[[Activity]:[Activity]],O$1))</f>
        <v/>
      </c>
      <c r="P279" s="4" t="str">
        <f>IF(SUMIFS(TableTime[[Duration]:[Duration]],TableTime[[Date]:[Date]],$B279,TableTime[[Activity]:[Activity]],P$1)=0,"",SUMIFS(TableTime[[Duration]:[Duration]],TableTime[[Date]:[Date]],$B279,TableTime[[Activity]:[Activity]],P$1))</f>
        <v/>
      </c>
      <c r="Q279" s="4" t="str">
        <f>IF(SUMIFS(TableTime[[Duration]:[Duration]],TableTime[[Date]:[Date]],$B279,TableTime[[Activity]:[Activity]],Q$1)=0,"",SUMIFS(TableTime[[Duration]:[Duration]],TableTime[[Date]:[Date]],$B279,TableTime[[Activity]:[Activity]],Q$1))</f>
        <v/>
      </c>
      <c r="R279" s="4" t="str">
        <f>IF(SUMIFS(TableTime[[Duration]:[Duration]],TableTime[[Date]:[Date]],$B279,TableTime[[Activity]:[Activity]],R$1)=0,"",SUMIFS(TableTime[[Duration]:[Duration]],TableTime[[Date]:[Date]],$B279,TableTime[[Activity]:[Activity]],R$1))</f>
        <v/>
      </c>
      <c r="S279" s="130" t="str">
        <f>IF(SUMIFS(TableTime[[Duration]:[Duration]],TableTime[[Date]:[Date]],$B279,TableTime[[Activity]:[Activity]],S$1)=0,"",SUMIFS(TableTime[[Duration]:[Duration]],TableTime[[Date]:[Date]],$B279,TableTime[[Activity]:[Activity]],S$1))</f>
        <v/>
      </c>
      <c r="T279" s="4" t="str">
        <f>IF(SUMIFS(TableTime[[Duration]:[Duration]],TableTime[[Date]:[Date]],$B279,TableTime[[Activity]:[Activity]],T$1)=0,"",SUMIFS(TableTime[[Duration]:[Duration]],TableTime[[Date]:[Date]],$B279,TableTime[[Activity]:[Activity]],T$1))</f>
        <v/>
      </c>
      <c r="U279" s="39" t="str">
        <f>IF(SUMIFS(TableTime[[Duration]:[Duration]],TableTime[[Date]:[Date]],$B279,TableTime[[Activity]:[Activity]],U$1)=0,"",SUMIFS(TableTime[[Duration]:[Duration]],TableTime[[Date]:[Date]],$B279,TableTime[[Activity]:[Activity]],U$1))</f>
        <v/>
      </c>
    </row>
    <row r="280" spans="1:21" x14ac:dyDescent="0.35">
      <c r="A280" s="59" t="str">
        <f t="shared" si="24"/>
        <v>Fri</v>
      </c>
      <c r="B280" s="91">
        <f t="shared" si="26"/>
        <v>45205</v>
      </c>
      <c r="C280" s="60">
        <f t="shared" si="27"/>
        <v>10</v>
      </c>
      <c r="D280" s="61">
        <f t="shared" si="25"/>
        <v>40</v>
      </c>
      <c r="E280" s="103"/>
      <c r="F280" s="60" t="str">
        <f>IFERROR(IF(OR(WEEKDAY(B280,2)=6,WEEKDAY(B280,2)=7),'Month summary'!$D$11,IF(E280="",'Month summary'!$C$11,E280)),"")</f>
        <v>W</v>
      </c>
      <c r="G280" s="62">
        <f>IF(B280&lt;Time!$B$2,"",IF(F280='Month summary'!$C$11,'Month summary'!$F$2/24,IF(F280="H/2",'Month summary'!$F$2/24/2,0)))</f>
        <v>0.33333333333333331</v>
      </c>
      <c r="H280" s="62">
        <f t="shared" si="28"/>
        <v>0</v>
      </c>
      <c r="I280" s="62" t="str">
        <f t="shared" si="29"/>
        <v/>
      </c>
      <c r="J280" s="108"/>
      <c r="K280" s="63" t="str">
        <f>IFERROR(INDEX(TableTime[Time],MATCH(B280,TableTime[Date],0)),"")</f>
        <v/>
      </c>
      <c r="L280" s="62" t="str">
        <f>IF(SUMIFS(TableTime[Duration],TableTime[Date],B280,TableTime[Activity],Projects!$C$9)+SUMIFS(TableTime[Duration],TableTime[Date],B280,TableTime[Activity],Projects!$C$10)+SUMIFS(TableTime[Duration],TableTime[Date],B280,TableTime[Activity],Projects!$C$11)=0,"",SUMIFS(TableTime[Duration],TableTime[Date],B280,TableTime[Activity],Projects!$C$9)+SUMIFS(TableTime[Duration],TableTime[Date],B280,TableTime[Activity],Projects!$C$10)+SUMIFS(TableTime[Duration],TableTime[Date],B280,TableTime[Activity],Projects!$C$11))</f>
        <v/>
      </c>
      <c r="M280" s="62" t="str" cm="1">
        <f t="array" ref="M280">IFERROR(LOOKUP(2,1/(TableTime[Date]=B280),TableTime[Time]),"")</f>
        <v/>
      </c>
      <c r="N280" s="63" t="str">
        <f>IF(SUMIFS(TableTime[[Duration]:[Duration]],TableTime[[Date]:[Date]],$B280,TableTime[[Activity]:[Activity]],N$1)=0,"",SUMIFS(TableTime[[Duration]:[Duration]],TableTime[[Date]:[Date]],$B280,TableTime[[Activity]:[Activity]],N$1))</f>
        <v/>
      </c>
      <c r="O280" s="62" t="str">
        <f>IF(SUMIFS(TableTime[[Duration]:[Duration]],TableTime[[Date]:[Date]],$B280,TableTime[[Activity]:[Activity]],O$1)=0,"",SUMIFS(TableTime[[Duration]:[Duration]],TableTime[[Date]:[Date]],$B280,TableTime[[Activity]:[Activity]],O$1))</f>
        <v/>
      </c>
      <c r="P280" s="62" t="str">
        <f>IF(SUMIFS(TableTime[[Duration]:[Duration]],TableTime[[Date]:[Date]],$B280,TableTime[[Activity]:[Activity]],P$1)=0,"",SUMIFS(TableTime[[Duration]:[Duration]],TableTime[[Date]:[Date]],$B280,TableTime[[Activity]:[Activity]],P$1))</f>
        <v/>
      </c>
      <c r="Q280" s="62" t="str">
        <f>IF(SUMIFS(TableTime[[Duration]:[Duration]],TableTime[[Date]:[Date]],$B280,TableTime[[Activity]:[Activity]],Q$1)=0,"",SUMIFS(TableTime[[Duration]:[Duration]],TableTime[[Date]:[Date]],$B280,TableTime[[Activity]:[Activity]],Q$1))</f>
        <v/>
      </c>
      <c r="R280" s="62" t="str">
        <f>IF(SUMIFS(TableTime[[Duration]:[Duration]],TableTime[[Date]:[Date]],$B280,TableTime[[Activity]:[Activity]],R$1)=0,"",SUMIFS(TableTime[[Duration]:[Duration]],TableTime[[Date]:[Date]],$B280,TableTime[[Activity]:[Activity]],R$1))</f>
        <v/>
      </c>
      <c r="S280" s="131" t="str">
        <f>IF(SUMIFS(TableTime[[Duration]:[Duration]],TableTime[[Date]:[Date]],$B280,TableTime[[Activity]:[Activity]],S$1)=0,"",SUMIFS(TableTime[[Duration]:[Duration]],TableTime[[Date]:[Date]],$B280,TableTime[[Activity]:[Activity]],S$1))</f>
        <v/>
      </c>
      <c r="T280" s="62" t="str">
        <f>IF(SUMIFS(TableTime[[Duration]:[Duration]],TableTime[[Date]:[Date]],$B280,TableTime[[Activity]:[Activity]],T$1)=0,"",SUMIFS(TableTime[[Duration]:[Duration]],TableTime[[Date]:[Date]],$B280,TableTime[[Activity]:[Activity]],T$1))</f>
        <v/>
      </c>
      <c r="U280" s="64" t="str">
        <f>IF(SUMIFS(TableTime[[Duration]:[Duration]],TableTime[[Date]:[Date]],$B280,TableTime[[Activity]:[Activity]],U$1)=0,"",SUMIFS(TableTime[[Duration]:[Duration]],TableTime[[Date]:[Date]],$B280,TableTime[[Activity]:[Activity]],U$1))</f>
        <v/>
      </c>
    </row>
    <row r="281" spans="1:21" x14ac:dyDescent="0.35">
      <c r="A281" s="35" t="str">
        <f t="shared" si="24"/>
        <v>Sat</v>
      </c>
      <c r="B281" s="5">
        <f t="shared" si="26"/>
        <v>45206</v>
      </c>
      <c r="C281" s="1">
        <f t="shared" si="27"/>
        <v>10</v>
      </c>
      <c r="D281" s="2">
        <f t="shared" si="25"/>
        <v>40</v>
      </c>
      <c r="E281" s="102"/>
      <c r="F281" s="1" t="str">
        <f>IFERROR(IF(OR(WEEKDAY(B281,2)=6,WEEKDAY(B281,2)=7),'Month summary'!$D$11,IF(E281="",'Month summary'!$C$11,E281)),"")</f>
        <v>WE</v>
      </c>
      <c r="G281" s="4">
        <f>IF(B281&lt;Time!$B$2,"",IF(F281='Month summary'!$C$11,'Month summary'!$F$2/24,IF(F281="H/2",'Month summary'!$F$2/24/2,0)))</f>
        <v>0</v>
      </c>
      <c r="H281" s="4">
        <f t="shared" si="28"/>
        <v>0</v>
      </c>
      <c r="I281" s="4" t="str">
        <f t="shared" si="29"/>
        <v/>
      </c>
      <c r="J281" s="107"/>
      <c r="K281" s="38" t="str">
        <f>IFERROR(INDEX(TableTime[Time],MATCH(B281,TableTime[Date],0)),"")</f>
        <v/>
      </c>
      <c r="L281" s="4" t="str">
        <f>IF(SUMIFS(TableTime[Duration],TableTime[Date],B281,TableTime[Activity],Projects!$C$9)+SUMIFS(TableTime[Duration],TableTime[Date],B281,TableTime[Activity],Projects!$C$10)+SUMIFS(TableTime[Duration],TableTime[Date],B281,TableTime[Activity],Projects!$C$11)=0,"",SUMIFS(TableTime[Duration],TableTime[Date],B281,TableTime[Activity],Projects!$C$9)+SUMIFS(TableTime[Duration],TableTime[Date],B281,TableTime[Activity],Projects!$C$10)+SUMIFS(TableTime[Duration],TableTime[Date],B281,TableTime[Activity],Projects!$C$11))</f>
        <v/>
      </c>
      <c r="M281" s="4" t="str" cm="1">
        <f t="array" ref="M281">IFERROR(LOOKUP(2,1/(TableTime[Date]=B281),TableTime[Time]),"")</f>
        <v/>
      </c>
      <c r="N281" s="38" t="str">
        <f>IF(SUMIFS(TableTime[[Duration]:[Duration]],TableTime[[Date]:[Date]],$B281,TableTime[[Activity]:[Activity]],N$1)=0,"",SUMIFS(TableTime[[Duration]:[Duration]],TableTime[[Date]:[Date]],$B281,TableTime[[Activity]:[Activity]],N$1))</f>
        <v/>
      </c>
      <c r="O281" s="4" t="str">
        <f>IF(SUMIFS(TableTime[[Duration]:[Duration]],TableTime[[Date]:[Date]],$B281,TableTime[[Activity]:[Activity]],O$1)=0,"",SUMIFS(TableTime[[Duration]:[Duration]],TableTime[[Date]:[Date]],$B281,TableTime[[Activity]:[Activity]],O$1))</f>
        <v/>
      </c>
      <c r="P281" s="4" t="str">
        <f>IF(SUMIFS(TableTime[[Duration]:[Duration]],TableTime[[Date]:[Date]],$B281,TableTime[[Activity]:[Activity]],P$1)=0,"",SUMIFS(TableTime[[Duration]:[Duration]],TableTime[[Date]:[Date]],$B281,TableTime[[Activity]:[Activity]],P$1))</f>
        <v/>
      </c>
      <c r="Q281" s="4" t="str">
        <f>IF(SUMIFS(TableTime[[Duration]:[Duration]],TableTime[[Date]:[Date]],$B281,TableTime[[Activity]:[Activity]],Q$1)=0,"",SUMIFS(TableTime[[Duration]:[Duration]],TableTime[[Date]:[Date]],$B281,TableTime[[Activity]:[Activity]],Q$1))</f>
        <v/>
      </c>
      <c r="R281" s="4" t="str">
        <f>IF(SUMIFS(TableTime[[Duration]:[Duration]],TableTime[[Date]:[Date]],$B281,TableTime[[Activity]:[Activity]],R$1)=0,"",SUMIFS(TableTime[[Duration]:[Duration]],TableTime[[Date]:[Date]],$B281,TableTime[[Activity]:[Activity]],R$1))</f>
        <v/>
      </c>
      <c r="S281" s="130" t="str">
        <f>IF(SUMIFS(TableTime[[Duration]:[Duration]],TableTime[[Date]:[Date]],$B281,TableTime[[Activity]:[Activity]],S$1)=0,"",SUMIFS(TableTime[[Duration]:[Duration]],TableTime[[Date]:[Date]],$B281,TableTime[[Activity]:[Activity]],S$1))</f>
        <v/>
      </c>
      <c r="T281" s="4" t="str">
        <f>IF(SUMIFS(TableTime[[Duration]:[Duration]],TableTime[[Date]:[Date]],$B281,TableTime[[Activity]:[Activity]],T$1)=0,"",SUMIFS(TableTime[[Duration]:[Duration]],TableTime[[Date]:[Date]],$B281,TableTime[[Activity]:[Activity]],T$1))</f>
        <v/>
      </c>
      <c r="U281" s="39" t="str">
        <f>IF(SUMIFS(TableTime[[Duration]:[Duration]],TableTime[[Date]:[Date]],$B281,TableTime[[Activity]:[Activity]],U$1)=0,"",SUMIFS(TableTime[[Duration]:[Duration]],TableTime[[Date]:[Date]],$B281,TableTime[[Activity]:[Activity]],U$1))</f>
        <v/>
      </c>
    </row>
    <row r="282" spans="1:21" x14ac:dyDescent="0.35">
      <c r="A282" s="59" t="str">
        <f t="shared" si="24"/>
        <v>Sun</v>
      </c>
      <c r="B282" s="91">
        <f t="shared" si="26"/>
        <v>45207</v>
      </c>
      <c r="C282" s="60">
        <f t="shared" si="27"/>
        <v>10</v>
      </c>
      <c r="D282" s="61">
        <f t="shared" si="25"/>
        <v>40</v>
      </c>
      <c r="E282" s="103"/>
      <c r="F282" s="60" t="str">
        <f>IFERROR(IF(OR(WEEKDAY(B282,2)=6,WEEKDAY(B282,2)=7),'Month summary'!$D$11,IF(E282="",'Month summary'!$C$11,E282)),"")</f>
        <v>WE</v>
      </c>
      <c r="G282" s="62">
        <f>IF(B282&lt;Time!$B$2,"",IF(F282='Month summary'!$C$11,'Month summary'!$F$2/24,IF(F282="H/2",'Month summary'!$F$2/24/2,0)))</f>
        <v>0</v>
      </c>
      <c r="H282" s="62">
        <f t="shared" si="28"/>
        <v>0</v>
      </c>
      <c r="I282" s="62" t="str">
        <f t="shared" si="29"/>
        <v/>
      </c>
      <c r="J282" s="108"/>
      <c r="K282" s="63" t="str">
        <f>IFERROR(INDEX(TableTime[Time],MATCH(B282,TableTime[Date],0)),"")</f>
        <v/>
      </c>
      <c r="L282" s="62" t="str">
        <f>IF(SUMIFS(TableTime[Duration],TableTime[Date],B282,TableTime[Activity],Projects!$C$9)+SUMIFS(TableTime[Duration],TableTime[Date],B282,TableTime[Activity],Projects!$C$10)+SUMIFS(TableTime[Duration],TableTime[Date],B282,TableTime[Activity],Projects!$C$11)=0,"",SUMIFS(TableTime[Duration],TableTime[Date],B282,TableTime[Activity],Projects!$C$9)+SUMIFS(TableTime[Duration],TableTime[Date],B282,TableTime[Activity],Projects!$C$10)+SUMIFS(TableTime[Duration],TableTime[Date],B282,TableTime[Activity],Projects!$C$11))</f>
        <v/>
      </c>
      <c r="M282" s="62" t="str" cm="1">
        <f t="array" ref="M282">IFERROR(LOOKUP(2,1/(TableTime[Date]=B282),TableTime[Time]),"")</f>
        <v/>
      </c>
      <c r="N282" s="63" t="str">
        <f>IF(SUMIFS(TableTime[[Duration]:[Duration]],TableTime[[Date]:[Date]],$B282,TableTime[[Activity]:[Activity]],N$1)=0,"",SUMIFS(TableTime[[Duration]:[Duration]],TableTime[[Date]:[Date]],$B282,TableTime[[Activity]:[Activity]],N$1))</f>
        <v/>
      </c>
      <c r="O282" s="62" t="str">
        <f>IF(SUMIFS(TableTime[[Duration]:[Duration]],TableTime[[Date]:[Date]],$B282,TableTime[[Activity]:[Activity]],O$1)=0,"",SUMIFS(TableTime[[Duration]:[Duration]],TableTime[[Date]:[Date]],$B282,TableTime[[Activity]:[Activity]],O$1))</f>
        <v/>
      </c>
      <c r="P282" s="62" t="str">
        <f>IF(SUMIFS(TableTime[[Duration]:[Duration]],TableTime[[Date]:[Date]],$B282,TableTime[[Activity]:[Activity]],P$1)=0,"",SUMIFS(TableTime[[Duration]:[Duration]],TableTime[[Date]:[Date]],$B282,TableTime[[Activity]:[Activity]],P$1))</f>
        <v/>
      </c>
      <c r="Q282" s="62" t="str">
        <f>IF(SUMIFS(TableTime[[Duration]:[Duration]],TableTime[[Date]:[Date]],$B282,TableTime[[Activity]:[Activity]],Q$1)=0,"",SUMIFS(TableTime[[Duration]:[Duration]],TableTime[[Date]:[Date]],$B282,TableTime[[Activity]:[Activity]],Q$1))</f>
        <v/>
      </c>
      <c r="R282" s="62" t="str">
        <f>IF(SUMIFS(TableTime[[Duration]:[Duration]],TableTime[[Date]:[Date]],$B282,TableTime[[Activity]:[Activity]],R$1)=0,"",SUMIFS(TableTime[[Duration]:[Duration]],TableTime[[Date]:[Date]],$B282,TableTime[[Activity]:[Activity]],R$1))</f>
        <v/>
      </c>
      <c r="S282" s="131" t="str">
        <f>IF(SUMIFS(TableTime[[Duration]:[Duration]],TableTime[[Date]:[Date]],$B282,TableTime[[Activity]:[Activity]],S$1)=0,"",SUMIFS(TableTime[[Duration]:[Duration]],TableTime[[Date]:[Date]],$B282,TableTime[[Activity]:[Activity]],S$1))</f>
        <v/>
      </c>
      <c r="T282" s="62" t="str">
        <f>IF(SUMIFS(TableTime[[Duration]:[Duration]],TableTime[[Date]:[Date]],$B282,TableTime[[Activity]:[Activity]],T$1)=0,"",SUMIFS(TableTime[[Duration]:[Duration]],TableTime[[Date]:[Date]],$B282,TableTime[[Activity]:[Activity]],T$1))</f>
        <v/>
      </c>
      <c r="U282" s="64" t="str">
        <f>IF(SUMIFS(TableTime[[Duration]:[Duration]],TableTime[[Date]:[Date]],$B282,TableTime[[Activity]:[Activity]],U$1)=0,"",SUMIFS(TableTime[[Duration]:[Duration]],TableTime[[Date]:[Date]],$B282,TableTime[[Activity]:[Activity]],U$1))</f>
        <v/>
      </c>
    </row>
    <row r="283" spans="1:21" x14ac:dyDescent="0.35">
      <c r="A283" s="35" t="str">
        <f t="shared" si="24"/>
        <v>Mon</v>
      </c>
      <c r="B283" s="5">
        <f t="shared" si="26"/>
        <v>45208</v>
      </c>
      <c r="C283" s="1">
        <f t="shared" si="27"/>
        <v>10</v>
      </c>
      <c r="D283" s="2">
        <f t="shared" si="25"/>
        <v>41</v>
      </c>
      <c r="E283" s="102"/>
      <c r="F283" s="1" t="str">
        <f>IFERROR(IF(OR(WEEKDAY(B283,2)=6,WEEKDAY(B283,2)=7),'Month summary'!$D$11,IF(E283="",'Month summary'!$C$11,E283)),"")</f>
        <v>W</v>
      </c>
      <c r="G283" s="4">
        <f>IF(B283&lt;Time!$B$2,"",IF(F283='Month summary'!$C$11,'Month summary'!$F$2/24,IF(F283="H/2",'Month summary'!$F$2/24/2,0)))</f>
        <v>0.33333333333333331</v>
      </c>
      <c r="H283" s="4">
        <f t="shared" si="28"/>
        <v>0</v>
      </c>
      <c r="I283" s="4" t="str">
        <f t="shared" si="29"/>
        <v/>
      </c>
      <c r="J283" s="107"/>
      <c r="K283" s="38" t="str">
        <f>IFERROR(INDEX(TableTime[Time],MATCH(B283,TableTime[Date],0)),"")</f>
        <v/>
      </c>
      <c r="L283" s="4" t="str">
        <f>IF(SUMIFS(TableTime[Duration],TableTime[Date],B283,TableTime[Activity],Projects!$C$9)+SUMIFS(TableTime[Duration],TableTime[Date],B283,TableTime[Activity],Projects!$C$10)+SUMIFS(TableTime[Duration],TableTime[Date],B283,TableTime[Activity],Projects!$C$11)=0,"",SUMIFS(TableTime[Duration],TableTime[Date],B283,TableTime[Activity],Projects!$C$9)+SUMIFS(TableTime[Duration],TableTime[Date],B283,TableTime[Activity],Projects!$C$10)+SUMIFS(TableTime[Duration],TableTime[Date],B283,TableTime[Activity],Projects!$C$11))</f>
        <v/>
      </c>
      <c r="M283" s="4" t="str" cm="1">
        <f t="array" ref="M283">IFERROR(LOOKUP(2,1/(TableTime[Date]=B283),TableTime[Time]),"")</f>
        <v/>
      </c>
      <c r="N283" s="38" t="str">
        <f>IF(SUMIFS(TableTime[[Duration]:[Duration]],TableTime[[Date]:[Date]],$B283,TableTime[[Activity]:[Activity]],N$1)=0,"",SUMIFS(TableTime[[Duration]:[Duration]],TableTime[[Date]:[Date]],$B283,TableTime[[Activity]:[Activity]],N$1))</f>
        <v/>
      </c>
      <c r="O283" s="4" t="str">
        <f>IF(SUMIFS(TableTime[[Duration]:[Duration]],TableTime[[Date]:[Date]],$B283,TableTime[[Activity]:[Activity]],O$1)=0,"",SUMIFS(TableTime[[Duration]:[Duration]],TableTime[[Date]:[Date]],$B283,TableTime[[Activity]:[Activity]],O$1))</f>
        <v/>
      </c>
      <c r="P283" s="4" t="str">
        <f>IF(SUMIFS(TableTime[[Duration]:[Duration]],TableTime[[Date]:[Date]],$B283,TableTime[[Activity]:[Activity]],P$1)=0,"",SUMIFS(TableTime[[Duration]:[Duration]],TableTime[[Date]:[Date]],$B283,TableTime[[Activity]:[Activity]],P$1))</f>
        <v/>
      </c>
      <c r="Q283" s="4" t="str">
        <f>IF(SUMIFS(TableTime[[Duration]:[Duration]],TableTime[[Date]:[Date]],$B283,TableTime[[Activity]:[Activity]],Q$1)=0,"",SUMIFS(TableTime[[Duration]:[Duration]],TableTime[[Date]:[Date]],$B283,TableTime[[Activity]:[Activity]],Q$1))</f>
        <v/>
      </c>
      <c r="R283" s="4" t="str">
        <f>IF(SUMIFS(TableTime[[Duration]:[Duration]],TableTime[[Date]:[Date]],$B283,TableTime[[Activity]:[Activity]],R$1)=0,"",SUMIFS(TableTime[[Duration]:[Duration]],TableTime[[Date]:[Date]],$B283,TableTime[[Activity]:[Activity]],R$1))</f>
        <v/>
      </c>
      <c r="S283" s="130" t="str">
        <f>IF(SUMIFS(TableTime[[Duration]:[Duration]],TableTime[[Date]:[Date]],$B283,TableTime[[Activity]:[Activity]],S$1)=0,"",SUMIFS(TableTime[[Duration]:[Duration]],TableTime[[Date]:[Date]],$B283,TableTime[[Activity]:[Activity]],S$1))</f>
        <v/>
      </c>
      <c r="T283" s="4" t="str">
        <f>IF(SUMIFS(TableTime[[Duration]:[Duration]],TableTime[[Date]:[Date]],$B283,TableTime[[Activity]:[Activity]],T$1)=0,"",SUMIFS(TableTime[[Duration]:[Duration]],TableTime[[Date]:[Date]],$B283,TableTime[[Activity]:[Activity]],T$1))</f>
        <v/>
      </c>
      <c r="U283" s="39" t="str">
        <f>IF(SUMIFS(TableTime[[Duration]:[Duration]],TableTime[[Date]:[Date]],$B283,TableTime[[Activity]:[Activity]],U$1)=0,"",SUMIFS(TableTime[[Duration]:[Duration]],TableTime[[Date]:[Date]],$B283,TableTime[[Activity]:[Activity]],U$1))</f>
        <v/>
      </c>
    </row>
    <row r="284" spans="1:21" x14ac:dyDescent="0.35">
      <c r="A284" s="59" t="str">
        <f t="shared" si="24"/>
        <v>Tue</v>
      </c>
      <c r="B284" s="91">
        <f t="shared" si="26"/>
        <v>45209</v>
      </c>
      <c r="C284" s="60">
        <f t="shared" si="27"/>
        <v>10</v>
      </c>
      <c r="D284" s="61">
        <f t="shared" si="25"/>
        <v>41</v>
      </c>
      <c r="E284" s="103"/>
      <c r="F284" s="60" t="str">
        <f>IFERROR(IF(OR(WEEKDAY(B284,2)=6,WEEKDAY(B284,2)=7),'Month summary'!$D$11,IF(E284="",'Month summary'!$C$11,E284)),"")</f>
        <v>W</v>
      </c>
      <c r="G284" s="62">
        <f>IF(B284&lt;Time!$B$2,"",IF(F284='Month summary'!$C$11,'Month summary'!$F$2/24,IF(F284="H/2",'Month summary'!$F$2/24/2,0)))</f>
        <v>0.33333333333333331</v>
      </c>
      <c r="H284" s="62">
        <f t="shared" si="28"/>
        <v>0</v>
      </c>
      <c r="I284" s="62" t="str">
        <f t="shared" si="29"/>
        <v/>
      </c>
      <c r="J284" s="108"/>
      <c r="K284" s="63" t="str">
        <f>IFERROR(INDEX(TableTime[Time],MATCH(B284,TableTime[Date],0)),"")</f>
        <v/>
      </c>
      <c r="L284" s="62" t="str">
        <f>IF(SUMIFS(TableTime[Duration],TableTime[Date],B284,TableTime[Activity],Projects!$C$9)+SUMIFS(TableTime[Duration],TableTime[Date],B284,TableTime[Activity],Projects!$C$10)+SUMIFS(TableTime[Duration],TableTime[Date],B284,TableTime[Activity],Projects!$C$11)=0,"",SUMIFS(TableTime[Duration],TableTime[Date],B284,TableTime[Activity],Projects!$C$9)+SUMIFS(TableTime[Duration],TableTime[Date],B284,TableTime[Activity],Projects!$C$10)+SUMIFS(TableTime[Duration],TableTime[Date],B284,TableTime[Activity],Projects!$C$11))</f>
        <v/>
      </c>
      <c r="M284" s="62" t="str" cm="1">
        <f t="array" ref="M284">IFERROR(LOOKUP(2,1/(TableTime[Date]=B284),TableTime[Time]),"")</f>
        <v/>
      </c>
      <c r="N284" s="63" t="str">
        <f>IF(SUMIFS(TableTime[[Duration]:[Duration]],TableTime[[Date]:[Date]],$B284,TableTime[[Activity]:[Activity]],N$1)=0,"",SUMIFS(TableTime[[Duration]:[Duration]],TableTime[[Date]:[Date]],$B284,TableTime[[Activity]:[Activity]],N$1))</f>
        <v/>
      </c>
      <c r="O284" s="62" t="str">
        <f>IF(SUMIFS(TableTime[[Duration]:[Duration]],TableTime[[Date]:[Date]],$B284,TableTime[[Activity]:[Activity]],O$1)=0,"",SUMIFS(TableTime[[Duration]:[Duration]],TableTime[[Date]:[Date]],$B284,TableTime[[Activity]:[Activity]],O$1))</f>
        <v/>
      </c>
      <c r="P284" s="62" t="str">
        <f>IF(SUMIFS(TableTime[[Duration]:[Duration]],TableTime[[Date]:[Date]],$B284,TableTime[[Activity]:[Activity]],P$1)=0,"",SUMIFS(TableTime[[Duration]:[Duration]],TableTime[[Date]:[Date]],$B284,TableTime[[Activity]:[Activity]],P$1))</f>
        <v/>
      </c>
      <c r="Q284" s="62" t="str">
        <f>IF(SUMIFS(TableTime[[Duration]:[Duration]],TableTime[[Date]:[Date]],$B284,TableTime[[Activity]:[Activity]],Q$1)=0,"",SUMIFS(TableTime[[Duration]:[Duration]],TableTime[[Date]:[Date]],$B284,TableTime[[Activity]:[Activity]],Q$1))</f>
        <v/>
      </c>
      <c r="R284" s="62" t="str">
        <f>IF(SUMIFS(TableTime[[Duration]:[Duration]],TableTime[[Date]:[Date]],$B284,TableTime[[Activity]:[Activity]],R$1)=0,"",SUMIFS(TableTime[[Duration]:[Duration]],TableTime[[Date]:[Date]],$B284,TableTime[[Activity]:[Activity]],R$1))</f>
        <v/>
      </c>
      <c r="S284" s="131" t="str">
        <f>IF(SUMIFS(TableTime[[Duration]:[Duration]],TableTime[[Date]:[Date]],$B284,TableTime[[Activity]:[Activity]],S$1)=0,"",SUMIFS(TableTime[[Duration]:[Duration]],TableTime[[Date]:[Date]],$B284,TableTime[[Activity]:[Activity]],S$1))</f>
        <v/>
      </c>
      <c r="T284" s="62" t="str">
        <f>IF(SUMIFS(TableTime[[Duration]:[Duration]],TableTime[[Date]:[Date]],$B284,TableTime[[Activity]:[Activity]],T$1)=0,"",SUMIFS(TableTime[[Duration]:[Duration]],TableTime[[Date]:[Date]],$B284,TableTime[[Activity]:[Activity]],T$1))</f>
        <v/>
      </c>
      <c r="U284" s="64" t="str">
        <f>IF(SUMIFS(TableTime[[Duration]:[Duration]],TableTime[[Date]:[Date]],$B284,TableTime[[Activity]:[Activity]],U$1)=0,"",SUMIFS(TableTime[[Duration]:[Duration]],TableTime[[Date]:[Date]],$B284,TableTime[[Activity]:[Activity]],U$1))</f>
        <v/>
      </c>
    </row>
    <row r="285" spans="1:21" x14ac:dyDescent="0.35">
      <c r="A285" s="35" t="str">
        <f t="shared" si="24"/>
        <v>Wed</v>
      </c>
      <c r="B285" s="5">
        <f t="shared" si="26"/>
        <v>45210</v>
      </c>
      <c r="C285" s="1">
        <f t="shared" si="27"/>
        <v>10</v>
      </c>
      <c r="D285" s="2">
        <f t="shared" si="25"/>
        <v>41</v>
      </c>
      <c r="E285" s="102"/>
      <c r="F285" s="1" t="str">
        <f>IFERROR(IF(OR(WEEKDAY(B285,2)=6,WEEKDAY(B285,2)=7),'Month summary'!$D$11,IF(E285="",'Month summary'!$C$11,E285)),"")</f>
        <v>W</v>
      </c>
      <c r="G285" s="4">
        <f>IF(B285&lt;Time!$B$2,"",IF(F285='Month summary'!$C$11,'Month summary'!$F$2/24,IF(F285="H/2",'Month summary'!$F$2/24/2,0)))</f>
        <v>0.33333333333333331</v>
      </c>
      <c r="H285" s="4">
        <f t="shared" si="28"/>
        <v>0</v>
      </c>
      <c r="I285" s="4" t="str">
        <f t="shared" si="29"/>
        <v/>
      </c>
      <c r="J285" s="107"/>
      <c r="K285" s="38" t="str">
        <f>IFERROR(INDEX(TableTime[Time],MATCH(B285,TableTime[Date],0)),"")</f>
        <v/>
      </c>
      <c r="L285" s="4" t="str">
        <f>IF(SUMIFS(TableTime[Duration],TableTime[Date],B285,TableTime[Activity],Projects!$C$9)+SUMIFS(TableTime[Duration],TableTime[Date],B285,TableTime[Activity],Projects!$C$10)+SUMIFS(TableTime[Duration],TableTime[Date],B285,TableTime[Activity],Projects!$C$11)=0,"",SUMIFS(TableTime[Duration],TableTime[Date],B285,TableTime[Activity],Projects!$C$9)+SUMIFS(TableTime[Duration],TableTime[Date],B285,TableTime[Activity],Projects!$C$10)+SUMIFS(TableTime[Duration],TableTime[Date],B285,TableTime[Activity],Projects!$C$11))</f>
        <v/>
      </c>
      <c r="M285" s="4" t="str" cm="1">
        <f t="array" ref="M285">IFERROR(LOOKUP(2,1/(TableTime[Date]=B285),TableTime[Time]),"")</f>
        <v/>
      </c>
      <c r="N285" s="38" t="str">
        <f>IF(SUMIFS(TableTime[[Duration]:[Duration]],TableTime[[Date]:[Date]],$B285,TableTime[[Activity]:[Activity]],N$1)=0,"",SUMIFS(TableTime[[Duration]:[Duration]],TableTime[[Date]:[Date]],$B285,TableTime[[Activity]:[Activity]],N$1))</f>
        <v/>
      </c>
      <c r="O285" s="4" t="str">
        <f>IF(SUMIFS(TableTime[[Duration]:[Duration]],TableTime[[Date]:[Date]],$B285,TableTime[[Activity]:[Activity]],O$1)=0,"",SUMIFS(TableTime[[Duration]:[Duration]],TableTime[[Date]:[Date]],$B285,TableTime[[Activity]:[Activity]],O$1))</f>
        <v/>
      </c>
      <c r="P285" s="4" t="str">
        <f>IF(SUMIFS(TableTime[[Duration]:[Duration]],TableTime[[Date]:[Date]],$B285,TableTime[[Activity]:[Activity]],P$1)=0,"",SUMIFS(TableTime[[Duration]:[Duration]],TableTime[[Date]:[Date]],$B285,TableTime[[Activity]:[Activity]],P$1))</f>
        <v/>
      </c>
      <c r="Q285" s="4" t="str">
        <f>IF(SUMIFS(TableTime[[Duration]:[Duration]],TableTime[[Date]:[Date]],$B285,TableTime[[Activity]:[Activity]],Q$1)=0,"",SUMIFS(TableTime[[Duration]:[Duration]],TableTime[[Date]:[Date]],$B285,TableTime[[Activity]:[Activity]],Q$1))</f>
        <v/>
      </c>
      <c r="R285" s="4" t="str">
        <f>IF(SUMIFS(TableTime[[Duration]:[Duration]],TableTime[[Date]:[Date]],$B285,TableTime[[Activity]:[Activity]],R$1)=0,"",SUMIFS(TableTime[[Duration]:[Duration]],TableTime[[Date]:[Date]],$B285,TableTime[[Activity]:[Activity]],R$1))</f>
        <v/>
      </c>
      <c r="S285" s="130" t="str">
        <f>IF(SUMIFS(TableTime[[Duration]:[Duration]],TableTime[[Date]:[Date]],$B285,TableTime[[Activity]:[Activity]],S$1)=0,"",SUMIFS(TableTime[[Duration]:[Duration]],TableTime[[Date]:[Date]],$B285,TableTime[[Activity]:[Activity]],S$1))</f>
        <v/>
      </c>
      <c r="T285" s="4" t="str">
        <f>IF(SUMIFS(TableTime[[Duration]:[Duration]],TableTime[[Date]:[Date]],$B285,TableTime[[Activity]:[Activity]],T$1)=0,"",SUMIFS(TableTime[[Duration]:[Duration]],TableTime[[Date]:[Date]],$B285,TableTime[[Activity]:[Activity]],T$1))</f>
        <v/>
      </c>
      <c r="U285" s="39" t="str">
        <f>IF(SUMIFS(TableTime[[Duration]:[Duration]],TableTime[[Date]:[Date]],$B285,TableTime[[Activity]:[Activity]],U$1)=0,"",SUMIFS(TableTime[[Duration]:[Duration]],TableTime[[Date]:[Date]],$B285,TableTime[[Activity]:[Activity]],U$1))</f>
        <v/>
      </c>
    </row>
    <row r="286" spans="1:21" x14ac:dyDescent="0.35">
      <c r="A286" s="59" t="str">
        <f t="shared" si="24"/>
        <v>Thr</v>
      </c>
      <c r="B286" s="91">
        <f t="shared" si="26"/>
        <v>45211</v>
      </c>
      <c r="C286" s="60">
        <f t="shared" si="27"/>
        <v>10</v>
      </c>
      <c r="D286" s="61">
        <f t="shared" si="25"/>
        <v>41</v>
      </c>
      <c r="E286" s="103"/>
      <c r="F286" s="60" t="str">
        <f>IFERROR(IF(OR(WEEKDAY(B286,2)=6,WEEKDAY(B286,2)=7),'Month summary'!$D$11,IF(E286="",'Month summary'!$C$11,E286)),"")</f>
        <v>W</v>
      </c>
      <c r="G286" s="62">
        <f>IF(B286&lt;Time!$B$2,"",IF(F286='Month summary'!$C$11,'Month summary'!$F$2/24,IF(F286="H/2",'Month summary'!$F$2/24/2,0)))</f>
        <v>0.33333333333333331</v>
      </c>
      <c r="H286" s="62">
        <f t="shared" si="28"/>
        <v>0</v>
      </c>
      <c r="I286" s="62" t="str">
        <f t="shared" si="29"/>
        <v/>
      </c>
      <c r="J286" s="108"/>
      <c r="K286" s="63" t="str">
        <f>IFERROR(INDEX(TableTime[Time],MATCH(B286,TableTime[Date],0)),"")</f>
        <v/>
      </c>
      <c r="L286" s="62" t="str">
        <f>IF(SUMIFS(TableTime[Duration],TableTime[Date],B286,TableTime[Activity],Projects!$C$9)+SUMIFS(TableTime[Duration],TableTime[Date],B286,TableTime[Activity],Projects!$C$10)+SUMIFS(TableTime[Duration],TableTime[Date],B286,TableTime[Activity],Projects!$C$11)=0,"",SUMIFS(TableTime[Duration],TableTime[Date],B286,TableTime[Activity],Projects!$C$9)+SUMIFS(TableTime[Duration],TableTime[Date],B286,TableTime[Activity],Projects!$C$10)+SUMIFS(TableTime[Duration],TableTime[Date],B286,TableTime[Activity],Projects!$C$11))</f>
        <v/>
      </c>
      <c r="M286" s="62" t="str" cm="1">
        <f t="array" ref="M286">IFERROR(LOOKUP(2,1/(TableTime[Date]=B286),TableTime[Time]),"")</f>
        <v/>
      </c>
      <c r="N286" s="63" t="str">
        <f>IF(SUMIFS(TableTime[[Duration]:[Duration]],TableTime[[Date]:[Date]],$B286,TableTime[[Activity]:[Activity]],N$1)=0,"",SUMIFS(TableTime[[Duration]:[Duration]],TableTime[[Date]:[Date]],$B286,TableTime[[Activity]:[Activity]],N$1))</f>
        <v/>
      </c>
      <c r="O286" s="62" t="str">
        <f>IF(SUMIFS(TableTime[[Duration]:[Duration]],TableTime[[Date]:[Date]],$B286,TableTime[[Activity]:[Activity]],O$1)=0,"",SUMIFS(TableTime[[Duration]:[Duration]],TableTime[[Date]:[Date]],$B286,TableTime[[Activity]:[Activity]],O$1))</f>
        <v/>
      </c>
      <c r="P286" s="62" t="str">
        <f>IF(SUMIFS(TableTime[[Duration]:[Duration]],TableTime[[Date]:[Date]],$B286,TableTime[[Activity]:[Activity]],P$1)=0,"",SUMIFS(TableTime[[Duration]:[Duration]],TableTime[[Date]:[Date]],$B286,TableTime[[Activity]:[Activity]],P$1))</f>
        <v/>
      </c>
      <c r="Q286" s="62" t="str">
        <f>IF(SUMIFS(TableTime[[Duration]:[Duration]],TableTime[[Date]:[Date]],$B286,TableTime[[Activity]:[Activity]],Q$1)=0,"",SUMIFS(TableTime[[Duration]:[Duration]],TableTime[[Date]:[Date]],$B286,TableTime[[Activity]:[Activity]],Q$1))</f>
        <v/>
      </c>
      <c r="R286" s="62" t="str">
        <f>IF(SUMIFS(TableTime[[Duration]:[Duration]],TableTime[[Date]:[Date]],$B286,TableTime[[Activity]:[Activity]],R$1)=0,"",SUMIFS(TableTime[[Duration]:[Duration]],TableTime[[Date]:[Date]],$B286,TableTime[[Activity]:[Activity]],R$1))</f>
        <v/>
      </c>
      <c r="S286" s="131" t="str">
        <f>IF(SUMIFS(TableTime[[Duration]:[Duration]],TableTime[[Date]:[Date]],$B286,TableTime[[Activity]:[Activity]],S$1)=0,"",SUMIFS(TableTime[[Duration]:[Duration]],TableTime[[Date]:[Date]],$B286,TableTime[[Activity]:[Activity]],S$1))</f>
        <v/>
      </c>
      <c r="T286" s="62" t="str">
        <f>IF(SUMIFS(TableTime[[Duration]:[Duration]],TableTime[[Date]:[Date]],$B286,TableTime[[Activity]:[Activity]],T$1)=0,"",SUMIFS(TableTime[[Duration]:[Duration]],TableTime[[Date]:[Date]],$B286,TableTime[[Activity]:[Activity]],T$1))</f>
        <v/>
      </c>
      <c r="U286" s="64" t="str">
        <f>IF(SUMIFS(TableTime[[Duration]:[Duration]],TableTime[[Date]:[Date]],$B286,TableTime[[Activity]:[Activity]],U$1)=0,"",SUMIFS(TableTime[[Duration]:[Duration]],TableTime[[Date]:[Date]],$B286,TableTime[[Activity]:[Activity]],U$1))</f>
        <v/>
      </c>
    </row>
    <row r="287" spans="1:21" x14ac:dyDescent="0.35">
      <c r="A287" s="35" t="str">
        <f t="shared" si="24"/>
        <v>Fri</v>
      </c>
      <c r="B287" s="5">
        <f t="shared" si="26"/>
        <v>45212</v>
      </c>
      <c r="C287" s="1">
        <f t="shared" si="27"/>
        <v>10</v>
      </c>
      <c r="D287" s="2">
        <f t="shared" si="25"/>
        <v>41</v>
      </c>
      <c r="E287" s="102"/>
      <c r="F287" s="1" t="str">
        <f>IFERROR(IF(OR(WEEKDAY(B287,2)=6,WEEKDAY(B287,2)=7),'Month summary'!$D$11,IF(E287="",'Month summary'!$C$11,E287)),"")</f>
        <v>W</v>
      </c>
      <c r="G287" s="4">
        <f>IF(B287&lt;Time!$B$2,"",IF(F287='Month summary'!$C$11,'Month summary'!$F$2/24,IF(F287="H/2",'Month summary'!$F$2/24/2,0)))</f>
        <v>0.33333333333333331</v>
      </c>
      <c r="H287" s="4">
        <f t="shared" si="28"/>
        <v>0</v>
      </c>
      <c r="I287" s="4" t="str">
        <f t="shared" si="29"/>
        <v/>
      </c>
      <c r="J287" s="107"/>
      <c r="K287" s="38" t="str">
        <f>IFERROR(INDEX(TableTime[Time],MATCH(B287,TableTime[Date],0)),"")</f>
        <v/>
      </c>
      <c r="L287" s="4" t="str">
        <f>IF(SUMIFS(TableTime[Duration],TableTime[Date],B287,TableTime[Activity],Projects!$C$9)+SUMIFS(TableTime[Duration],TableTime[Date],B287,TableTime[Activity],Projects!$C$10)+SUMIFS(TableTime[Duration],TableTime[Date],B287,TableTime[Activity],Projects!$C$11)=0,"",SUMIFS(TableTime[Duration],TableTime[Date],B287,TableTime[Activity],Projects!$C$9)+SUMIFS(TableTime[Duration],TableTime[Date],B287,TableTime[Activity],Projects!$C$10)+SUMIFS(TableTime[Duration],TableTime[Date],B287,TableTime[Activity],Projects!$C$11))</f>
        <v/>
      </c>
      <c r="M287" s="4" t="str" cm="1">
        <f t="array" ref="M287">IFERROR(LOOKUP(2,1/(TableTime[Date]=B287),TableTime[Time]),"")</f>
        <v/>
      </c>
      <c r="N287" s="38" t="str">
        <f>IF(SUMIFS(TableTime[[Duration]:[Duration]],TableTime[[Date]:[Date]],$B287,TableTime[[Activity]:[Activity]],N$1)=0,"",SUMIFS(TableTime[[Duration]:[Duration]],TableTime[[Date]:[Date]],$B287,TableTime[[Activity]:[Activity]],N$1))</f>
        <v/>
      </c>
      <c r="O287" s="4" t="str">
        <f>IF(SUMIFS(TableTime[[Duration]:[Duration]],TableTime[[Date]:[Date]],$B287,TableTime[[Activity]:[Activity]],O$1)=0,"",SUMIFS(TableTime[[Duration]:[Duration]],TableTime[[Date]:[Date]],$B287,TableTime[[Activity]:[Activity]],O$1))</f>
        <v/>
      </c>
      <c r="P287" s="4" t="str">
        <f>IF(SUMIFS(TableTime[[Duration]:[Duration]],TableTime[[Date]:[Date]],$B287,TableTime[[Activity]:[Activity]],P$1)=0,"",SUMIFS(TableTime[[Duration]:[Duration]],TableTime[[Date]:[Date]],$B287,TableTime[[Activity]:[Activity]],P$1))</f>
        <v/>
      </c>
      <c r="Q287" s="4" t="str">
        <f>IF(SUMIFS(TableTime[[Duration]:[Duration]],TableTime[[Date]:[Date]],$B287,TableTime[[Activity]:[Activity]],Q$1)=0,"",SUMIFS(TableTime[[Duration]:[Duration]],TableTime[[Date]:[Date]],$B287,TableTime[[Activity]:[Activity]],Q$1))</f>
        <v/>
      </c>
      <c r="R287" s="4" t="str">
        <f>IF(SUMIFS(TableTime[[Duration]:[Duration]],TableTime[[Date]:[Date]],$B287,TableTime[[Activity]:[Activity]],R$1)=0,"",SUMIFS(TableTime[[Duration]:[Duration]],TableTime[[Date]:[Date]],$B287,TableTime[[Activity]:[Activity]],R$1))</f>
        <v/>
      </c>
      <c r="S287" s="130" t="str">
        <f>IF(SUMIFS(TableTime[[Duration]:[Duration]],TableTime[[Date]:[Date]],$B287,TableTime[[Activity]:[Activity]],S$1)=0,"",SUMIFS(TableTime[[Duration]:[Duration]],TableTime[[Date]:[Date]],$B287,TableTime[[Activity]:[Activity]],S$1))</f>
        <v/>
      </c>
      <c r="T287" s="4" t="str">
        <f>IF(SUMIFS(TableTime[[Duration]:[Duration]],TableTime[[Date]:[Date]],$B287,TableTime[[Activity]:[Activity]],T$1)=0,"",SUMIFS(TableTime[[Duration]:[Duration]],TableTime[[Date]:[Date]],$B287,TableTime[[Activity]:[Activity]],T$1))</f>
        <v/>
      </c>
      <c r="U287" s="39" t="str">
        <f>IF(SUMIFS(TableTime[[Duration]:[Duration]],TableTime[[Date]:[Date]],$B287,TableTime[[Activity]:[Activity]],U$1)=0,"",SUMIFS(TableTime[[Duration]:[Duration]],TableTime[[Date]:[Date]],$B287,TableTime[[Activity]:[Activity]],U$1))</f>
        <v/>
      </c>
    </row>
    <row r="288" spans="1:21" x14ac:dyDescent="0.35">
      <c r="A288" s="59" t="str">
        <f t="shared" si="24"/>
        <v>Sat</v>
      </c>
      <c r="B288" s="91">
        <f t="shared" si="26"/>
        <v>45213</v>
      </c>
      <c r="C288" s="60">
        <f t="shared" si="27"/>
        <v>10</v>
      </c>
      <c r="D288" s="61">
        <f t="shared" si="25"/>
        <v>41</v>
      </c>
      <c r="E288" s="103"/>
      <c r="F288" s="60" t="str">
        <f>IFERROR(IF(OR(WEEKDAY(B288,2)=6,WEEKDAY(B288,2)=7),'Month summary'!$D$11,IF(E288="",'Month summary'!$C$11,E288)),"")</f>
        <v>WE</v>
      </c>
      <c r="G288" s="62">
        <f>IF(B288&lt;Time!$B$2,"",IF(F288='Month summary'!$C$11,'Month summary'!$F$2/24,IF(F288="H/2",'Month summary'!$F$2/24/2,0)))</f>
        <v>0</v>
      </c>
      <c r="H288" s="62">
        <f t="shared" si="28"/>
        <v>0</v>
      </c>
      <c r="I288" s="62" t="str">
        <f t="shared" si="29"/>
        <v/>
      </c>
      <c r="J288" s="108"/>
      <c r="K288" s="63" t="str">
        <f>IFERROR(INDEX(TableTime[Time],MATCH(B288,TableTime[Date],0)),"")</f>
        <v/>
      </c>
      <c r="L288" s="62" t="str">
        <f>IF(SUMIFS(TableTime[Duration],TableTime[Date],B288,TableTime[Activity],Projects!$C$9)+SUMIFS(TableTime[Duration],TableTime[Date],B288,TableTime[Activity],Projects!$C$10)+SUMIFS(TableTime[Duration],TableTime[Date],B288,TableTime[Activity],Projects!$C$11)=0,"",SUMIFS(TableTime[Duration],TableTime[Date],B288,TableTime[Activity],Projects!$C$9)+SUMIFS(TableTime[Duration],TableTime[Date],B288,TableTime[Activity],Projects!$C$10)+SUMIFS(TableTime[Duration],TableTime[Date],B288,TableTime[Activity],Projects!$C$11))</f>
        <v/>
      </c>
      <c r="M288" s="62" t="str" cm="1">
        <f t="array" ref="M288">IFERROR(LOOKUP(2,1/(TableTime[Date]=B288),TableTime[Time]),"")</f>
        <v/>
      </c>
      <c r="N288" s="63" t="str">
        <f>IF(SUMIFS(TableTime[[Duration]:[Duration]],TableTime[[Date]:[Date]],$B288,TableTime[[Activity]:[Activity]],N$1)=0,"",SUMIFS(TableTime[[Duration]:[Duration]],TableTime[[Date]:[Date]],$B288,TableTime[[Activity]:[Activity]],N$1))</f>
        <v/>
      </c>
      <c r="O288" s="62" t="str">
        <f>IF(SUMIFS(TableTime[[Duration]:[Duration]],TableTime[[Date]:[Date]],$B288,TableTime[[Activity]:[Activity]],O$1)=0,"",SUMIFS(TableTime[[Duration]:[Duration]],TableTime[[Date]:[Date]],$B288,TableTime[[Activity]:[Activity]],O$1))</f>
        <v/>
      </c>
      <c r="P288" s="62" t="str">
        <f>IF(SUMIFS(TableTime[[Duration]:[Duration]],TableTime[[Date]:[Date]],$B288,TableTime[[Activity]:[Activity]],P$1)=0,"",SUMIFS(TableTime[[Duration]:[Duration]],TableTime[[Date]:[Date]],$B288,TableTime[[Activity]:[Activity]],P$1))</f>
        <v/>
      </c>
      <c r="Q288" s="62" t="str">
        <f>IF(SUMIFS(TableTime[[Duration]:[Duration]],TableTime[[Date]:[Date]],$B288,TableTime[[Activity]:[Activity]],Q$1)=0,"",SUMIFS(TableTime[[Duration]:[Duration]],TableTime[[Date]:[Date]],$B288,TableTime[[Activity]:[Activity]],Q$1))</f>
        <v/>
      </c>
      <c r="R288" s="62" t="str">
        <f>IF(SUMIFS(TableTime[[Duration]:[Duration]],TableTime[[Date]:[Date]],$B288,TableTime[[Activity]:[Activity]],R$1)=0,"",SUMIFS(TableTime[[Duration]:[Duration]],TableTime[[Date]:[Date]],$B288,TableTime[[Activity]:[Activity]],R$1))</f>
        <v/>
      </c>
      <c r="S288" s="131" t="str">
        <f>IF(SUMIFS(TableTime[[Duration]:[Duration]],TableTime[[Date]:[Date]],$B288,TableTime[[Activity]:[Activity]],S$1)=0,"",SUMIFS(TableTime[[Duration]:[Duration]],TableTime[[Date]:[Date]],$B288,TableTime[[Activity]:[Activity]],S$1))</f>
        <v/>
      </c>
      <c r="T288" s="62" t="str">
        <f>IF(SUMIFS(TableTime[[Duration]:[Duration]],TableTime[[Date]:[Date]],$B288,TableTime[[Activity]:[Activity]],T$1)=0,"",SUMIFS(TableTime[[Duration]:[Duration]],TableTime[[Date]:[Date]],$B288,TableTime[[Activity]:[Activity]],T$1))</f>
        <v/>
      </c>
      <c r="U288" s="64" t="str">
        <f>IF(SUMIFS(TableTime[[Duration]:[Duration]],TableTime[[Date]:[Date]],$B288,TableTime[[Activity]:[Activity]],U$1)=0,"",SUMIFS(TableTime[[Duration]:[Duration]],TableTime[[Date]:[Date]],$B288,TableTime[[Activity]:[Activity]],U$1))</f>
        <v/>
      </c>
    </row>
    <row r="289" spans="1:21" x14ac:dyDescent="0.35">
      <c r="A289" s="35" t="str">
        <f t="shared" si="24"/>
        <v>Sun</v>
      </c>
      <c r="B289" s="5">
        <f t="shared" si="26"/>
        <v>45214</v>
      </c>
      <c r="C289" s="1">
        <f t="shared" si="27"/>
        <v>10</v>
      </c>
      <c r="D289" s="2">
        <f t="shared" si="25"/>
        <v>41</v>
      </c>
      <c r="E289" s="102"/>
      <c r="F289" s="1" t="str">
        <f>IFERROR(IF(OR(WEEKDAY(B289,2)=6,WEEKDAY(B289,2)=7),'Month summary'!$D$11,IF(E289="",'Month summary'!$C$11,E289)),"")</f>
        <v>WE</v>
      </c>
      <c r="G289" s="4">
        <f>IF(B289&lt;Time!$B$2,"",IF(F289='Month summary'!$C$11,'Month summary'!$F$2/24,IF(F289="H/2",'Month summary'!$F$2/24/2,0)))</f>
        <v>0</v>
      </c>
      <c r="H289" s="4">
        <f t="shared" si="28"/>
        <v>0</v>
      </c>
      <c r="I289" s="4" t="str">
        <f t="shared" si="29"/>
        <v/>
      </c>
      <c r="J289" s="107"/>
      <c r="K289" s="38" t="str">
        <f>IFERROR(INDEX(TableTime[Time],MATCH(B289,TableTime[Date],0)),"")</f>
        <v/>
      </c>
      <c r="L289" s="4" t="str">
        <f>IF(SUMIFS(TableTime[Duration],TableTime[Date],B289,TableTime[Activity],Projects!$C$9)+SUMIFS(TableTime[Duration],TableTime[Date],B289,TableTime[Activity],Projects!$C$10)+SUMIFS(TableTime[Duration],TableTime[Date],B289,TableTime[Activity],Projects!$C$11)=0,"",SUMIFS(TableTime[Duration],TableTime[Date],B289,TableTime[Activity],Projects!$C$9)+SUMIFS(TableTime[Duration],TableTime[Date],B289,TableTime[Activity],Projects!$C$10)+SUMIFS(TableTime[Duration],TableTime[Date],B289,TableTime[Activity],Projects!$C$11))</f>
        <v/>
      </c>
      <c r="M289" s="4" t="str" cm="1">
        <f t="array" ref="M289">IFERROR(LOOKUP(2,1/(TableTime[Date]=B289),TableTime[Time]),"")</f>
        <v/>
      </c>
      <c r="N289" s="38" t="str">
        <f>IF(SUMIFS(TableTime[[Duration]:[Duration]],TableTime[[Date]:[Date]],$B289,TableTime[[Activity]:[Activity]],N$1)=0,"",SUMIFS(TableTime[[Duration]:[Duration]],TableTime[[Date]:[Date]],$B289,TableTime[[Activity]:[Activity]],N$1))</f>
        <v/>
      </c>
      <c r="O289" s="4" t="str">
        <f>IF(SUMIFS(TableTime[[Duration]:[Duration]],TableTime[[Date]:[Date]],$B289,TableTime[[Activity]:[Activity]],O$1)=0,"",SUMIFS(TableTime[[Duration]:[Duration]],TableTime[[Date]:[Date]],$B289,TableTime[[Activity]:[Activity]],O$1))</f>
        <v/>
      </c>
      <c r="P289" s="4" t="str">
        <f>IF(SUMIFS(TableTime[[Duration]:[Duration]],TableTime[[Date]:[Date]],$B289,TableTime[[Activity]:[Activity]],P$1)=0,"",SUMIFS(TableTime[[Duration]:[Duration]],TableTime[[Date]:[Date]],$B289,TableTime[[Activity]:[Activity]],P$1))</f>
        <v/>
      </c>
      <c r="Q289" s="4" t="str">
        <f>IF(SUMIFS(TableTime[[Duration]:[Duration]],TableTime[[Date]:[Date]],$B289,TableTime[[Activity]:[Activity]],Q$1)=0,"",SUMIFS(TableTime[[Duration]:[Duration]],TableTime[[Date]:[Date]],$B289,TableTime[[Activity]:[Activity]],Q$1))</f>
        <v/>
      </c>
      <c r="R289" s="4" t="str">
        <f>IF(SUMIFS(TableTime[[Duration]:[Duration]],TableTime[[Date]:[Date]],$B289,TableTime[[Activity]:[Activity]],R$1)=0,"",SUMIFS(TableTime[[Duration]:[Duration]],TableTime[[Date]:[Date]],$B289,TableTime[[Activity]:[Activity]],R$1))</f>
        <v/>
      </c>
      <c r="S289" s="130" t="str">
        <f>IF(SUMIFS(TableTime[[Duration]:[Duration]],TableTime[[Date]:[Date]],$B289,TableTime[[Activity]:[Activity]],S$1)=0,"",SUMIFS(TableTime[[Duration]:[Duration]],TableTime[[Date]:[Date]],$B289,TableTime[[Activity]:[Activity]],S$1))</f>
        <v/>
      </c>
      <c r="T289" s="4" t="str">
        <f>IF(SUMIFS(TableTime[[Duration]:[Duration]],TableTime[[Date]:[Date]],$B289,TableTime[[Activity]:[Activity]],T$1)=0,"",SUMIFS(TableTime[[Duration]:[Duration]],TableTime[[Date]:[Date]],$B289,TableTime[[Activity]:[Activity]],T$1))</f>
        <v/>
      </c>
      <c r="U289" s="39" t="str">
        <f>IF(SUMIFS(TableTime[[Duration]:[Duration]],TableTime[[Date]:[Date]],$B289,TableTime[[Activity]:[Activity]],U$1)=0,"",SUMIFS(TableTime[[Duration]:[Duration]],TableTime[[Date]:[Date]],$B289,TableTime[[Activity]:[Activity]],U$1))</f>
        <v/>
      </c>
    </row>
    <row r="290" spans="1:21" x14ac:dyDescent="0.35">
      <c r="A290" s="59" t="str">
        <f t="shared" si="24"/>
        <v>Mon</v>
      </c>
      <c r="B290" s="91">
        <f t="shared" si="26"/>
        <v>45215</v>
      </c>
      <c r="C290" s="60">
        <f t="shared" si="27"/>
        <v>10</v>
      </c>
      <c r="D290" s="61">
        <f t="shared" si="25"/>
        <v>42</v>
      </c>
      <c r="E290" s="103"/>
      <c r="F290" s="60" t="str">
        <f>IFERROR(IF(OR(WEEKDAY(B290,2)=6,WEEKDAY(B290,2)=7),'Month summary'!$D$11,IF(E290="",'Month summary'!$C$11,E290)),"")</f>
        <v>W</v>
      </c>
      <c r="G290" s="62">
        <f>IF(B290&lt;Time!$B$2,"",IF(F290='Month summary'!$C$11,'Month summary'!$F$2/24,IF(F290="H/2",'Month summary'!$F$2/24/2,0)))</f>
        <v>0.33333333333333331</v>
      </c>
      <c r="H290" s="62">
        <f t="shared" si="28"/>
        <v>0</v>
      </c>
      <c r="I290" s="62" t="str">
        <f t="shared" si="29"/>
        <v/>
      </c>
      <c r="J290" s="108"/>
      <c r="K290" s="63" t="str">
        <f>IFERROR(INDEX(TableTime[Time],MATCH(B290,TableTime[Date],0)),"")</f>
        <v/>
      </c>
      <c r="L290" s="62" t="str">
        <f>IF(SUMIFS(TableTime[Duration],TableTime[Date],B290,TableTime[Activity],Projects!$C$9)+SUMIFS(TableTime[Duration],TableTime[Date],B290,TableTime[Activity],Projects!$C$10)+SUMIFS(TableTime[Duration],TableTime[Date],B290,TableTime[Activity],Projects!$C$11)=0,"",SUMIFS(TableTime[Duration],TableTime[Date],B290,TableTime[Activity],Projects!$C$9)+SUMIFS(TableTime[Duration],TableTime[Date],B290,TableTime[Activity],Projects!$C$10)+SUMIFS(TableTime[Duration],TableTime[Date],B290,TableTime[Activity],Projects!$C$11))</f>
        <v/>
      </c>
      <c r="M290" s="62" t="str" cm="1">
        <f t="array" ref="M290">IFERROR(LOOKUP(2,1/(TableTime[Date]=B290),TableTime[Time]),"")</f>
        <v/>
      </c>
      <c r="N290" s="63" t="str">
        <f>IF(SUMIFS(TableTime[[Duration]:[Duration]],TableTime[[Date]:[Date]],$B290,TableTime[[Activity]:[Activity]],N$1)=0,"",SUMIFS(TableTime[[Duration]:[Duration]],TableTime[[Date]:[Date]],$B290,TableTime[[Activity]:[Activity]],N$1))</f>
        <v/>
      </c>
      <c r="O290" s="62" t="str">
        <f>IF(SUMIFS(TableTime[[Duration]:[Duration]],TableTime[[Date]:[Date]],$B290,TableTime[[Activity]:[Activity]],O$1)=0,"",SUMIFS(TableTime[[Duration]:[Duration]],TableTime[[Date]:[Date]],$B290,TableTime[[Activity]:[Activity]],O$1))</f>
        <v/>
      </c>
      <c r="P290" s="62" t="str">
        <f>IF(SUMIFS(TableTime[[Duration]:[Duration]],TableTime[[Date]:[Date]],$B290,TableTime[[Activity]:[Activity]],P$1)=0,"",SUMIFS(TableTime[[Duration]:[Duration]],TableTime[[Date]:[Date]],$B290,TableTime[[Activity]:[Activity]],P$1))</f>
        <v/>
      </c>
      <c r="Q290" s="62" t="str">
        <f>IF(SUMIFS(TableTime[[Duration]:[Duration]],TableTime[[Date]:[Date]],$B290,TableTime[[Activity]:[Activity]],Q$1)=0,"",SUMIFS(TableTime[[Duration]:[Duration]],TableTime[[Date]:[Date]],$B290,TableTime[[Activity]:[Activity]],Q$1))</f>
        <v/>
      </c>
      <c r="R290" s="62" t="str">
        <f>IF(SUMIFS(TableTime[[Duration]:[Duration]],TableTime[[Date]:[Date]],$B290,TableTime[[Activity]:[Activity]],R$1)=0,"",SUMIFS(TableTime[[Duration]:[Duration]],TableTime[[Date]:[Date]],$B290,TableTime[[Activity]:[Activity]],R$1))</f>
        <v/>
      </c>
      <c r="S290" s="131" t="str">
        <f>IF(SUMIFS(TableTime[[Duration]:[Duration]],TableTime[[Date]:[Date]],$B290,TableTime[[Activity]:[Activity]],S$1)=0,"",SUMIFS(TableTime[[Duration]:[Duration]],TableTime[[Date]:[Date]],$B290,TableTime[[Activity]:[Activity]],S$1))</f>
        <v/>
      </c>
      <c r="T290" s="62" t="str">
        <f>IF(SUMIFS(TableTime[[Duration]:[Duration]],TableTime[[Date]:[Date]],$B290,TableTime[[Activity]:[Activity]],T$1)=0,"",SUMIFS(TableTime[[Duration]:[Duration]],TableTime[[Date]:[Date]],$B290,TableTime[[Activity]:[Activity]],T$1))</f>
        <v/>
      </c>
      <c r="U290" s="64" t="str">
        <f>IF(SUMIFS(TableTime[[Duration]:[Duration]],TableTime[[Date]:[Date]],$B290,TableTime[[Activity]:[Activity]],U$1)=0,"",SUMIFS(TableTime[[Duration]:[Duration]],TableTime[[Date]:[Date]],$B290,TableTime[[Activity]:[Activity]],U$1))</f>
        <v/>
      </c>
    </row>
    <row r="291" spans="1:21" x14ac:dyDescent="0.35">
      <c r="A291" s="35" t="str">
        <f t="shared" si="24"/>
        <v>Tue</v>
      </c>
      <c r="B291" s="5">
        <f t="shared" si="26"/>
        <v>45216</v>
      </c>
      <c r="C291" s="1">
        <f t="shared" si="27"/>
        <v>10</v>
      </c>
      <c r="D291" s="2">
        <f t="shared" si="25"/>
        <v>42</v>
      </c>
      <c r="E291" s="102"/>
      <c r="F291" s="1" t="str">
        <f>IFERROR(IF(OR(WEEKDAY(B291,2)=6,WEEKDAY(B291,2)=7),'Month summary'!$D$11,IF(E291="",'Month summary'!$C$11,E291)),"")</f>
        <v>W</v>
      </c>
      <c r="G291" s="4">
        <f>IF(B291&lt;Time!$B$2,"",IF(F291='Month summary'!$C$11,'Month summary'!$F$2/24,IF(F291="H/2",'Month summary'!$F$2/24/2,0)))</f>
        <v>0.33333333333333331</v>
      </c>
      <c r="H291" s="4">
        <f t="shared" si="28"/>
        <v>0</v>
      </c>
      <c r="I291" s="4" t="str">
        <f t="shared" si="29"/>
        <v/>
      </c>
      <c r="J291" s="107"/>
      <c r="K291" s="38" t="str">
        <f>IFERROR(INDEX(TableTime[Time],MATCH(B291,TableTime[Date],0)),"")</f>
        <v/>
      </c>
      <c r="L291" s="4" t="str">
        <f>IF(SUMIFS(TableTime[Duration],TableTime[Date],B291,TableTime[Activity],Projects!$C$9)+SUMIFS(TableTime[Duration],TableTime[Date],B291,TableTime[Activity],Projects!$C$10)+SUMIFS(TableTime[Duration],TableTime[Date],B291,TableTime[Activity],Projects!$C$11)=0,"",SUMIFS(TableTime[Duration],TableTime[Date],B291,TableTime[Activity],Projects!$C$9)+SUMIFS(TableTime[Duration],TableTime[Date],B291,TableTime[Activity],Projects!$C$10)+SUMIFS(TableTime[Duration],TableTime[Date],B291,TableTime[Activity],Projects!$C$11))</f>
        <v/>
      </c>
      <c r="M291" s="4" t="str" cm="1">
        <f t="array" ref="M291">IFERROR(LOOKUP(2,1/(TableTime[Date]=B291),TableTime[Time]),"")</f>
        <v/>
      </c>
      <c r="N291" s="38" t="str">
        <f>IF(SUMIFS(TableTime[[Duration]:[Duration]],TableTime[[Date]:[Date]],$B291,TableTime[[Activity]:[Activity]],N$1)=0,"",SUMIFS(TableTime[[Duration]:[Duration]],TableTime[[Date]:[Date]],$B291,TableTime[[Activity]:[Activity]],N$1))</f>
        <v/>
      </c>
      <c r="O291" s="4" t="str">
        <f>IF(SUMIFS(TableTime[[Duration]:[Duration]],TableTime[[Date]:[Date]],$B291,TableTime[[Activity]:[Activity]],O$1)=0,"",SUMIFS(TableTime[[Duration]:[Duration]],TableTime[[Date]:[Date]],$B291,TableTime[[Activity]:[Activity]],O$1))</f>
        <v/>
      </c>
      <c r="P291" s="4" t="str">
        <f>IF(SUMIFS(TableTime[[Duration]:[Duration]],TableTime[[Date]:[Date]],$B291,TableTime[[Activity]:[Activity]],P$1)=0,"",SUMIFS(TableTime[[Duration]:[Duration]],TableTime[[Date]:[Date]],$B291,TableTime[[Activity]:[Activity]],P$1))</f>
        <v/>
      </c>
      <c r="Q291" s="4" t="str">
        <f>IF(SUMIFS(TableTime[[Duration]:[Duration]],TableTime[[Date]:[Date]],$B291,TableTime[[Activity]:[Activity]],Q$1)=0,"",SUMIFS(TableTime[[Duration]:[Duration]],TableTime[[Date]:[Date]],$B291,TableTime[[Activity]:[Activity]],Q$1))</f>
        <v/>
      </c>
      <c r="R291" s="4" t="str">
        <f>IF(SUMIFS(TableTime[[Duration]:[Duration]],TableTime[[Date]:[Date]],$B291,TableTime[[Activity]:[Activity]],R$1)=0,"",SUMIFS(TableTime[[Duration]:[Duration]],TableTime[[Date]:[Date]],$B291,TableTime[[Activity]:[Activity]],R$1))</f>
        <v/>
      </c>
      <c r="S291" s="130" t="str">
        <f>IF(SUMIFS(TableTime[[Duration]:[Duration]],TableTime[[Date]:[Date]],$B291,TableTime[[Activity]:[Activity]],S$1)=0,"",SUMIFS(TableTime[[Duration]:[Duration]],TableTime[[Date]:[Date]],$B291,TableTime[[Activity]:[Activity]],S$1))</f>
        <v/>
      </c>
      <c r="T291" s="4" t="str">
        <f>IF(SUMIFS(TableTime[[Duration]:[Duration]],TableTime[[Date]:[Date]],$B291,TableTime[[Activity]:[Activity]],T$1)=0,"",SUMIFS(TableTime[[Duration]:[Duration]],TableTime[[Date]:[Date]],$B291,TableTime[[Activity]:[Activity]],T$1))</f>
        <v/>
      </c>
      <c r="U291" s="39" t="str">
        <f>IF(SUMIFS(TableTime[[Duration]:[Duration]],TableTime[[Date]:[Date]],$B291,TableTime[[Activity]:[Activity]],U$1)=0,"",SUMIFS(TableTime[[Duration]:[Duration]],TableTime[[Date]:[Date]],$B291,TableTime[[Activity]:[Activity]],U$1))</f>
        <v/>
      </c>
    </row>
    <row r="292" spans="1:21" x14ac:dyDescent="0.35">
      <c r="A292" s="59" t="str">
        <f t="shared" si="24"/>
        <v>Wed</v>
      </c>
      <c r="B292" s="91">
        <f t="shared" si="26"/>
        <v>45217</v>
      </c>
      <c r="C292" s="60">
        <f t="shared" si="27"/>
        <v>10</v>
      </c>
      <c r="D292" s="61">
        <f t="shared" si="25"/>
        <v>42</v>
      </c>
      <c r="E292" s="103"/>
      <c r="F292" s="60" t="str">
        <f>IFERROR(IF(OR(WEEKDAY(B292,2)=6,WEEKDAY(B292,2)=7),'Month summary'!$D$11,IF(E292="",'Month summary'!$C$11,E292)),"")</f>
        <v>W</v>
      </c>
      <c r="G292" s="62">
        <f>IF(B292&lt;Time!$B$2,"",IF(F292='Month summary'!$C$11,'Month summary'!$F$2/24,IF(F292="H/2",'Month summary'!$F$2/24/2,0)))</f>
        <v>0.33333333333333331</v>
      </c>
      <c r="H292" s="62">
        <f t="shared" si="28"/>
        <v>0</v>
      </c>
      <c r="I292" s="62" t="str">
        <f t="shared" si="29"/>
        <v/>
      </c>
      <c r="J292" s="108"/>
      <c r="K292" s="63" t="str">
        <f>IFERROR(INDEX(TableTime[Time],MATCH(B292,TableTime[Date],0)),"")</f>
        <v/>
      </c>
      <c r="L292" s="62" t="str">
        <f>IF(SUMIFS(TableTime[Duration],TableTime[Date],B292,TableTime[Activity],Projects!$C$9)+SUMIFS(TableTime[Duration],TableTime[Date],B292,TableTime[Activity],Projects!$C$10)+SUMIFS(TableTime[Duration],TableTime[Date],B292,TableTime[Activity],Projects!$C$11)=0,"",SUMIFS(TableTime[Duration],TableTime[Date],B292,TableTime[Activity],Projects!$C$9)+SUMIFS(TableTime[Duration],TableTime[Date],B292,TableTime[Activity],Projects!$C$10)+SUMIFS(TableTime[Duration],TableTime[Date],B292,TableTime[Activity],Projects!$C$11))</f>
        <v/>
      </c>
      <c r="M292" s="62" t="str" cm="1">
        <f t="array" ref="M292">IFERROR(LOOKUP(2,1/(TableTime[Date]=B292),TableTime[Time]),"")</f>
        <v/>
      </c>
      <c r="N292" s="63" t="str">
        <f>IF(SUMIFS(TableTime[[Duration]:[Duration]],TableTime[[Date]:[Date]],$B292,TableTime[[Activity]:[Activity]],N$1)=0,"",SUMIFS(TableTime[[Duration]:[Duration]],TableTime[[Date]:[Date]],$B292,TableTime[[Activity]:[Activity]],N$1))</f>
        <v/>
      </c>
      <c r="O292" s="62" t="str">
        <f>IF(SUMIFS(TableTime[[Duration]:[Duration]],TableTime[[Date]:[Date]],$B292,TableTime[[Activity]:[Activity]],O$1)=0,"",SUMIFS(TableTime[[Duration]:[Duration]],TableTime[[Date]:[Date]],$B292,TableTime[[Activity]:[Activity]],O$1))</f>
        <v/>
      </c>
      <c r="P292" s="62" t="str">
        <f>IF(SUMIFS(TableTime[[Duration]:[Duration]],TableTime[[Date]:[Date]],$B292,TableTime[[Activity]:[Activity]],P$1)=0,"",SUMIFS(TableTime[[Duration]:[Duration]],TableTime[[Date]:[Date]],$B292,TableTime[[Activity]:[Activity]],P$1))</f>
        <v/>
      </c>
      <c r="Q292" s="62" t="str">
        <f>IF(SUMIFS(TableTime[[Duration]:[Duration]],TableTime[[Date]:[Date]],$B292,TableTime[[Activity]:[Activity]],Q$1)=0,"",SUMIFS(TableTime[[Duration]:[Duration]],TableTime[[Date]:[Date]],$B292,TableTime[[Activity]:[Activity]],Q$1))</f>
        <v/>
      </c>
      <c r="R292" s="62" t="str">
        <f>IF(SUMIFS(TableTime[[Duration]:[Duration]],TableTime[[Date]:[Date]],$B292,TableTime[[Activity]:[Activity]],R$1)=0,"",SUMIFS(TableTime[[Duration]:[Duration]],TableTime[[Date]:[Date]],$B292,TableTime[[Activity]:[Activity]],R$1))</f>
        <v/>
      </c>
      <c r="S292" s="131" t="str">
        <f>IF(SUMIFS(TableTime[[Duration]:[Duration]],TableTime[[Date]:[Date]],$B292,TableTime[[Activity]:[Activity]],S$1)=0,"",SUMIFS(TableTime[[Duration]:[Duration]],TableTime[[Date]:[Date]],$B292,TableTime[[Activity]:[Activity]],S$1))</f>
        <v/>
      </c>
      <c r="T292" s="62" t="str">
        <f>IF(SUMIFS(TableTime[[Duration]:[Duration]],TableTime[[Date]:[Date]],$B292,TableTime[[Activity]:[Activity]],T$1)=0,"",SUMIFS(TableTime[[Duration]:[Duration]],TableTime[[Date]:[Date]],$B292,TableTime[[Activity]:[Activity]],T$1))</f>
        <v/>
      </c>
      <c r="U292" s="64" t="str">
        <f>IF(SUMIFS(TableTime[[Duration]:[Duration]],TableTime[[Date]:[Date]],$B292,TableTime[[Activity]:[Activity]],U$1)=0,"",SUMIFS(TableTime[[Duration]:[Duration]],TableTime[[Date]:[Date]],$B292,TableTime[[Activity]:[Activity]],U$1))</f>
        <v/>
      </c>
    </row>
    <row r="293" spans="1:21" x14ac:dyDescent="0.35">
      <c r="A293" s="35" t="str">
        <f t="shared" si="24"/>
        <v>Thr</v>
      </c>
      <c r="B293" s="5">
        <f t="shared" si="26"/>
        <v>45218</v>
      </c>
      <c r="C293" s="1">
        <f t="shared" si="27"/>
        <v>10</v>
      </c>
      <c r="D293" s="2">
        <f t="shared" si="25"/>
        <v>42</v>
      </c>
      <c r="E293" s="102"/>
      <c r="F293" s="1" t="str">
        <f>IFERROR(IF(OR(WEEKDAY(B293,2)=6,WEEKDAY(B293,2)=7),'Month summary'!$D$11,IF(E293="",'Month summary'!$C$11,E293)),"")</f>
        <v>W</v>
      </c>
      <c r="G293" s="4">
        <f>IF(B293&lt;Time!$B$2,"",IF(F293='Month summary'!$C$11,'Month summary'!$F$2/24,IF(F293="H/2",'Month summary'!$F$2/24/2,0)))</f>
        <v>0.33333333333333331</v>
      </c>
      <c r="H293" s="4">
        <f t="shared" si="28"/>
        <v>0</v>
      </c>
      <c r="I293" s="4" t="str">
        <f t="shared" si="29"/>
        <v/>
      </c>
      <c r="J293" s="107"/>
      <c r="K293" s="38" t="str">
        <f>IFERROR(INDEX(TableTime[Time],MATCH(B293,TableTime[Date],0)),"")</f>
        <v/>
      </c>
      <c r="L293" s="4" t="str">
        <f>IF(SUMIFS(TableTime[Duration],TableTime[Date],B293,TableTime[Activity],Projects!$C$9)+SUMIFS(TableTime[Duration],TableTime[Date],B293,TableTime[Activity],Projects!$C$10)+SUMIFS(TableTime[Duration],TableTime[Date],B293,TableTime[Activity],Projects!$C$11)=0,"",SUMIFS(TableTime[Duration],TableTime[Date],B293,TableTime[Activity],Projects!$C$9)+SUMIFS(TableTime[Duration],TableTime[Date],B293,TableTime[Activity],Projects!$C$10)+SUMIFS(TableTime[Duration],TableTime[Date],B293,TableTime[Activity],Projects!$C$11))</f>
        <v/>
      </c>
      <c r="M293" s="4" t="str" cm="1">
        <f t="array" ref="M293">IFERROR(LOOKUP(2,1/(TableTime[Date]=B293),TableTime[Time]),"")</f>
        <v/>
      </c>
      <c r="N293" s="38" t="str">
        <f>IF(SUMIFS(TableTime[[Duration]:[Duration]],TableTime[[Date]:[Date]],$B293,TableTime[[Activity]:[Activity]],N$1)=0,"",SUMIFS(TableTime[[Duration]:[Duration]],TableTime[[Date]:[Date]],$B293,TableTime[[Activity]:[Activity]],N$1))</f>
        <v/>
      </c>
      <c r="O293" s="4" t="str">
        <f>IF(SUMIFS(TableTime[[Duration]:[Duration]],TableTime[[Date]:[Date]],$B293,TableTime[[Activity]:[Activity]],O$1)=0,"",SUMIFS(TableTime[[Duration]:[Duration]],TableTime[[Date]:[Date]],$B293,TableTime[[Activity]:[Activity]],O$1))</f>
        <v/>
      </c>
      <c r="P293" s="4" t="str">
        <f>IF(SUMIFS(TableTime[[Duration]:[Duration]],TableTime[[Date]:[Date]],$B293,TableTime[[Activity]:[Activity]],P$1)=0,"",SUMIFS(TableTime[[Duration]:[Duration]],TableTime[[Date]:[Date]],$B293,TableTime[[Activity]:[Activity]],P$1))</f>
        <v/>
      </c>
      <c r="Q293" s="4" t="str">
        <f>IF(SUMIFS(TableTime[[Duration]:[Duration]],TableTime[[Date]:[Date]],$B293,TableTime[[Activity]:[Activity]],Q$1)=0,"",SUMIFS(TableTime[[Duration]:[Duration]],TableTime[[Date]:[Date]],$B293,TableTime[[Activity]:[Activity]],Q$1))</f>
        <v/>
      </c>
      <c r="R293" s="4" t="str">
        <f>IF(SUMIFS(TableTime[[Duration]:[Duration]],TableTime[[Date]:[Date]],$B293,TableTime[[Activity]:[Activity]],R$1)=0,"",SUMIFS(TableTime[[Duration]:[Duration]],TableTime[[Date]:[Date]],$B293,TableTime[[Activity]:[Activity]],R$1))</f>
        <v/>
      </c>
      <c r="S293" s="130" t="str">
        <f>IF(SUMIFS(TableTime[[Duration]:[Duration]],TableTime[[Date]:[Date]],$B293,TableTime[[Activity]:[Activity]],S$1)=0,"",SUMIFS(TableTime[[Duration]:[Duration]],TableTime[[Date]:[Date]],$B293,TableTime[[Activity]:[Activity]],S$1))</f>
        <v/>
      </c>
      <c r="T293" s="4" t="str">
        <f>IF(SUMIFS(TableTime[[Duration]:[Duration]],TableTime[[Date]:[Date]],$B293,TableTime[[Activity]:[Activity]],T$1)=0,"",SUMIFS(TableTime[[Duration]:[Duration]],TableTime[[Date]:[Date]],$B293,TableTime[[Activity]:[Activity]],T$1))</f>
        <v/>
      </c>
      <c r="U293" s="39" t="str">
        <f>IF(SUMIFS(TableTime[[Duration]:[Duration]],TableTime[[Date]:[Date]],$B293,TableTime[[Activity]:[Activity]],U$1)=0,"",SUMIFS(TableTime[[Duration]:[Duration]],TableTime[[Date]:[Date]],$B293,TableTime[[Activity]:[Activity]],U$1))</f>
        <v/>
      </c>
    </row>
    <row r="294" spans="1:21" x14ac:dyDescent="0.35">
      <c r="A294" s="59" t="str">
        <f t="shared" si="24"/>
        <v>Fri</v>
      </c>
      <c r="B294" s="91">
        <f t="shared" si="26"/>
        <v>45219</v>
      </c>
      <c r="C294" s="60">
        <f t="shared" si="27"/>
        <v>10</v>
      </c>
      <c r="D294" s="61">
        <f t="shared" si="25"/>
        <v>42</v>
      </c>
      <c r="E294" s="103"/>
      <c r="F294" s="60" t="str">
        <f>IFERROR(IF(OR(WEEKDAY(B294,2)=6,WEEKDAY(B294,2)=7),'Month summary'!$D$11,IF(E294="",'Month summary'!$C$11,E294)),"")</f>
        <v>W</v>
      </c>
      <c r="G294" s="62">
        <f>IF(B294&lt;Time!$B$2,"",IF(F294='Month summary'!$C$11,'Month summary'!$F$2/24,IF(F294="H/2",'Month summary'!$F$2/24/2,0)))</f>
        <v>0.33333333333333331</v>
      </c>
      <c r="H294" s="62">
        <f t="shared" si="28"/>
        <v>0</v>
      </c>
      <c r="I294" s="62" t="str">
        <f t="shared" si="29"/>
        <v/>
      </c>
      <c r="J294" s="108"/>
      <c r="K294" s="63" t="str">
        <f>IFERROR(INDEX(TableTime[Time],MATCH(B294,TableTime[Date],0)),"")</f>
        <v/>
      </c>
      <c r="L294" s="62" t="str">
        <f>IF(SUMIFS(TableTime[Duration],TableTime[Date],B294,TableTime[Activity],Projects!$C$9)+SUMIFS(TableTime[Duration],TableTime[Date],B294,TableTime[Activity],Projects!$C$10)+SUMIFS(TableTime[Duration],TableTime[Date],B294,TableTime[Activity],Projects!$C$11)=0,"",SUMIFS(TableTime[Duration],TableTime[Date],B294,TableTime[Activity],Projects!$C$9)+SUMIFS(TableTime[Duration],TableTime[Date],B294,TableTime[Activity],Projects!$C$10)+SUMIFS(TableTime[Duration],TableTime[Date],B294,TableTime[Activity],Projects!$C$11))</f>
        <v/>
      </c>
      <c r="M294" s="62" t="str" cm="1">
        <f t="array" ref="M294">IFERROR(LOOKUP(2,1/(TableTime[Date]=B294),TableTime[Time]),"")</f>
        <v/>
      </c>
      <c r="N294" s="63" t="str">
        <f>IF(SUMIFS(TableTime[[Duration]:[Duration]],TableTime[[Date]:[Date]],$B294,TableTime[[Activity]:[Activity]],N$1)=0,"",SUMIFS(TableTime[[Duration]:[Duration]],TableTime[[Date]:[Date]],$B294,TableTime[[Activity]:[Activity]],N$1))</f>
        <v/>
      </c>
      <c r="O294" s="62" t="str">
        <f>IF(SUMIFS(TableTime[[Duration]:[Duration]],TableTime[[Date]:[Date]],$B294,TableTime[[Activity]:[Activity]],O$1)=0,"",SUMIFS(TableTime[[Duration]:[Duration]],TableTime[[Date]:[Date]],$B294,TableTime[[Activity]:[Activity]],O$1))</f>
        <v/>
      </c>
      <c r="P294" s="62" t="str">
        <f>IF(SUMIFS(TableTime[[Duration]:[Duration]],TableTime[[Date]:[Date]],$B294,TableTime[[Activity]:[Activity]],P$1)=0,"",SUMIFS(TableTime[[Duration]:[Duration]],TableTime[[Date]:[Date]],$B294,TableTime[[Activity]:[Activity]],P$1))</f>
        <v/>
      </c>
      <c r="Q294" s="62" t="str">
        <f>IF(SUMIFS(TableTime[[Duration]:[Duration]],TableTime[[Date]:[Date]],$B294,TableTime[[Activity]:[Activity]],Q$1)=0,"",SUMIFS(TableTime[[Duration]:[Duration]],TableTime[[Date]:[Date]],$B294,TableTime[[Activity]:[Activity]],Q$1))</f>
        <v/>
      </c>
      <c r="R294" s="62" t="str">
        <f>IF(SUMIFS(TableTime[[Duration]:[Duration]],TableTime[[Date]:[Date]],$B294,TableTime[[Activity]:[Activity]],R$1)=0,"",SUMIFS(TableTime[[Duration]:[Duration]],TableTime[[Date]:[Date]],$B294,TableTime[[Activity]:[Activity]],R$1))</f>
        <v/>
      </c>
      <c r="S294" s="131" t="str">
        <f>IF(SUMIFS(TableTime[[Duration]:[Duration]],TableTime[[Date]:[Date]],$B294,TableTime[[Activity]:[Activity]],S$1)=0,"",SUMIFS(TableTime[[Duration]:[Duration]],TableTime[[Date]:[Date]],$B294,TableTime[[Activity]:[Activity]],S$1))</f>
        <v/>
      </c>
      <c r="T294" s="62" t="str">
        <f>IF(SUMIFS(TableTime[[Duration]:[Duration]],TableTime[[Date]:[Date]],$B294,TableTime[[Activity]:[Activity]],T$1)=0,"",SUMIFS(TableTime[[Duration]:[Duration]],TableTime[[Date]:[Date]],$B294,TableTime[[Activity]:[Activity]],T$1))</f>
        <v/>
      </c>
      <c r="U294" s="64" t="str">
        <f>IF(SUMIFS(TableTime[[Duration]:[Duration]],TableTime[[Date]:[Date]],$B294,TableTime[[Activity]:[Activity]],U$1)=0,"",SUMIFS(TableTime[[Duration]:[Duration]],TableTime[[Date]:[Date]],$B294,TableTime[[Activity]:[Activity]],U$1))</f>
        <v/>
      </c>
    </row>
    <row r="295" spans="1:21" x14ac:dyDescent="0.35">
      <c r="A295" s="35" t="str">
        <f t="shared" si="24"/>
        <v>Sat</v>
      </c>
      <c r="B295" s="5">
        <f t="shared" si="26"/>
        <v>45220</v>
      </c>
      <c r="C295" s="1">
        <f t="shared" si="27"/>
        <v>10</v>
      </c>
      <c r="D295" s="2">
        <f t="shared" si="25"/>
        <v>42</v>
      </c>
      <c r="E295" s="102"/>
      <c r="F295" s="1" t="str">
        <f>IFERROR(IF(OR(WEEKDAY(B295,2)=6,WEEKDAY(B295,2)=7),'Month summary'!$D$11,IF(E295="",'Month summary'!$C$11,E295)),"")</f>
        <v>WE</v>
      </c>
      <c r="G295" s="4">
        <f>IF(B295&lt;Time!$B$2,"",IF(F295='Month summary'!$C$11,'Month summary'!$F$2/24,IF(F295="H/2",'Month summary'!$F$2/24/2,0)))</f>
        <v>0</v>
      </c>
      <c r="H295" s="4">
        <f t="shared" si="28"/>
        <v>0</v>
      </c>
      <c r="I295" s="4" t="str">
        <f t="shared" si="29"/>
        <v/>
      </c>
      <c r="J295" s="107"/>
      <c r="K295" s="38" t="str">
        <f>IFERROR(INDEX(TableTime[Time],MATCH(B295,TableTime[Date],0)),"")</f>
        <v/>
      </c>
      <c r="L295" s="4" t="str">
        <f>IF(SUMIFS(TableTime[Duration],TableTime[Date],B295,TableTime[Activity],Projects!$C$9)+SUMIFS(TableTime[Duration],TableTime[Date],B295,TableTime[Activity],Projects!$C$10)+SUMIFS(TableTime[Duration],TableTime[Date],B295,TableTime[Activity],Projects!$C$11)=0,"",SUMIFS(TableTime[Duration],TableTime[Date],B295,TableTime[Activity],Projects!$C$9)+SUMIFS(TableTime[Duration],TableTime[Date],B295,TableTime[Activity],Projects!$C$10)+SUMIFS(TableTime[Duration],TableTime[Date],B295,TableTime[Activity],Projects!$C$11))</f>
        <v/>
      </c>
      <c r="M295" s="4" t="str" cm="1">
        <f t="array" ref="M295">IFERROR(LOOKUP(2,1/(TableTime[Date]=B295),TableTime[Time]),"")</f>
        <v/>
      </c>
      <c r="N295" s="38" t="str">
        <f>IF(SUMIFS(TableTime[[Duration]:[Duration]],TableTime[[Date]:[Date]],$B295,TableTime[[Activity]:[Activity]],N$1)=0,"",SUMIFS(TableTime[[Duration]:[Duration]],TableTime[[Date]:[Date]],$B295,TableTime[[Activity]:[Activity]],N$1))</f>
        <v/>
      </c>
      <c r="O295" s="4" t="str">
        <f>IF(SUMIFS(TableTime[[Duration]:[Duration]],TableTime[[Date]:[Date]],$B295,TableTime[[Activity]:[Activity]],O$1)=0,"",SUMIFS(TableTime[[Duration]:[Duration]],TableTime[[Date]:[Date]],$B295,TableTime[[Activity]:[Activity]],O$1))</f>
        <v/>
      </c>
      <c r="P295" s="4" t="str">
        <f>IF(SUMIFS(TableTime[[Duration]:[Duration]],TableTime[[Date]:[Date]],$B295,TableTime[[Activity]:[Activity]],P$1)=0,"",SUMIFS(TableTime[[Duration]:[Duration]],TableTime[[Date]:[Date]],$B295,TableTime[[Activity]:[Activity]],P$1))</f>
        <v/>
      </c>
      <c r="Q295" s="4" t="str">
        <f>IF(SUMIFS(TableTime[[Duration]:[Duration]],TableTime[[Date]:[Date]],$B295,TableTime[[Activity]:[Activity]],Q$1)=0,"",SUMIFS(TableTime[[Duration]:[Duration]],TableTime[[Date]:[Date]],$B295,TableTime[[Activity]:[Activity]],Q$1))</f>
        <v/>
      </c>
      <c r="R295" s="4" t="str">
        <f>IF(SUMIFS(TableTime[[Duration]:[Duration]],TableTime[[Date]:[Date]],$B295,TableTime[[Activity]:[Activity]],R$1)=0,"",SUMIFS(TableTime[[Duration]:[Duration]],TableTime[[Date]:[Date]],$B295,TableTime[[Activity]:[Activity]],R$1))</f>
        <v/>
      </c>
      <c r="S295" s="130" t="str">
        <f>IF(SUMIFS(TableTime[[Duration]:[Duration]],TableTime[[Date]:[Date]],$B295,TableTime[[Activity]:[Activity]],S$1)=0,"",SUMIFS(TableTime[[Duration]:[Duration]],TableTime[[Date]:[Date]],$B295,TableTime[[Activity]:[Activity]],S$1))</f>
        <v/>
      </c>
      <c r="T295" s="4" t="str">
        <f>IF(SUMIFS(TableTime[[Duration]:[Duration]],TableTime[[Date]:[Date]],$B295,TableTime[[Activity]:[Activity]],T$1)=0,"",SUMIFS(TableTime[[Duration]:[Duration]],TableTime[[Date]:[Date]],$B295,TableTime[[Activity]:[Activity]],T$1))</f>
        <v/>
      </c>
      <c r="U295" s="39" t="str">
        <f>IF(SUMIFS(TableTime[[Duration]:[Duration]],TableTime[[Date]:[Date]],$B295,TableTime[[Activity]:[Activity]],U$1)=0,"",SUMIFS(TableTime[[Duration]:[Duration]],TableTime[[Date]:[Date]],$B295,TableTime[[Activity]:[Activity]],U$1))</f>
        <v/>
      </c>
    </row>
    <row r="296" spans="1:21" x14ac:dyDescent="0.35">
      <c r="A296" s="59" t="str">
        <f t="shared" si="24"/>
        <v>Sun</v>
      </c>
      <c r="B296" s="91">
        <f t="shared" si="26"/>
        <v>45221</v>
      </c>
      <c r="C296" s="60">
        <f t="shared" si="27"/>
        <v>10</v>
      </c>
      <c r="D296" s="61">
        <f t="shared" si="25"/>
        <v>42</v>
      </c>
      <c r="E296" s="103"/>
      <c r="F296" s="60" t="str">
        <f>IFERROR(IF(OR(WEEKDAY(B296,2)=6,WEEKDAY(B296,2)=7),'Month summary'!$D$11,IF(E296="",'Month summary'!$C$11,E296)),"")</f>
        <v>WE</v>
      </c>
      <c r="G296" s="62">
        <f>IF(B296&lt;Time!$B$2,"",IF(F296='Month summary'!$C$11,'Month summary'!$F$2/24,IF(F296="H/2",'Month summary'!$F$2/24/2,0)))</f>
        <v>0</v>
      </c>
      <c r="H296" s="62">
        <f t="shared" si="28"/>
        <v>0</v>
      </c>
      <c r="I296" s="62" t="str">
        <f t="shared" si="29"/>
        <v/>
      </c>
      <c r="J296" s="108"/>
      <c r="K296" s="63" t="str">
        <f>IFERROR(INDEX(TableTime[Time],MATCH(B296,TableTime[Date],0)),"")</f>
        <v/>
      </c>
      <c r="L296" s="62" t="str">
        <f>IF(SUMIFS(TableTime[Duration],TableTime[Date],B296,TableTime[Activity],Projects!$C$9)+SUMIFS(TableTime[Duration],TableTime[Date],B296,TableTime[Activity],Projects!$C$10)+SUMIFS(TableTime[Duration],TableTime[Date],B296,TableTime[Activity],Projects!$C$11)=0,"",SUMIFS(TableTime[Duration],TableTime[Date],B296,TableTime[Activity],Projects!$C$9)+SUMIFS(TableTime[Duration],TableTime[Date],B296,TableTime[Activity],Projects!$C$10)+SUMIFS(TableTime[Duration],TableTime[Date],B296,TableTime[Activity],Projects!$C$11))</f>
        <v/>
      </c>
      <c r="M296" s="62" t="str" cm="1">
        <f t="array" ref="M296">IFERROR(LOOKUP(2,1/(TableTime[Date]=B296),TableTime[Time]),"")</f>
        <v/>
      </c>
      <c r="N296" s="63" t="str">
        <f>IF(SUMIFS(TableTime[[Duration]:[Duration]],TableTime[[Date]:[Date]],$B296,TableTime[[Activity]:[Activity]],N$1)=0,"",SUMIFS(TableTime[[Duration]:[Duration]],TableTime[[Date]:[Date]],$B296,TableTime[[Activity]:[Activity]],N$1))</f>
        <v/>
      </c>
      <c r="O296" s="62" t="str">
        <f>IF(SUMIFS(TableTime[[Duration]:[Duration]],TableTime[[Date]:[Date]],$B296,TableTime[[Activity]:[Activity]],O$1)=0,"",SUMIFS(TableTime[[Duration]:[Duration]],TableTime[[Date]:[Date]],$B296,TableTime[[Activity]:[Activity]],O$1))</f>
        <v/>
      </c>
      <c r="P296" s="62" t="str">
        <f>IF(SUMIFS(TableTime[[Duration]:[Duration]],TableTime[[Date]:[Date]],$B296,TableTime[[Activity]:[Activity]],P$1)=0,"",SUMIFS(TableTime[[Duration]:[Duration]],TableTime[[Date]:[Date]],$B296,TableTime[[Activity]:[Activity]],P$1))</f>
        <v/>
      </c>
      <c r="Q296" s="62" t="str">
        <f>IF(SUMIFS(TableTime[[Duration]:[Duration]],TableTime[[Date]:[Date]],$B296,TableTime[[Activity]:[Activity]],Q$1)=0,"",SUMIFS(TableTime[[Duration]:[Duration]],TableTime[[Date]:[Date]],$B296,TableTime[[Activity]:[Activity]],Q$1))</f>
        <v/>
      </c>
      <c r="R296" s="62" t="str">
        <f>IF(SUMIFS(TableTime[[Duration]:[Duration]],TableTime[[Date]:[Date]],$B296,TableTime[[Activity]:[Activity]],R$1)=0,"",SUMIFS(TableTime[[Duration]:[Duration]],TableTime[[Date]:[Date]],$B296,TableTime[[Activity]:[Activity]],R$1))</f>
        <v/>
      </c>
      <c r="S296" s="131" t="str">
        <f>IF(SUMIFS(TableTime[[Duration]:[Duration]],TableTime[[Date]:[Date]],$B296,TableTime[[Activity]:[Activity]],S$1)=0,"",SUMIFS(TableTime[[Duration]:[Duration]],TableTime[[Date]:[Date]],$B296,TableTime[[Activity]:[Activity]],S$1))</f>
        <v/>
      </c>
      <c r="T296" s="62" t="str">
        <f>IF(SUMIFS(TableTime[[Duration]:[Duration]],TableTime[[Date]:[Date]],$B296,TableTime[[Activity]:[Activity]],T$1)=0,"",SUMIFS(TableTime[[Duration]:[Duration]],TableTime[[Date]:[Date]],$B296,TableTime[[Activity]:[Activity]],T$1))</f>
        <v/>
      </c>
      <c r="U296" s="64" t="str">
        <f>IF(SUMIFS(TableTime[[Duration]:[Duration]],TableTime[[Date]:[Date]],$B296,TableTime[[Activity]:[Activity]],U$1)=0,"",SUMIFS(TableTime[[Duration]:[Duration]],TableTime[[Date]:[Date]],$B296,TableTime[[Activity]:[Activity]],U$1))</f>
        <v/>
      </c>
    </row>
    <row r="297" spans="1:21" x14ac:dyDescent="0.35">
      <c r="A297" s="35" t="str">
        <f t="shared" si="24"/>
        <v>Mon</v>
      </c>
      <c r="B297" s="5">
        <f t="shared" si="26"/>
        <v>45222</v>
      </c>
      <c r="C297" s="1">
        <f t="shared" si="27"/>
        <v>10</v>
      </c>
      <c r="D297" s="2">
        <f t="shared" si="25"/>
        <v>43</v>
      </c>
      <c r="E297" s="102"/>
      <c r="F297" s="1" t="str">
        <f>IFERROR(IF(OR(WEEKDAY(B297,2)=6,WEEKDAY(B297,2)=7),'Month summary'!$D$11,IF(E297="",'Month summary'!$C$11,E297)),"")</f>
        <v>W</v>
      </c>
      <c r="G297" s="4">
        <f>IF(B297&lt;Time!$B$2,"",IF(F297='Month summary'!$C$11,'Month summary'!$F$2/24,IF(F297="H/2",'Month summary'!$F$2/24/2,0)))</f>
        <v>0.33333333333333331</v>
      </c>
      <c r="H297" s="4">
        <f t="shared" si="28"/>
        <v>0</v>
      </c>
      <c r="I297" s="4" t="str">
        <f t="shared" si="29"/>
        <v/>
      </c>
      <c r="J297" s="107"/>
      <c r="K297" s="38" t="str">
        <f>IFERROR(INDEX(TableTime[Time],MATCH(B297,TableTime[Date],0)),"")</f>
        <v/>
      </c>
      <c r="L297" s="4" t="str">
        <f>IF(SUMIFS(TableTime[Duration],TableTime[Date],B297,TableTime[Activity],Projects!$C$9)+SUMIFS(TableTime[Duration],TableTime[Date],B297,TableTime[Activity],Projects!$C$10)+SUMIFS(TableTime[Duration],TableTime[Date],B297,TableTime[Activity],Projects!$C$11)=0,"",SUMIFS(TableTime[Duration],TableTime[Date],B297,TableTime[Activity],Projects!$C$9)+SUMIFS(TableTime[Duration],TableTime[Date],B297,TableTime[Activity],Projects!$C$10)+SUMIFS(TableTime[Duration],TableTime[Date],B297,TableTime[Activity],Projects!$C$11))</f>
        <v/>
      </c>
      <c r="M297" s="4" t="str" cm="1">
        <f t="array" ref="M297">IFERROR(LOOKUP(2,1/(TableTime[Date]=B297),TableTime[Time]),"")</f>
        <v/>
      </c>
      <c r="N297" s="38" t="str">
        <f>IF(SUMIFS(TableTime[[Duration]:[Duration]],TableTime[[Date]:[Date]],$B297,TableTime[[Activity]:[Activity]],N$1)=0,"",SUMIFS(TableTime[[Duration]:[Duration]],TableTime[[Date]:[Date]],$B297,TableTime[[Activity]:[Activity]],N$1))</f>
        <v/>
      </c>
      <c r="O297" s="4" t="str">
        <f>IF(SUMIFS(TableTime[[Duration]:[Duration]],TableTime[[Date]:[Date]],$B297,TableTime[[Activity]:[Activity]],O$1)=0,"",SUMIFS(TableTime[[Duration]:[Duration]],TableTime[[Date]:[Date]],$B297,TableTime[[Activity]:[Activity]],O$1))</f>
        <v/>
      </c>
      <c r="P297" s="4" t="str">
        <f>IF(SUMIFS(TableTime[[Duration]:[Duration]],TableTime[[Date]:[Date]],$B297,TableTime[[Activity]:[Activity]],P$1)=0,"",SUMIFS(TableTime[[Duration]:[Duration]],TableTime[[Date]:[Date]],$B297,TableTime[[Activity]:[Activity]],P$1))</f>
        <v/>
      </c>
      <c r="Q297" s="4" t="str">
        <f>IF(SUMIFS(TableTime[[Duration]:[Duration]],TableTime[[Date]:[Date]],$B297,TableTime[[Activity]:[Activity]],Q$1)=0,"",SUMIFS(TableTime[[Duration]:[Duration]],TableTime[[Date]:[Date]],$B297,TableTime[[Activity]:[Activity]],Q$1))</f>
        <v/>
      </c>
      <c r="R297" s="4" t="str">
        <f>IF(SUMIFS(TableTime[[Duration]:[Duration]],TableTime[[Date]:[Date]],$B297,TableTime[[Activity]:[Activity]],R$1)=0,"",SUMIFS(TableTime[[Duration]:[Duration]],TableTime[[Date]:[Date]],$B297,TableTime[[Activity]:[Activity]],R$1))</f>
        <v/>
      </c>
      <c r="S297" s="130" t="str">
        <f>IF(SUMIFS(TableTime[[Duration]:[Duration]],TableTime[[Date]:[Date]],$B297,TableTime[[Activity]:[Activity]],S$1)=0,"",SUMIFS(TableTime[[Duration]:[Duration]],TableTime[[Date]:[Date]],$B297,TableTime[[Activity]:[Activity]],S$1))</f>
        <v/>
      </c>
      <c r="T297" s="4" t="str">
        <f>IF(SUMIFS(TableTime[[Duration]:[Duration]],TableTime[[Date]:[Date]],$B297,TableTime[[Activity]:[Activity]],T$1)=0,"",SUMIFS(TableTime[[Duration]:[Duration]],TableTime[[Date]:[Date]],$B297,TableTime[[Activity]:[Activity]],T$1))</f>
        <v/>
      </c>
      <c r="U297" s="39" t="str">
        <f>IF(SUMIFS(TableTime[[Duration]:[Duration]],TableTime[[Date]:[Date]],$B297,TableTime[[Activity]:[Activity]],U$1)=0,"",SUMIFS(TableTime[[Duration]:[Duration]],TableTime[[Date]:[Date]],$B297,TableTime[[Activity]:[Activity]],U$1))</f>
        <v/>
      </c>
    </row>
    <row r="298" spans="1:21" x14ac:dyDescent="0.35">
      <c r="A298" s="59" t="str">
        <f t="shared" si="24"/>
        <v>Tue</v>
      </c>
      <c r="B298" s="91">
        <f t="shared" si="26"/>
        <v>45223</v>
      </c>
      <c r="C298" s="60">
        <f t="shared" si="27"/>
        <v>10</v>
      </c>
      <c r="D298" s="61">
        <f t="shared" si="25"/>
        <v>43</v>
      </c>
      <c r="E298" s="103"/>
      <c r="F298" s="60" t="str">
        <f>IFERROR(IF(OR(WEEKDAY(B298,2)=6,WEEKDAY(B298,2)=7),'Month summary'!$D$11,IF(E298="",'Month summary'!$C$11,E298)),"")</f>
        <v>W</v>
      </c>
      <c r="G298" s="62">
        <f>IF(B298&lt;Time!$B$2,"",IF(F298='Month summary'!$C$11,'Month summary'!$F$2/24,IF(F298="H/2",'Month summary'!$F$2/24/2,0)))</f>
        <v>0.33333333333333331</v>
      </c>
      <c r="H298" s="62">
        <f t="shared" si="28"/>
        <v>0</v>
      </c>
      <c r="I298" s="62" t="str">
        <f t="shared" si="29"/>
        <v/>
      </c>
      <c r="J298" s="108"/>
      <c r="K298" s="63" t="str">
        <f>IFERROR(INDEX(TableTime[Time],MATCH(B298,TableTime[Date],0)),"")</f>
        <v/>
      </c>
      <c r="L298" s="62" t="str">
        <f>IF(SUMIFS(TableTime[Duration],TableTime[Date],B298,TableTime[Activity],Projects!$C$9)+SUMIFS(TableTime[Duration],TableTime[Date],B298,TableTime[Activity],Projects!$C$10)+SUMIFS(TableTime[Duration],TableTime[Date],B298,TableTime[Activity],Projects!$C$11)=0,"",SUMIFS(TableTime[Duration],TableTime[Date],B298,TableTime[Activity],Projects!$C$9)+SUMIFS(TableTime[Duration],TableTime[Date],B298,TableTime[Activity],Projects!$C$10)+SUMIFS(TableTime[Duration],TableTime[Date],B298,TableTime[Activity],Projects!$C$11))</f>
        <v/>
      </c>
      <c r="M298" s="62" t="str" cm="1">
        <f t="array" ref="M298">IFERROR(LOOKUP(2,1/(TableTime[Date]=B298),TableTime[Time]),"")</f>
        <v/>
      </c>
      <c r="N298" s="63" t="str">
        <f>IF(SUMIFS(TableTime[[Duration]:[Duration]],TableTime[[Date]:[Date]],$B298,TableTime[[Activity]:[Activity]],N$1)=0,"",SUMIFS(TableTime[[Duration]:[Duration]],TableTime[[Date]:[Date]],$B298,TableTime[[Activity]:[Activity]],N$1))</f>
        <v/>
      </c>
      <c r="O298" s="62" t="str">
        <f>IF(SUMIFS(TableTime[[Duration]:[Duration]],TableTime[[Date]:[Date]],$B298,TableTime[[Activity]:[Activity]],O$1)=0,"",SUMIFS(TableTime[[Duration]:[Duration]],TableTime[[Date]:[Date]],$B298,TableTime[[Activity]:[Activity]],O$1))</f>
        <v/>
      </c>
      <c r="P298" s="62" t="str">
        <f>IF(SUMIFS(TableTime[[Duration]:[Duration]],TableTime[[Date]:[Date]],$B298,TableTime[[Activity]:[Activity]],P$1)=0,"",SUMIFS(TableTime[[Duration]:[Duration]],TableTime[[Date]:[Date]],$B298,TableTime[[Activity]:[Activity]],P$1))</f>
        <v/>
      </c>
      <c r="Q298" s="62" t="str">
        <f>IF(SUMIFS(TableTime[[Duration]:[Duration]],TableTime[[Date]:[Date]],$B298,TableTime[[Activity]:[Activity]],Q$1)=0,"",SUMIFS(TableTime[[Duration]:[Duration]],TableTime[[Date]:[Date]],$B298,TableTime[[Activity]:[Activity]],Q$1))</f>
        <v/>
      </c>
      <c r="R298" s="62" t="str">
        <f>IF(SUMIFS(TableTime[[Duration]:[Duration]],TableTime[[Date]:[Date]],$B298,TableTime[[Activity]:[Activity]],R$1)=0,"",SUMIFS(TableTime[[Duration]:[Duration]],TableTime[[Date]:[Date]],$B298,TableTime[[Activity]:[Activity]],R$1))</f>
        <v/>
      </c>
      <c r="S298" s="131" t="str">
        <f>IF(SUMIFS(TableTime[[Duration]:[Duration]],TableTime[[Date]:[Date]],$B298,TableTime[[Activity]:[Activity]],S$1)=0,"",SUMIFS(TableTime[[Duration]:[Duration]],TableTime[[Date]:[Date]],$B298,TableTime[[Activity]:[Activity]],S$1))</f>
        <v/>
      </c>
      <c r="T298" s="62" t="str">
        <f>IF(SUMIFS(TableTime[[Duration]:[Duration]],TableTime[[Date]:[Date]],$B298,TableTime[[Activity]:[Activity]],T$1)=0,"",SUMIFS(TableTime[[Duration]:[Duration]],TableTime[[Date]:[Date]],$B298,TableTime[[Activity]:[Activity]],T$1))</f>
        <v/>
      </c>
      <c r="U298" s="64" t="str">
        <f>IF(SUMIFS(TableTime[[Duration]:[Duration]],TableTime[[Date]:[Date]],$B298,TableTime[[Activity]:[Activity]],U$1)=0,"",SUMIFS(TableTime[[Duration]:[Duration]],TableTime[[Date]:[Date]],$B298,TableTime[[Activity]:[Activity]],U$1))</f>
        <v/>
      </c>
    </row>
    <row r="299" spans="1:21" x14ac:dyDescent="0.35">
      <c r="A299" s="35" t="str">
        <f t="shared" si="24"/>
        <v>Wed</v>
      </c>
      <c r="B299" s="5">
        <f t="shared" si="26"/>
        <v>45224</v>
      </c>
      <c r="C299" s="1">
        <f t="shared" si="27"/>
        <v>10</v>
      </c>
      <c r="D299" s="2">
        <f t="shared" si="25"/>
        <v>43</v>
      </c>
      <c r="E299" s="102"/>
      <c r="F299" s="1" t="str">
        <f>IFERROR(IF(OR(WEEKDAY(B299,2)=6,WEEKDAY(B299,2)=7),'Month summary'!$D$11,IF(E299="",'Month summary'!$C$11,E299)),"")</f>
        <v>W</v>
      </c>
      <c r="G299" s="4">
        <f>IF(B299&lt;Time!$B$2,"",IF(F299='Month summary'!$C$11,'Month summary'!$F$2/24,IF(F299="H/2",'Month summary'!$F$2/24/2,0)))</f>
        <v>0.33333333333333331</v>
      </c>
      <c r="H299" s="4">
        <f t="shared" si="28"/>
        <v>0</v>
      </c>
      <c r="I299" s="4" t="str">
        <f t="shared" si="29"/>
        <v/>
      </c>
      <c r="J299" s="107"/>
      <c r="K299" s="38" t="str">
        <f>IFERROR(INDEX(TableTime[Time],MATCH(B299,TableTime[Date],0)),"")</f>
        <v/>
      </c>
      <c r="L299" s="4" t="str">
        <f>IF(SUMIFS(TableTime[Duration],TableTime[Date],B299,TableTime[Activity],Projects!$C$9)+SUMIFS(TableTime[Duration],TableTime[Date],B299,TableTime[Activity],Projects!$C$10)+SUMIFS(TableTime[Duration],TableTime[Date],B299,TableTime[Activity],Projects!$C$11)=0,"",SUMIFS(TableTime[Duration],TableTime[Date],B299,TableTime[Activity],Projects!$C$9)+SUMIFS(TableTime[Duration],TableTime[Date],B299,TableTime[Activity],Projects!$C$10)+SUMIFS(TableTime[Duration],TableTime[Date],B299,TableTime[Activity],Projects!$C$11))</f>
        <v/>
      </c>
      <c r="M299" s="4" t="str" cm="1">
        <f t="array" ref="M299">IFERROR(LOOKUP(2,1/(TableTime[Date]=B299),TableTime[Time]),"")</f>
        <v/>
      </c>
      <c r="N299" s="38" t="str">
        <f>IF(SUMIFS(TableTime[[Duration]:[Duration]],TableTime[[Date]:[Date]],$B299,TableTime[[Activity]:[Activity]],N$1)=0,"",SUMIFS(TableTime[[Duration]:[Duration]],TableTime[[Date]:[Date]],$B299,TableTime[[Activity]:[Activity]],N$1))</f>
        <v/>
      </c>
      <c r="O299" s="4" t="str">
        <f>IF(SUMIFS(TableTime[[Duration]:[Duration]],TableTime[[Date]:[Date]],$B299,TableTime[[Activity]:[Activity]],O$1)=0,"",SUMIFS(TableTime[[Duration]:[Duration]],TableTime[[Date]:[Date]],$B299,TableTime[[Activity]:[Activity]],O$1))</f>
        <v/>
      </c>
      <c r="P299" s="4" t="str">
        <f>IF(SUMIFS(TableTime[[Duration]:[Duration]],TableTime[[Date]:[Date]],$B299,TableTime[[Activity]:[Activity]],P$1)=0,"",SUMIFS(TableTime[[Duration]:[Duration]],TableTime[[Date]:[Date]],$B299,TableTime[[Activity]:[Activity]],P$1))</f>
        <v/>
      </c>
      <c r="Q299" s="4" t="str">
        <f>IF(SUMIFS(TableTime[[Duration]:[Duration]],TableTime[[Date]:[Date]],$B299,TableTime[[Activity]:[Activity]],Q$1)=0,"",SUMIFS(TableTime[[Duration]:[Duration]],TableTime[[Date]:[Date]],$B299,TableTime[[Activity]:[Activity]],Q$1))</f>
        <v/>
      </c>
      <c r="R299" s="4" t="str">
        <f>IF(SUMIFS(TableTime[[Duration]:[Duration]],TableTime[[Date]:[Date]],$B299,TableTime[[Activity]:[Activity]],R$1)=0,"",SUMIFS(TableTime[[Duration]:[Duration]],TableTime[[Date]:[Date]],$B299,TableTime[[Activity]:[Activity]],R$1))</f>
        <v/>
      </c>
      <c r="S299" s="130" t="str">
        <f>IF(SUMIFS(TableTime[[Duration]:[Duration]],TableTime[[Date]:[Date]],$B299,TableTime[[Activity]:[Activity]],S$1)=0,"",SUMIFS(TableTime[[Duration]:[Duration]],TableTime[[Date]:[Date]],$B299,TableTime[[Activity]:[Activity]],S$1))</f>
        <v/>
      </c>
      <c r="T299" s="4" t="str">
        <f>IF(SUMIFS(TableTime[[Duration]:[Duration]],TableTime[[Date]:[Date]],$B299,TableTime[[Activity]:[Activity]],T$1)=0,"",SUMIFS(TableTime[[Duration]:[Duration]],TableTime[[Date]:[Date]],$B299,TableTime[[Activity]:[Activity]],T$1))</f>
        <v/>
      </c>
      <c r="U299" s="39" t="str">
        <f>IF(SUMIFS(TableTime[[Duration]:[Duration]],TableTime[[Date]:[Date]],$B299,TableTime[[Activity]:[Activity]],U$1)=0,"",SUMIFS(TableTime[[Duration]:[Duration]],TableTime[[Date]:[Date]],$B299,TableTime[[Activity]:[Activity]],U$1))</f>
        <v/>
      </c>
    </row>
    <row r="300" spans="1:21" x14ac:dyDescent="0.35">
      <c r="A300" s="59" t="str">
        <f t="shared" si="24"/>
        <v>Thr</v>
      </c>
      <c r="B300" s="91">
        <f t="shared" si="26"/>
        <v>45225</v>
      </c>
      <c r="C300" s="60">
        <f t="shared" si="27"/>
        <v>10</v>
      </c>
      <c r="D300" s="61">
        <f t="shared" si="25"/>
        <v>43</v>
      </c>
      <c r="E300" s="103"/>
      <c r="F300" s="60" t="str">
        <f>IFERROR(IF(OR(WEEKDAY(B300,2)=6,WEEKDAY(B300,2)=7),'Month summary'!$D$11,IF(E300="",'Month summary'!$C$11,E300)),"")</f>
        <v>W</v>
      </c>
      <c r="G300" s="62">
        <f>IF(B300&lt;Time!$B$2,"",IF(F300='Month summary'!$C$11,'Month summary'!$F$2/24,IF(F300="H/2",'Month summary'!$F$2/24/2,0)))</f>
        <v>0.33333333333333331</v>
      </c>
      <c r="H300" s="62">
        <f t="shared" si="28"/>
        <v>0</v>
      </c>
      <c r="I300" s="62" t="str">
        <f t="shared" si="29"/>
        <v/>
      </c>
      <c r="J300" s="108"/>
      <c r="K300" s="63" t="str">
        <f>IFERROR(INDEX(TableTime[Time],MATCH(B300,TableTime[Date],0)),"")</f>
        <v/>
      </c>
      <c r="L300" s="62" t="str">
        <f>IF(SUMIFS(TableTime[Duration],TableTime[Date],B300,TableTime[Activity],Projects!$C$9)+SUMIFS(TableTime[Duration],TableTime[Date],B300,TableTime[Activity],Projects!$C$10)+SUMIFS(TableTime[Duration],TableTime[Date],B300,TableTime[Activity],Projects!$C$11)=0,"",SUMIFS(TableTime[Duration],TableTime[Date],B300,TableTime[Activity],Projects!$C$9)+SUMIFS(TableTime[Duration],TableTime[Date],B300,TableTime[Activity],Projects!$C$10)+SUMIFS(TableTime[Duration],TableTime[Date],B300,TableTime[Activity],Projects!$C$11))</f>
        <v/>
      </c>
      <c r="M300" s="62" t="str" cm="1">
        <f t="array" ref="M300">IFERROR(LOOKUP(2,1/(TableTime[Date]=B300),TableTime[Time]),"")</f>
        <v/>
      </c>
      <c r="N300" s="63" t="str">
        <f>IF(SUMIFS(TableTime[[Duration]:[Duration]],TableTime[[Date]:[Date]],$B300,TableTime[[Activity]:[Activity]],N$1)=0,"",SUMIFS(TableTime[[Duration]:[Duration]],TableTime[[Date]:[Date]],$B300,TableTime[[Activity]:[Activity]],N$1))</f>
        <v/>
      </c>
      <c r="O300" s="62" t="str">
        <f>IF(SUMIFS(TableTime[[Duration]:[Duration]],TableTime[[Date]:[Date]],$B300,TableTime[[Activity]:[Activity]],O$1)=0,"",SUMIFS(TableTime[[Duration]:[Duration]],TableTime[[Date]:[Date]],$B300,TableTime[[Activity]:[Activity]],O$1))</f>
        <v/>
      </c>
      <c r="P300" s="62" t="str">
        <f>IF(SUMIFS(TableTime[[Duration]:[Duration]],TableTime[[Date]:[Date]],$B300,TableTime[[Activity]:[Activity]],P$1)=0,"",SUMIFS(TableTime[[Duration]:[Duration]],TableTime[[Date]:[Date]],$B300,TableTime[[Activity]:[Activity]],P$1))</f>
        <v/>
      </c>
      <c r="Q300" s="62" t="str">
        <f>IF(SUMIFS(TableTime[[Duration]:[Duration]],TableTime[[Date]:[Date]],$B300,TableTime[[Activity]:[Activity]],Q$1)=0,"",SUMIFS(TableTime[[Duration]:[Duration]],TableTime[[Date]:[Date]],$B300,TableTime[[Activity]:[Activity]],Q$1))</f>
        <v/>
      </c>
      <c r="R300" s="62" t="str">
        <f>IF(SUMIFS(TableTime[[Duration]:[Duration]],TableTime[[Date]:[Date]],$B300,TableTime[[Activity]:[Activity]],R$1)=0,"",SUMIFS(TableTime[[Duration]:[Duration]],TableTime[[Date]:[Date]],$B300,TableTime[[Activity]:[Activity]],R$1))</f>
        <v/>
      </c>
      <c r="S300" s="131" t="str">
        <f>IF(SUMIFS(TableTime[[Duration]:[Duration]],TableTime[[Date]:[Date]],$B300,TableTime[[Activity]:[Activity]],S$1)=0,"",SUMIFS(TableTime[[Duration]:[Duration]],TableTime[[Date]:[Date]],$B300,TableTime[[Activity]:[Activity]],S$1))</f>
        <v/>
      </c>
      <c r="T300" s="62" t="str">
        <f>IF(SUMIFS(TableTime[[Duration]:[Duration]],TableTime[[Date]:[Date]],$B300,TableTime[[Activity]:[Activity]],T$1)=0,"",SUMIFS(TableTime[[Duration]:[Duration]],TableTime[[Date]:[Date]],$B300,TableTime[[Activity]:[Activity]],T$1))</f>
        <v/>
      </c>
      <c r="U300" s="64" t="str">
        <f>IF(SUMIFS(TableTime[[Duration]:[Duration]],TableTime[[Date]:[Date]],$B300,TableTime[[Activity]:[Activity]],U$1)=0,"",SUMIFS(TableTime[[Duration]:[Duration]],TableTime[[Date]:[Date]],$B300,TableTime[[Activity]:[Activity]],U$1))</f>
        <v/>
      </c>
    </row>
    <row r="301" spans="1:21" x14ac:dyDescent="0.35">
      <c r="A301" s="35" t="str">
        <f t="shared" si="24"/>
        <v>Fri</v>
      </c>
      <c r="B301" s="5">
        <f t="shared" si="26"/>
        <v>45226</v>
      </c>
      <c r="C301" s="1">
        <f t="shared" si="27"/>
        <v>10</v>
      </c>
      <c r="D301" s="2">
        <f t="shared" si="25"/>
        <v>43</v>
      </c>
      <c r="E301" s="102"/>
      <c r="F301" s="1" t="str">
        <f>IFERROR(IF(OR(WEEKDAY(B301,2)=6,WEEKDAY(B301,2)=7),'Month summary'!$D$11,IF(E301="",'Month summary'!$C$11,E301)),"")</f>
        <v>W</v>
      </c>
      <c r="G301" s="4">
        <f>IF(B301&lt;Time!$B$2,"",IF(F301='Month summary'!$C$11,'Month summary'!$F$2/24,IF(F301="H/2",'Month summary'!$F$2/24/2,0)))</f>
        <v>0.33333333333333331</v>
      </c>
      <c r="H301" s="4">
        <f t="shared" si="28"/>
        <v>0</v>
      </c>
      <c r="I301" s="4" t="str">
        <f t="shared" si="29"/>
        <v/>
      </c>
      <c r="J301" s="107"/>
      <c r="K301" s="38" t="str">
        <f>IFERROR(INDEX(TableTime[Time],MATCH(B301,TableTime[Date],0)),"")</f>
        <v/>
      </c>
      <c r="L301" s="4" t="str">
        <f>IF(SUMIFS(TableTime[Duration],TableTime[Date],B301,TableTime[Activity],Projects!$C$9)+SUMIFS(TableTime[Duration],TableTime[Date],B301,TableTime[Activity],Projects!$C$10)+SUMIFS(TableTime[Duration],TableTime[Date],B301,TableTime[Activity],Projects!$C$11)=0,"",SUMIFS(TableTime[Duration],TableTime[Date],B301,TableTime[Activity],Projects!$C$9)+SUMIFS(TableTime[Duration],TableTime[Date],B301,TableTime[Activity],Projects!$C$10)+SUMIFS(TableTime[Duration],TableTime[Date],B301,TableTime[Activity],Projects!$C$11))</f>
        <v/>
      </c>
      <c r="M301" s="4" t="str" cm="1">
        <f t="array" ref="M301">IFERROR(LOOKUP(2,1/(TableTime[Date]=B301),TableTime[Time]),"")</f>
        <v/>
      </c>
      <c r="N301" s="38" t="str">
        <f>IF(SUMIFS(TableTime[[Duration]:[Duration]],TableTime[[Date]:[Date]],$B301,TableTime[[Activity]:[Activity]],N$1)=0,"",SUMIFS(TableTime[[Duration]:[Duration]],TableTime[[Date]:[Date]],$B301,TableTime[[Activity]:[Activity]],N$1))</f>
        <v/>
      </c>
      <c r="O301" s="4" t="str">
        <f>IF(SUMIFS(TableTime[[Duration]:[Duration]],TableTime[[Date]:[Date]],$B301,TableTime[[Activity]:[Activity]],O$1)=0,"",SUMIFS(TableTime[[Duration]:[Duration]],TableTime[[Date]:[Date]],$B301,TableTime[[Activity]:[Activity]],O$1))</f>
        <v/>
      </c>
      <c r="P301" s="4" t="str">
        <f>IF(SUMIFS(TableTime[[Duration]:[Duration]],TableTime[[Date]:[Date]],$B301,TableTime[[Activity]:[Activity]],P$1)=0,"",SUMIFS(TableTime[[Duration]:[Duration]],TableTime[[Date]:[Date]],$B301,TableTime[[Activity]:[Activity]],P$1))</f>
        <v/>
      </c>
      <c r="Q301" s="4" t="str">
        <f>IF(SUMIFS(TableTime[[Duration]:[Duration]],TableTime[[Date]:[Date]],$B301,TableTime[[Activity]:[Activity]],Q$1)=0,"",SUMIFS(TableTime[[Duration]:[Duration]],TableTime[[Date]:[Date]],$B301,TableTime[[Activity]:[Activity]],Q$1))</f>
        <v/>
      </c>
      <c r="R301" s="4" t="str">
        <f>IF(SUMIFS(TableTime[[Duration]:[Duration]],TableTime[[Date]:[Date]],$B301,TableTime[[Activity]:[Activity]],R$1)=0,"",SUMIFS(TableTime[[Duration]:[Duration]],TableTime[[Date]:[Date]],$B301,TableTime[[Activity]:[Activity]],R$1))</f>
        <v/>
      </c>
      <c r="S301" s="130" t="str">
        <f>IF(SUMIFS(TableTime[[Duration]:[Duration]],TableTime[[Date]:[Date]],$B301,TableTime[[Activity]:[Activity]],S$1)=0,"",SUMIFS(TableTime[[Duration]:[Duration]],TableTime[[Date]:[Date]],$B301,TableTime[[Activity]:[Activity]],S$1))</f>
        <v/>
      </c>
      <c r="T301" s="4" t="str">
        <f>IF(SUMIFS(TableTime[[Duration]:[Duration]],TableTime[[Date]:[Date]],$B301,TableTime[[Activity]:[Activity]],T$1)=0,"",SUMIFS(TableTime[[Duration]:[Duration]],TableTime[[Date]:[Date]],$B301,TableTime[[Activity]:[Activity]],T$1))</f>
        <v/>
      </c>
      <c r="U301" s="39" t="str">
        <f>IF(SUMIFS(TableTime[[Duration]:[Duration]],TableTime[[Date]:[Date]],$B301,TableTime[[Activity]:[Activity]],U$1)=0,"",SUMIFS(TableTime[[Duration]:[Duration]],TableTime[[Date]:[Date]],$B301,TableTime[[Activity]:[Activity]],U$1))</f>
        <v/>
      </c>
    </row>
    <row r="302" spans="1:21" x14ac:dyDescent="0.35">
      <c r="A302" s="59" t="str">
        <f t="shared" si="24"/>
        <v>Sat</v>
      </c>
      <c r="B302" s="91">
        <f t="shared" si="26"/>
        <v>45227</v>
      </c>
      <c r="C302" s="60">
        <f t="shared" si="27"/>
        <v>10</v>
      </c>
      <c r="D302" s="61">
        <f t="shared" si="25"/>
        <v>43</v>
      </c>
      <c r="E302" s="103"/>
      <c r="F302" s="60" t="str">
        <f>IFERROR(IF(OR(WEEKDAY(B302,2)=6,WEEKDAY(B302,2)=7),'Month summary'!$D$11,IF(E302="",'Month summary'!$C$11,E302)),"")</f>
        <v>WE</v>
      </c>
      <c r="G302" s="62">
        <f>IF(B302&lt;Time!$B$2,"",IF(F302='Month summary'!$C$11,'Month summary'!$F$2/24,IF(F302="H/2",'Month summary'!$F$2/24/2,0)))</f>
        <v>0</v>
      </c>
      <c r="H302" s="62">
        <f t="shared" si="28"/>
        <v>0</v>
      </c>
      <c r="I302" s="62" t="str">
        <f t="shared" si="29"/>
        <v/>
      </c>
      <c r="J302" s="108"/>
      <c r="K302" s="63" t="str">
        <f>IFERROR(INDEX(TableTime[Time],MATCH(B302,TableTime[Date],0)),"")</f>
        <v/>
      </c>
      <c r="L302" s="62" t="str">
        <f>IF(SUMIFS(TableTime[Duration],TableTime[Date],B302,TableTime[Activity],Projects!$C$9)+SUMIFS(TableTime[Duration],TableTime[Date],B302,TableTime[Activity],Projects!$C$10)+SUMIFS(TableTime[Duration],TableTime[Date],B302,TableTime[Activity],Projects!$C$11)=0,"",SUMIFS(TableTime[Duration],TableTime[Date],B302,TableTime[Activity],Projects!$C$9)+SUMIFS(TableTime[Duration],TableTime[Date],B302,TableTime[Activity],Projects!$C$10)+SUMIFS(TableTime[Duration],TableTime[Date],B302,TableTime[Activity],Projects!$C$11))</f>
        <v/>
      </c>
      <c r="M302" s="62" t="str" cm="1">
        <f t="array" ref="M302">IFERROR(LOOKUP(2,1/(TableTime[Date]=B302),TableTime[Time]),"")</f>
        <v/>
      </c>
      <c r="N302" s="63" t="str">
        <f>IF(SUMIFS(TableTime[[Duration]:[Duration]],TableTime[[Date]:[Date]],$B302,TableTime[[Activity]:[Activity]],N$1)=0,"",SUMIFS(TableTime[[Duration]:[Duration]],TableTime[[Date]:[Date]],$B302,TableTime[[Activity]:[Activity]],N$1))</f>
        <v/>
      </c>
      <c r="O302" s="62" t="str">
        <f>IF(SUMIFS(TableTime[[Duration]:[Duration]],TableTime[[Date]:[Date]],$B302,TableTime[[Activity]:[Activity]],O$1)=0,"",SUMIFS(TableTime[[Duration]:[Duration]],TableTime[[Date]:[Date]],$B302,TableTime[[Activity]:[Activity]],O$1))</f>
        <v/>
      </c>
      <c r="P302" s="62" t="str">
        <f>IF(SUMIFS(TableTime[[Duration]:[Duration]],TableTime[[Date]:[Date]],$B302,TableTime[[Activity]:[Activity]],P$1)=0,"",SUMIFS(TableTime[[Duration]:[Duration]],TableTime[[Date]:[Date]],$B302,TableTime[[Activity]:[Activity]],P$1))</f>
        <v/>
      </c>
      <c r="Q302" s="62" t="str">
        <f>IF(SUMIFS(TableTime[[Duration]:[Duration]],TableTime[[Date]:[Date]],$B302,TableTime[[Activity]:[Activity]],Q$1)=0,"",SUMIFS(TableTime[[Duration]:[Duration]],TableTime[[Date]:[Date]],$B302,TableTime[[Activity]:[Activity]],Q$1))</f>
        <v/>
      </c>
      <c r="R302" s="62" t="str">
        <f>IF(SUMIFS(TableTime[[Duration]:[Duration]],TableTime[[Date]:[Date]],$B302,TableTime[[Activity]:[Activity]],R$1)=0,"",SUMIFS(TableTime[[Duration]:[Duration]],TableTime[[Date]:[Date]],$B302,TableTime[[Activity]:[Activity]],R$1))</f>
        <v/>
      </c>
      <c r="S302" s="131" t="str">
        <f>IF(SUMIFS(TableTime[[Duration]:[Duration]],TableTime[[Date]:[Date]],$B302,TableTime[[Activity]:[Activity]],S$1)=0,"",SUMIFS(TableTime[[Duration]:[Duration]],TableTime[[Date]:[Date]],$B302,TableTime[[Activity]:[Activity]],S$1))</f>
        <v/>
      </c>
      <c r="T302" s="62" t="str">
        <f>IF(SUMIFS(TableTime[[Duration]:[Duration]],TableTime[[Date]:[Date]],$B302,TableTime[[Activity]:[Activity]],T$1)=0,"",SUMIFS(TableTime[[Duration]:[Duration]],TableTime[[Date]:[Date]],$B302,TableTime[[Activity]:[Activity]],T$1))</f>
        <v/>
      </c>
      <c r="U302" s="64" t="str">
        <f>IF(SUMIFS(TableTime[[Duration]:[Duration]],TableTime[[Date]:[Date]],$B302,TableTime[[Activity]:[Activity]],U$1)=0,"",SUMIFS(TableTime[[Duration]:[Duration]],TableTime[[Date]:[Date]],$B302,TableTime[[Activity]:[Activity]],U$1))</f>
        <v/>
      </c>
    </row>
    <row r="303" spans="1:21" x14ac:dyDescent="0.35">
      <c r="A303" s="35" t="str">
        <f t="shared" si="24"/>
        <v>Sun</v>
      </c>
      <c r="B303" s="5">
        <f t="shared" si="26"/>
        <v>45228</v>
      </c>
      <c r="C303" s="1">
        <f t="shared" si="27"/>
        <v>10</v>
      </c>
      <c r="D303" s="2">
        <f t="shared" si="25"/>
        <v>43</v>
      </c>
      <c r="E303" s="102"/>
      <c r="F303" s="1" t="str">
        <f>IFERROR(IF(OR(WEEKDAY(B303,2)=6,WEEKDAY(B303,2)=7),'Month summary'!$D$11,IF(E303="",'Month summary'!$C$11,E303)),"")</f>
        <v>WE</v>
      </c>
      <c r="G303" s="4">
        <f>IF(B303&lt;Time!$B$2,"",IF(F303='Month summary'!$C$11,'Month summary'!$F$2/24,IF(F303="H/2",'Month summary'!$F$2/24/2,0)))</f>
        <v>0</v>
      </c>
      <c r="H303" s="4">
        <f t="shared" si="28"/>
        <v>0</v>
      </c>
      <c r="I303" s="4" t="str">
        <f t="shared" si="29"/>
        <v/>
      </c>
      <c r="J303" s="107"/>
      <c r="K303" s="38" t="str">
        <f>IFERROR(INDEX(TableTime[Time],MATCH(B303,TableTime[Date],0)),"")</f>
        <v/>
      </c>
      <c r="L303" s="4" t="str">
        <f>IF(SUMIFS(TableTime[Duration],TableTime[Date],B303,TableTime[Activity],Projects!$C$9)+SUMIFS(TableTime[Duration],TableTime[Date],B303,TableTime[Activity],Projects!$C$10)+SUMIFS(TableTime[Duration],TableTime[Date],B303,TableTime[Activity],Projects!$C$11)=0,"",SUMIFS(TableTime[Duration],TableTime[Date],B303,TableTime[Activity],Projects!$C$9)+SUMIFS(TableTime[Duration],TableTime[Date],B303,TableTime[Activity],Projects!$C$10)+SUMIFS(TableTime[Duration],TableTime[Date],B303,TableTime[Activity],Projects!$C$11))</f>
        <v/>
      </c>
      <c r="M303" s="4" t="str" cm="1">
        <f t="array" ref="M303">IFERROR(LOOKUP(2,1/(TableTime[Date]=B303),TableTime[Time]),"")</f>
        <v/>
      </c>
      <c r="N303" s="38" t="str">
        <f>IF(SUMIFS(TableTime[[Duration]:[Duration]],TableTime[[Date]:[Date]],$B303,TableTime[[Activity]:[Activity]],N$1)=0,"",SUMIFS(TableTime[[Duration]:[Duration]],TableTime[[Date]:[Date]],$B303,TableTime[[Activity]:[Activity]],N$1))</f>
        <v/>
      </c>
      <c r="O303" s="4" t="str">
        <f>IF(SUMIFS(TableTime[[Duration]:[Duration]],TableTime[[Date]:[Date]],$B303,TableTime[[Activity]:[Activity]],O$1)=0,"",SUMIFS(TableTime[[Duration]:[Duration]],TableTime[[Date]:[Date]],$B303,TableTime[[Activity]:[Activity]],O$1))</f>
        <v/>
      </c>
      <c r="P303" s="4" t="str">
        <f>IF(SUMIFS(TableTime[[Duration]:[Duration]],TableTime[[Date]:[Date]],$B303,TableTime[[Activity]:[Activity]],P$1)=0,"",SUMIFS(TableTime[[Duration]:[Duration]],TableTime[[Date]:[Date]],$B303,TableTime[[Activity]:[Activity]],P$1))</f>
        <v/>
      </c>
      <c r="Q303" s="4" t="str">
        <f>IF(SUMIFS(TableTime[[Duration]:[Duration]],TableTime[[Date]:[Date]],$B303,TableTime[[Activity]:[Activity]],Q$1)=0,"",SUMIFS(TableTime[[Duration]:[Duration]],TableTime[[Date]:[Date]],$B303,TableTime[[Activity]:[Activity]],Q$1))</f>
        <v/>
      </c>
      <c r="R303" s="4" t="str">
        <f>IF(SUMIFS(TableTime[[Duration]:[Duration]],TableTime[[Date]:[Date]],$B303,TableTime[[Activity]:[Activity]],R$1)=0,"",SUMIFS(TableTime[[Duration]:[Duration]],TableTime[[Date]:[Date]],$B303,TableTime[[Activity]:[Activity]],R$1))</f>
        <v/>
      </c>
      <c r="S303" s="130" t="str">
        <f>IF(SUMIFS(TableTime[[Duration]:[Duration]],TableTime[[Date]:[Date]],$B303,TableTime[[Activity]:[Activity]],S$1)=0,"",SUMIFS(TableTime[[Duration]:[Duration]],TableTime[[Date]:[Date]],$B303,TableTime[[Activity]:[Activity]],S$1))</f>
        <v/>
      </c>
      <c r="T303" s="4" t="str">
        <f>IF(SUMIFS(TableTime[[Duration]:[Duration]],TableTime[[Date]:[Date]],$B303,TableTime[[Activity]:[Activity]],T$1)=0,"",SUMIFS(TableTime[[Duration]:[Duration]],TableTime[[Date]:[Date]],$B303,TableTime[[Activity]:[Activity]],T$1))</f>
        <v/>
      </c>
      <c r="U303" s="39" t="str">
        <f>IF(SUMIFS(TableTime[[Duration]:[Duration]],TableTime[[Date]:[Date]],$B303,TableTime[[Activity]:[Activity]],U$1)=0,"",SUMIFS(TableTime[[Duration]:[Duration]],TableTime[[Date]:[Date]],$B303,TableTime[[Activity]:[Activity]],U$1))</f>
        <v/>
      </c>
    </row>
    <row r="304" spans="1:21" x14ac:dyDescent="0.35">
      <c r="A304" s="59" t="str">
        <f t="shared" si="24"/>
        <v>Mon</v>
      </c>
      <c r="B304" s="91">
        <f t="shared" si="26"/>
        <v>45229</v>
      </c>
      <c r="C304" s="60">
        <f t="shared" si="27"/>
        <v>10</v>
      </c>
      <c r="D304" s="61">
        <f t="shared" si="25"/>
        <v>44</v>
      </c>
      <c r="E304" s="103"/>
      <c r="F304" s="60" t="str">
        <f>IFERROR(IF(OR(WEEKDAY(B304,2)=6,WEEKDAY(B304,2)=7),'Month summary'!$D$11,IF(E304="",'Month summary'!$C$11,E304)),"")</f>
        <v>W</v>
      </c>
      <c r="G304" s="62">
        <f>IF(B304&lt;Time!$B$2,"",IF(F304='Month summary'!$C$11,'Month summary'!$F$2/24,IF(F304="H/2",'Month summary'!$F$2/24/2,0)))</f>
        <v>0.33333333333333331</v>
      </c>
      <c r="H304" s="62">
        <f t="shared" si="28"/>
        <v>0</v>
      </c>
      <c r="I304" s="62" t="str">
        <f t="shared" si="29"/>
        <v/>
      </c>
      <c r="J304" s="108"/>
      <c r="K304" s="63" t="str">
        <f>IFERROR(INDEX(TableTime[Time],MATCH(B304,TableTime[Date],0)),"")</f>
        <v/>
      </c>
      <c r="L304" s="62" t="str">
        <f>IF(SUMIFS(TableTime[Duration],TableTime[Date],B304,TableTime[Activity],Projects!$C$9)+SUMIFS(TableTime[Duration],TableTime[Date],B304,TableTime[Activity],Projects!$C$10)+SUMIFS(TableTime[Duration],TableTime[Date],B304,TableTime[Activity],Projects!$C$11)=0,"",SUMIFS(TableTime[Duration],TableTime[Date],B304,TableTime[Activity],Projects!$C$9)+SUMIFS(TableTime[Duration],TableTime[Date],B304,TableTime[Activity],Projects!$C$10)+SUMIFS(TableTime[Duration],TableTime[Date],B304,TableTime[Activity],Projects!$C$11))</f>
        <v/>
      </c>
      <c r="M304" s="62" t="str" cm="1">
        <f t="array" ref="M304">IFERROR(LOOKUP(2,1/(TableTime[Date]=B304),TableTime[Time]),"")</f>
        <v/>
      </c>
      <c r="N304" s="63" t="str">
        <f>IF(SUMIFS(TableTime[[Duration]:[Duration]],TableTime[[Date]:[Date]],$B304,TableTime[[Activity]:[Activity]],N$1)=0,"",SUMIFS(TableTime[[Duration]:[Duration]],TableTime[[Date]:[Date]],$B304,TableTime[[Activity]:[Activity]],N$1))</f>
        <v/>
      </c>
      <c r="O304" s="62" t="str">
        <f>IF(SUMIFS(TableTime[[Duration]:[Duration]],TableTime[[Date]:[Date]],$B304,TableTime[[Activity]:[Activity]],O$1)=0,"",SUMIFS(TableTime[[Duration]:[Duration]],TableTime[[Date]:[Date]],$B304,TableTime[[Activity]:[Activity]],O$1))</f>
        <v/>
      </c>
      <c r="P304" s="62" t="str">
        <f>IF(SUMIFS(TableTime[[Duration]:[Duration]],TableTime[[Date]:[Date]],$B304,TableTime[[Activity]:[Activity]],P$1)=0,"",SUMIFS(TableTime[[Duration]:[Duration]],TableTime[[Date]:[Date]],$B304,TableTime[[Activity]:[Activity]],P$1))</f>
        <v/>
      </c>
      <c r="Q304" s="62" t="str">
        <f>IF(SUMIFS(TableTime[[Duration]:[Duration]],TableTime[[Date]:[Date]],$B304,TableTime[[Activity]:[Activity]],Q$1)=0,"",SUMIFS(TableTime[[Duration]:[Duration]],TableTime[[Date]:[Date]],$B304,TableTime[[Activity]:[Activity]],Q$1))</f>
        <v/>
      </c>
      <c r="R304" s="62" t="str">
        <f>IF(SUMIFS(TableTime[[Duration]:[Duration]],TableTime[[Date]:[Date]],$B304,TableTime[[Activity]:[Activity]],R$1)=0,"",SUMIFS(TableTime[[Duration]:[Duration]],TableTime[[Date]:[Date]],$B304,TableTime[[Activity]:[Activity]],R$1))</f>
        <v/>
      </c>
      <c r="S304" s="131" t="str">
        <f>IF(SUMIFS(TableTime[[Duration]:[Duration]],TableTime[[Date]:[Date]],$B304,TableTime[[Activity]:[Activity]],S$1)=0,"",SUMIFS(TableTime[[Duration]:[Duration]],TableTime[[Date]:[Date]],$B304,TableTime[[Activity]:[Activity]],S$1))</f>
        <v/>
      </c>
      <c r="T304" s="62" t="str">
        <f>IF(SUMIFS(TableTime[[Duration]:[Duration]],TableTime[[Date]:[Date]],$B304,TableTime[[Activity]:[Activity]],T$1)=0,"",SUMIFS(TableTime[[Duration]:[Duration]],TableTime[[Date]:[Date]],$B304,TableTime[[Activity]:[Activity]],T$1))</f>
        <v/>
      </c>
      <c r="U304" s="64" t="str">
        <f>IF(SUMIFS(TableTime[[Duration]:[Duration]],TableTime[[Date]:[Date]],$B304,TableTime[[Activity]:[Activity]],U$1)=0,"",SUMIFS(TableTime[[Duration]:[Duration]],TableTime[[Date]:[Date]],$B304,TableTime[[Activity]:[Activity]],U$1))</f>
        <v/>
      </c>
    </row>
    <row r="305" spans="1:21" x14ac:dyDescent="0.35">
      <c r="A305" s="35" t="str">
        <f t="shared" si="24"/>
        <v>Tue</v>
      </c>
      <c r="B305" s="5">
        <f t="shared" si="26"/>
        <v>45230</v>
      </c>
      <c r="C305" s="1">
        <f t="shared" si="27"/>
        <v>10</v>
      </c>
      <c r="D305" s="2">
        <f t="shared" si="25"/>
        <v>44</v>
      </c>
      <c r="E305" s="102"/>
      <c r="F305" s="1" t="str">
        <f>IFERROR(IF(OR(WEEKDAY(B305,2)=6,WEEKDAY(B305,2)=7),'Month summary'!$D$11,IF(E305="",'Month summary'!$C$11,E305)),"")</f>
        <v>W</v>
      </c>
      <c r="G305" s="4">
        <f>IF(B305&lt;Time!$B$2,"",IF(F305='Month summary'!$C$11,'Month summary'!$F$2/24,IF(F305="H/2",'Month summary'!$F$2/24/2,0)))</f>
        <v>0.33333333333333331</v>
      </c>
      <c r="H305" s="4">
        <f t="shared" si="28"/>
        <v>0</v>
      </c>
      <c r="I305" s="4" t="str">
        <f t="shared" si="29"/>
        <v/>
      </c>
      <c r="J305" s="107"/>
      <c r="K305" s="38" t="str">
        <f>IFERROR(INDEX(TableTime[Time],MATCH(B305,TableTime[Date],0)),"")</f>
        <v/>
      </c>
      <c r="L305" s="4" t="str">
        <f>IF(SUMIFS(TableTime[Duration],TableTime[Date],B305,TableTime[Activity],Projects!$C$9)+SUMIFS(TableTime[Duration],TableTime[Date],B305,TableTime[Activity],Projects!$C$10)+SUMIFS(TableTime[Duration],TableTime[Date],B305,TableTime[Activity],Projects!$C$11)=0,"",SUMIFS(TableTime[Duration],TableTime[Date],B305,TableTime[Activity],Projects!$C$9)+SUMIFS(TableTime[Duration],TableTime[Date],B305,TableTime[Activity],Projects!$C$10)+SUMIFS(TableTime[Duration],TableTime[Date],B305,TableTime[Activity],Projects!$C$11))</f>
        <v/>
      </c>
      <c r="M305" s="4" t="str" cm="1">
        <f t="array" ref="M305">IFERROR(LOOKUP(2,1/(TableTime[Date]=B305),TableTime[Time]),"")</f>
        <v/>
      </c>
      <c r="N305" s="38" t="str">
        <f>IF(SUMIFS(TableTime[[Duration]:[Duration]],TableTime[[Date]:[Date]],$B305,TableTime[[Activity]:[Activity]],N$1)=0,"",SUMIFS(TableTime[[Duration]:[Duration]],TableTime[[Date]:[Date]],$B305,TableTime[[Activity]:[Activity]],N$1))</f>
        <v/>
      </c>
      <c r="O305" s="4" t="str">
        <f>IF(SUMIFS(TableTime[[Duration]:[Duration]],TableTime[[Date]:[Date]],$B305,TableTime[[Activity]:[Activity]],O$1)=0,"",SUMIFS(TableTime[[Duration]:[Duration]],TableTime[[Date]:[Date]],$B305,TableTime[[Activity]:[Activity]],O$1))</f>
        <v/>
      </c>
      <c r="P305" s="4" t="str">
        <f>IF(SUMIFS(TableTime[[Duration]:[Duration]],TableTime[[Date]:[Date]],$B305,TableTime[[Activity]:[Activity]],P$1)=0,"",SUMIFS(TableTime[[Duration]:[Duration]],TableTime[[Date]:[Date]],$B305,TableTime[[Activity]:[Activity]],P$1))</f>
        <v/>
      </c>
      <c r="Q305" s="4" t="str">
        <f>IF(SUMIFS(TableTime[[Duration]:[Duration]],TableTime[[Date]:[Date]],$B305,TableTime[[Activity]:[Activity]],Q$1)=0,"",SUMIFS(TableTime[[Duration]:[Duration]],TableTime[[Date]:[Date]],$B305,TableTime[[Activity]:[Activity]],Q$1))</f>
        <v/>
      </c>
      <c r="R305" s="4" t="str">
        <f>IF(SUMIFS(TableTime[[Duration]:[Duration]],TableTime[[Date]:[Date]],$B305,TableTime[[Activity]:[Activity]],R$1)=0,"",SUMIFS(TableTime[[Duration]:[Duration]],TableTime[[Date]:[Date]],$B305,TableTime[[Activity]:[Activity]],R$1))</f>
        <v/>
      </c>
      <c r="S305" s="130" t="str">
        <f>IF(SUMIFS(TableTime[[Duration]:[Duration]],TableTime[[Date]:[Date]],$B305,TableTime[[Activity]:[Activity]],S$1)=0,"",SUMIFS(TableTime[[Duration]:[Duration]],TableTime[[Date]:[Date]],$B305,TableTime[[Activity]:[Activity]],S$1))</f>
        <v/>
      </c>
      <c r="T305" s="4" t="str">
        <f>IF(SUMIFS(TableTime[[Duration]:[Duration]],TableTime[[Date]:[Date]],$B305,TableTime[[Activity]:[Activity]],T$1)=0,"",SUMIFS(TableTime[[Duration]:[Duration]],TableTime[[Date]:[Date]],$B305,TableTime[[Activity]:[Activity]],T$1))</f>
        <v/>
      </c>
      <c r="U305" s="39" t="str">
        <f>IF(SUMIFS(TableTime[[Duration]:[Duration]],TableTime[[Date]:[Date]],$B305,TableTime[[Activity]:[Activity]],U$1)=0,"",SUMIFS(TableTime[[Duration]:[Duration]],TableTime[[Date]:[Date]],$B305,TableTime[[Activity]:[Activity]],U$1))</f>
        <v/>
      </c>
    </row>
    <row r="306" spans="1:21" x14ac:dyDescent="0.35">
      <c r="A306" s="59" t="str">
        <f t="shared" si="24"/>
        <v>Wed</v>
      </c>
      <c r="B306" s="91">
        <f t="shared" si="26"/>
        <v>45231</v>
      </c>
      <c r="C306" s="60">
        <f t="shared" si="27"/>
        <v>11</v>
      </c>
      <c r="D306" s="61">
        <f t="shared" si="25"/>
        <v>44</v>
      </c>
      <c r="E306" s="103"/>
      <c r="F306" s="60" t="str">
        <f>IFERROR(IF(OR(WEEKDAY(B306,2)=6,WEEKDAY(B306,2)=7),'Month summary'!$D$11,IF(E306="",'Month summary'!$C$11,E306)),"")</f>
        <v>W</v>
      </c>
      <c r="G306" s="62">
        <f>IF(B306&lt;Time!$B$2,"",IF(F306='Month summary'!$C$11,'Month summary'!$F$2/24,IF(F306="H/2",'Month summary'!$F$2/24/2,0)))</f>
        <v>0.33333333333333331</v>
      </c>
      <c r="H306" s="62">
        <f t="shared" si="28"/>
        <v>0</v>
      </c>
      <c r="I306" s="62" t="str">
        <f t="shared" si="29"/>
        <v/>
      </c>
      <c r="J306" s="108"/>
      <c r="K306" s="63" t="str">
        <f>IFERROR(INDEX(TableTime[Time],MATCH(B306,TableTime[Date],0)),"")</f>
        <v/>
      </c>
      <c r="L306" s="62" t="str">
        <f>IF(SUMIFS(TableTime[Duration],TableTime[Date],B306,TableTime[Activity],Projects!$C$9)+SUMIFS(TableTime[Duration],TableTime[Date],B306,TableTime[Activity],Projects!$C$10)+SUMIFS(TableTime[Duration],TableTime[Date],B306,TableTime[Activity],Projects!$C$11)=0,"",SUMIFS(TableTime[Duration],TableTime[Date],B306,TableTime[Activity],Projects!$C$9)+SUMIFS(TableTime[Duration],TableTime[Date],B306,TableTime[Activity],Projects!$C$10)+SUMIFS(TableTime[Duration],TableTime[Date],B306,TableTime[Activity],Projects!$C$11))</f>
        <v/>
      </c>
      <c r="M306" s="62" t="str" cm="1">
        <f t="array" ref="M306">IFERROR(LOOKUP(2,1/(TableTime[Date]=B306),TableTime[Time]),"")</f>
        <v/>
      </c>
      <c r="N306" s="63" t="str">
        <f>IF(SUMIFS(TableTime[[Duration]:[Duration]],TableTime[[Date]:[Date]],$B306,TableTime[[Activity]:[Activity]],N$1)=0,"",SUMIFS(TableTime[[Duration]:[Duration]],TableTime[[Date]:[Date]],$B306,TableTime[[Activity]:[Activity]],N$1))</f>
        <v/>
      </c>
      <c r="O306" s="62" t="str">
        <f>IF(SUMIFS(TableTime[[Duration]:[Duration]],TableTime[[Date]:[Date]],$B306,TableTime[[Activity]:[Activity]],O$1)=0,"",SUMIFS(TableTime[[Duration]:[Duration]],TableTime[[Date]:[Date]],$B306,TableTime[[Activity]:[Activity]],O$1))</f>
        <v/>
      </c>
      <c r="P306" s="62" t="str">
        <f>IF(SUMIFS(TableTime[[Duration]:[Duration]],TableTime[[Date]:[Date]],$B306,TableTime[[Activity]:[Activity]],P$1)=0,"",SUMIFS(TableTime[[Duration]:[Duration]],TableTime[[Date]:[Date]],$B306,TableTime[[Activity]:[Activity]],P$1))</f>
        <v/>
      </c>
      <c r="Q306" s="62" t="str">
        <f>IF(SUMIFS(TableTime[[Duration]:[Duration]],TableTime[[Date]:[Date]],$B306,TableTime[[Activity]:[Activity]],Q$1)=0,"",SUMIFS(TableTime[[Duration]:[Duration]],TableTime[[Date]:[Date]],$B306,TableTime[[Activity]:[Activity]],Q$1))</f>
        <v/>
      </c>
      <c r="R306" s="62" t="str">
        <f>IF(SUMIFS(TableTime[[Duration]:[Duration]],TableTime[[Date]:[Date]],$B306,TableTime[[Activity]:[Activity]],R$1)=0,"",SUMIFS(TableTime[[Duration]:[Duration]],TableTime[[Date]:[Date]],$B306,TableTime[[Activity]:[Activity]],R$1))</f>
        <v/>
      </c>
      <c r="S306" s="131" t="str">
        <f>IF(SUMIFS(TableTime[[Duration]:[Duration]],TableTime[[Date]:[Date]],$B306,TableTime[[Activity]:[Activity]],S$1)=0,"",SUMIFS(TableTime[[Duration]:[Duration]],TableTime[[Date]:[Date]],$B306,TableTime[[Activity]:[Activity]],S$1))</f>
        <v/>
      </c>
      <c r="T306" s="62" t="str">
        <f>IF(SUMIFS(TableTime[[Duration]:[Duration]],TableTime[[Date]:[Date]],$B306,TableTime[[Activity]:[Activity]],T$1)=0,"",SUMIFS(TableTime[[Duration]:[Duration]],TableTime[[Date]:[Date]],$B306,TableTime[[Activity]:[Activity]],T$1))</f>
        <v/>
      </c>
      <c r="U306" s="64" t="str">
        <f>IF(SUMIFS(TableTime[[Duration]:[Duration]],TableTime[[Date]:[Date]],$B306,TableTime[[Activity]:[Activity]],U$1)=0,"",SUMIFS(TableTime[[Duration]:[Duration]],TableTime[[Date]:[Date]],$B306,TableTime[[Activity]:[Activity]],U$1))</f>
        <v/>
      </c>
    </row>
    <row r="307" spans="1:21" x14ac:dyDescent="0.35">
      <c r="A307" s="35" t="str">
        <f t="shared" si="24"/>
        <v>Thr</v>
      </c>
      <c r="B307" s="5">
        <f t="shared" si="26"/>
        <v>45232</v>
      </c>
      <c r="C307" s="1">
        <f t="shared" si="27"/>
        <v>11</v>
      </c>
      <c r="D307" s="2">
        <f t="shared" si="25"/>
        <v>44</v>
      </c>
      <c r="E307" s="102"/>
      <c r="F307" s="1" t="str">
        <f>IFERROR(IF(OR(WEEKDAY(B307,2)=6,WEEKDAY(B307,2)=7),'Month summary'!$D$11,IF(E307="",'Month summary'!$C$11,E307)),"")</f>
        <v>W</v>
      </c>
      <c r="G307" s="4">
        <f>IF(B307&lt;Time!$B$2,"",IF(F307='Month summary'!$C$11,'Month summary'!$F$2/24,IF(F307="H/2",'Month summary'!$F$2/24/2,0)))</f>
        <v>0.33333333333333331</v>
      </c>
      <c r="H307" s="4">
        <f t="shared" si="28"/>
        <v>0</v>
      </c>
      <c r="I307" s="4" t="str">
        <f t="shared" si="29"/>
        <v/>
      </c>
      <c r="J307" s="107"/>
      <c r="K307" s="38" t="str">
        <f>IFERROR(INDEX(TableTime[Time],MATCH(B307,TableTime[Date],0)),"")</f>
        <v/>
      </c>
      <c r="L307" s="4" t="str">
        <f>IF(SUMIFS(TableTime[Duration],TableTime[Date],B307,TableTime[Activity],Projects!$C$9)+SUMIFS(TableTime[Duration],TableTime[Date],B307,TableTime[Activity],Projects!$C$10)+SUMIFS(TableTime[Duration],TableTime[Date],B307,TableTime[Activity],Projects!$C$11)=0,"",SUMIFS(TableTime[Duration],TableTime[Date],B307,TableTime[Activity],Projects!$C$9)+SUMIFS(TableTime[Duration],TableTime[Date],B307,TableTime[Activity],Projects!$C$10)+SUMIFS(TableTime[Duration],TableTime[Date],B307,TableTime[Activity],Projects!$C$11))</f>
        <v/>
      </c>
      <c r="M307" s="4" t="str" cm="1">
        <f t="array" ref="M307">IFERROR(LOOKUP(2,1/(TableTime[Date]=B307),TableTime[Time]),"")</f>
        <v/>
      </c>
      <c r="N307" s="38" t="str">
        <f>IF(SUMIFS(TableTime[[Duration]:[Duration]],TableTime[[Date]:[Date]],$B307,TableTime[[Activity]:[Activity]],N$1)=0,"",SUMIFS(TableTime[[Duration]:[Duration]],TableTime[[Date]:[Date]],$B307,TableTime[[Activity]:[Activity]],N$1))</f>
        <v/>
      </c>
      <c r="O307" s="4" t="str">
        <f>IF(SUMIFS(TableTime[[Duration]:[Duration]],TableTime[[Date]:[Date]],$B307,TableTime[[Activity]:[Activity]],O$1)=0,"",SUMIFS(TableTime[[Duration]:[Duration]],TableTime[[Date]:[Date]],$B307,TableTime[[Activity]:[Activity]],O$1))</f>
        <v/>
      </c>
      <c r="P307" s="4" t="str">
        <f>IF(SUMIFS(TableTime[[Duration]:[Duration]],TableTime[[Date]:[Date]],$B307,TableTime[[Activity]:[Activity]],P$1)=0,"",SUMIFS(TableTime[[Duration]:[Duration]],TableTime[[Date]:[Date]],$B307,TableTime[[Activity]:[Activity]],P$1))</f>
        <v/>
      </c>
      <c r="Q307" s="4" t="str">
        <f>IF(SUMIFS(TableTime[[Duration]:[Duration]],TableTime[[Date]:[Date]],$B307,TableTime[[Activity]:[Activity]],Q$1)=0,"",SUMIFS(TableTime[[Duration]:[Duration]],TableTime[[Date]:[Date]],$B307,TableTime[[Activity]:[Activity]],Q$1))</f>
        <v/>
      </c>
      <c r="R307" s="4" t="str">
        <f>IF(SUMIFS(TableTime[[Duration]:[Duration]],TableTime[[Date]:[Date]],$B307,TableTime[[Activity]:[Activity]],R$1)=0,"",SUMIFS(TableTime[[Duration]:[Duration]],TableTime[[Date]:[Date]],$B307,TableTime[[Activity]:[Activity]],R$1))</f>
        <v/>
      </c>
      <c r="S307" s="130" t="str">
        <f>IF(SUMIFS(TableTime[[Duration]:[Duration]],TableTime[[Date]:[Date]],$B307,TableTime[[Activity]:[Activity]],S$1)=0,"",SUMIFS(TableTime[[Duration]:[Duration]],TableTime[[Date]:[Date]],$B307,TableTime[[Activity]:[Activity]],S$1))</f>
        <v/>
      </c>
      <c r="T307" s="4" t="str">
        <f>IF(SUMIFS(TableTime[[Duration]:[Duration]],TableTime[[Date]:[Date]],$B307,TableTime[[Activity]:[Activity]],T$1)=0,"",SUMIFS(TableTime[[Duration]:[Duration]],TableTime[[Date]:[Date]],$B307,TableTime[[Activity]:[Activity]],T$1))</f>
        <v/>
      </c>
      <c r="U307" s="39" t="str">
        <f>IF(SUMIFS(TableTime[[Duration]:[Duration]],TableTime[[Date]:[Date]],$B307,TableTime[[Activity]:[Activity]],U$1)=0,"",SUMIFS(TableTime[[Duration]:[Duration]],TableTime[[Date]:[Date]],$B307,TableTime[[Activity]:[Activity]],U$1))</f>
        <v/>
      </c>
    </row>
    <row r="308" spans="1:21" x14ac:dyDescent="0.35">
      <c r="A308" s="59" t="str">
        <f t="shared" si="24"/>
        <v>Fri</v>
      </c>
      <c r="B308" s="91">
        <f t="shared" si="26"/>
        <v>45233</v>
      </c>
      <c r="C308" s="60">
        <f t="shared" si="27"/>
        <v>11</v>
      </c>
      <c r="D308" s="61">
        <f t="shared" si="25"/>
        <v>44</v>
      </c>
      <c r="E308" s="103"/>
      <c r="F308" s="60" t="str">
        <f>IFERROR(IF(OR(WEEKDAY(B308,2)=6,WEEKDAY(B308,2)=7),'Month summary'!$D$11,IF(E308="",'Month summary'!$C$11,E308)),"")</f>
        <v>W</v>
      </c>
      <c r="G308" s="62">
        <f>IF(B308&lt;Time!$B$2,"",IF(F308='Month summary'!$C$11,'Month summary'!$F$2/24,IF(F308="H/2",'Month summary'!$F$2/24/2,0)))</f>
        <v>0.33333333333333331</v>
      </c>
      <c r="H308" s="62">
        <f t="shared" si="28"/>
        <v>0</v>
      </c>
      <c r="I308" s="62" t="str">
        <f t="shared" si="29"/>
        <v/>
      </c>
      <c r="J308" s="108"/>
      <c r="K308" s="63" t="str">
        <f>IFERROR(INDEX(TableTime[Time],MATCH(B308,TableTime[Date],0)),"")</f>
        <v/>
      </c>
      <c r="L308" s="62" t="str">
        <f>IF(SUMIFS(TableTime[Duration],TableTime[Date],B308,TableTime[Activity],Projects!$C$9)+SUMIFS(TableTime[Duration],TableTime[Date],B308,TableTime[Activity],Projects!$C$10)+SUMIFS(TableTime[Duration],TableTime[Date],B308,TableTime[Activity],Projects!$C$11)=0,"",SUMIFS(TableTime[Duration],TableTime[Date],B308,TableTime[Activity],Projects!$C$9)+SUMIFS(TableTime[Duration],TableTime[Date],B308,TableTime[Activity],Projects!$C$10)+SUMIFS(TableTime[Duration],TableTime[Date],B308,TableTime[Activity],Projects!$C$11))</f>
        <v/>
      </c>
      <c r="M308" s="62" t="str" cm="1">
        <f t="array" ref="M308">IFERROR(LOOKUP(2,1/(TableTime[Date]=B308),TableTime[Time]),"")</f>
        <v/>
      </c>
      <c r="N308" s="63" t="str">
        <f>IF(SUMIFS(TableTime[[Duration]:[Duration]],TableTime[[Date]:[Date]],$B308,TableTime[[Activity]:[Activity]],N$1)=0,"",SUMIFS(TableTime[[Duration]:[Duration]],TableTime[[Date]:[Date]],$B308,TableTime[[Activity]:[Activity]],N$1))</f>
        <v/>
      </c>
      <c r="O308" s="62" t="str">
        <f>IF(SUMIFS(TableTime[[Duration]:[Duration]],TableTime[[Date]:[Date]],$B308,TableTime[[Activity]:[Activity]],O$1)=0,"",SUMIFS(TableTime[[Duration]:[Duration]],TableTime[[Date]:[Date]],$B308,TableTime[[Activity]:[Activity]],O$1))</f>
        <v/>
      </c>
      <c r="P308" s="62" t="str">
        <f>IF(SUMIFS(TableTime[[Duration]:[Duration]],TableTime[[Date]:[Date]],$B308,TableTime[[Activity]:[Activity]],P$1)=0,"",SUMIFS(TableTime[[Duration]:[Duration]],TableTime[[Date]:[Date]],$B308,TableTime[[Activity]:[Activity]],P$1))</f>
        <v/>
      </c>
      <c r="Q308" s="62" t="str">
        <f>IF(SUMIFS(TableTime[[Duration]:[Duration]],TableTime[[Date]:[Date]],$B308,TableTime[[Activity]:[Activity]],Q$1)=0,"",SUMIFS(TableTime[[Duration]:[Duration]],TableTime[[Date]:[Date]],$B308,TableTime[[Activity]:[Activity]],Q$1))</f>
        <v/>
      </c>
      <c r="R308" s="62" t="str">
        <f>IF(SUMIFS(TableTime[[Duration]:[Duration]],TableTime[[Date]:[Date]],$B308,TableTime[[Activity]:[Activity]],R$1)=0,"",SUMIFS(TableTime[[Duration]:[Duration]],TableTime[[Date]:[Date]],$B308,TableTime[[Activity]:[Activity]],R$1))</f>
        <v/>
      </c>
      <c r="S308" s="131" t="str">
        <f>IF(SUMIFS(TableTime[[Duration]:[Duration]],TableTime[[Date]:[Date]],$B308,TableTime[[Activity]:[Activity]],S$1)=0,"",SUMIFS(TableTime[[Duration]:[Duration]],TableTime[[Date]:[Date]],$B308,TableTime[[Activity]:[Activity]],S$1))</f>
        <v/>
      </c>
      <c r="T308" s="62" t="str">
        <f>IF(SUMIFS(TableTime[[Duration]:[Duration]],TableTime[[Date]:[Date]],$B308,TableTime[[Activity]:[Activity]],T$1)=0,"",SUMIFS(TableTime[[Duration]:[Duration]],TableTime[[Date]:[Date]],$B308,TableTime[[Activity]:[Activity]],T$1))</f>
        <v/>
      </c>
      <c r="U308" s="64" t="str">
        <f>IF(SUMIFS(TableTime[[Duration]:[Duration]],TableTime[[Date]:[Date]],$B308,TableTime[[Activity]:[Activity]],U$1)=0,"",SUMIFS(TableTime[[Duration]:[Duration]],TableTime[[Date]:[Date]],$B308,TableTime[[Activity]:[Activity]],U$1))</f>
        <v/>
      </c>
    </row>
    <row r="309" spans="1:21" x14ac:dyDescent="0.35">
      <c r="A309" s="35" t="str">
        <f t="shared" si="24"/>
        <v>Sat</v>
      </c>
      <c r="B309" s="5">
        <f t="shared" si="26"/>
        <v>45234</v>
      </c>
      <c r="C309" s="1">
        <f t="shared" si="27"/>
        <v>11</v>
      </c>
      <c r="D309" s="2">
        <f t="shared" si="25"/>
        <v>44</v>
      </c>
      <c r="E309" s="102"/>
      <c r="F309" s="1" t="str">
        <f>IFERROR(IF(OR(WEEKDAY(B309,2)=6,WEEKDAY(B309,2)=7),'Month summary'!$D$11,IF(E309="",'Month summary'!$C$11,E309)),"")</f>
        <v>WE</v>
      </c>
      <c r="G309" s="4">
        <f>IF(B309&lt;Time!$B$2,"",IF(F309='Month summary'!$C$11,'Month summary'!$F$2/24,IF(F309="H/2",'Month summary'!$F$2/24/2,0)))</f>
        <v>0</v>
      </c>
      <c r="H309" s="4">
        <f t="shared" si="28"/>
        <v>0</v>
      </c>
      <c r="I309" s="4" t="str">
        <f t="shared" si="29"/>
        <v/>
      </c>
      <c r="J309" s="107"/>
      <c r="K309" s="38" t="str">
        <f>IFERROR(INDEX(TableTime[Time],MATCH(B309,TableTime[Date],0)),"")</f>
        <v/>
      </c>
      <c r="L309" s="4" t="str">
        <f>IF(SUMIFS(TableTime[Duration],TableTime[Date],B309,TableTime[Activity],Projects!$C$9)+SUMIFS(TableTime[Duration],TableTime[Date],B309,TableTime[Activity],Projects!$C$10)+SUMIFS(TableTime[Duration],TableTime[Date],B309,TableTime[Activity],Projects!$C$11)=0,"",SUMIFS(TableTime[Duration],TableTime[Date],B309,TableTime[Activity],Projects!$C$9)+SUMIFS(TableTime[Duration],TableTime[Date],B309,TableTime[Activity],Projects!$C$10)+SUMIFS(TableTime[Duration],TableTime[Date],B309,TableTime[Activity],Projects!$C$11))</f>
        <v/>
      </c>
      <c r="M309" s="4" t="str" cm="1">
        <f t="array" ref="M309">IFERROR(LOOKUP(2,1/(TableTime[Date]=B309),TableTime[Time]),"")</f>
        <v/>
      </c>
      <c r="N309" s="38" t="str">
        <f>IF(SUMIFS(TableTime[[Duration]:[Duration]],TableTime[[Date]:[Date]],$B309,TableTime[[Activity]:[Activity]],N$1)=0,"",SUMIFS(TableTime[[Duration]:[Duration]],TableTime[[Date]:[Date]],$B309,TableTime[[Activity]:[Activity]],N$1))</f>
        <v/>
      </c>
      <c r="O309" s="4" t="str">
        <f>IF(SUMIFS(TableTime[[Duration]:[Duration]],TableTime[[Date]:[Date]],$B309,TableTime[[Activity]:[Activity]],O$1)=0,"",SUMIFS(TableTime[[Duration]:[Duration]],TableTime[[Date]:[Date]],$B309,TableTime[[Activity]:[Activity]],O$1))</f>
        <v/>
      </c>
      <c r="P309" s="4" t="str">
        <f>IF(SUMIFS(TableTime[[Duration]:[Duration]],TableTime[[Date]:[Date]],$B309,TableTime[[Activity]:[Activity]],P$1)=0,"",SUMIFS(TableTime[[Duration]:[Duration]],TableTime[[Date]:[Date]],$B309,TableTime[[Activity]:[Activity]],P$1))</f>
        <v/>
      </c>
      <c r="Q309" s="4" t="str">
        <f>IF(SUMIFS(TableTime[[Duration]:[Duration]],TableTime[[Date]:[Date]],$B309,TableTime[[Activity]:[Activity]],Q$1)=0,"",SUMIFS(TableTime[[Duration]:[Duration]],TableTime[[Date]:[Date]],$B309,TableTime[[Activity]:[Activity]],Q$1))</f>
        <v/>
      </c>
      <c r="R309" s="4" t="str">
        <f>IF(SUMIFS(TableTime[[Duration]:[Duration]],TableTime[[Date]:[Date]],$B309,TableTime[[Activity]:[Activity]],R$1)=0,"",SUMIFS(TableTime[[Duration]:[Duration]],TableTime[[Date]:[Date]],$B309,TableTime[[Activity]:[Activity]],R$1))</f>
        <v/>
      </c>
      <c r="S309" s="130" t="str">
        <f>IF(SUMIFS(TableTime[[Duration]:[Duration]],TableTime[[Date]:[Date]],$B309,TableTime[[Activity]:[Activity]],S$1)=0,"",SUMIFS(TableTime[[Duration]:[Duration]],TableTime[[Date]:[Date]],$B309,TableTime[[Activity]:[Activity]],S$1))</f>
        <v/>
      </c>
      <c r="T309" s="4" t="str">
        <f>IF(SUMIFS(TableTime[[Duration]:[Duration]],TableTime[[Date]:[Date]],$B309,TableTime[[Activity]:[Activity]],T$1)=0,"",SUMIFS(TableTime[[Duration]:[Duration]],TableTime[[Date]:[Date]],$B309,TableTime[[Activity]:[Activity]],T$1))</f>
        <v/>
      </c>
      <c r="U309" s="39" t="str">
        <f>IF(SUMIFS(TableTime[[Duration]:[Duration]],TableTime[[Date]:[Date]],$B309,TableTime[[Activity]:[Activity]],U$1)=0,"",SUMIFS(TableTime[[Duration]:[Duration]],TableTime[[Date]:[Date]],$B309,TableTime[[Activity]:[Activity]],U$1))</f>
        <v/>
      </c>
    </row>
    <row r="310" spans="1:21" x14ac:dyDescent="0.35">
      <c r="A310" s="59" t="str">
        <f t="shared" si="24"/>
        <v>Sun</v>
      </c>
      <c r="B310" s="91">
        <f t="shared" si="26"/>
        <v>45235</v>
      </c>
      <c r="C310" s="60">
        <f t="shared" si="27"/>
        <v>11</v>
      </c>
      <c r="D310" s="61">
        <f t="shared" si="25"/>
        <v>44</v>
      </c>
      <c r="E310" s="103"/>
      <c r="F310" s="60" t="str">
        <f>IFERROR(IF(OR(WEEKDAY(B310,2)=6,WEEKDAY(B310,2)=7),'Month summary'!$D$11,IF(E310="",'Month summary'!$C$11,E310)),"")</f>
        <v>WE</v>
      </c>
      <c r="G310" s="62">
        <f>IF(B310&lt;Time!$B$2,"",IF(F310='Month summary'!$C$11,'Month summary'!$F$2/24,IF(F310="H/2",'Month summary'!$F$2/24/2,0)))</f>
        <v>0</v>
      </c>
      <c r="H310" s="62">
        <f t="shared" si="28"/>
        <v>0</v>
      </c>
      <c r="I310" s="62" t="str">
        <f t="shared" si="29"/>
        <v/>
      </c>
      <c r="J310" s="108"/>
      <c r="K310" s="63" t="str">
        <f>IFERROR(INDEX(TableTime[Time],MATCH(B310,TableTime[Date],0)),"")</f>
        <v/>
      </c>
      <c r="L310" s="62" t="str">
        <f>IF(SUMIFS(TableTime[Duration],TableTime[Date],B310,TableTime[Activity],Projects!$C$9)+SUMIFS(TableTime[Duration],TableTime[Date],B310,TableTime[Activity],Projects!$C$10)+SUMIFS(TableTime[Duration],TableTime[Date],B310,TableTime[Activity],Projects!$C$11)=0,"",SUMIFS(TableTime[Duration],TableTime[Date],B310,TableTime[Activity],Projects!$C$9)+SUMIFS(TableTime[Duration],TableTime[Date],B310,TableTime[Activity],Projects!$C$10)+SUMIFS(TableTime[Duration],TableTime[Date],B310,TableTime[Activity],Projects!$C$11))</f>
        <v/>
      </c>
      <c r="M310" s="62" t="str" cm="1">
        <f t="array" ref="M310">IFERROR(LOOKUP(2,1/(TableTime[Date]=B310),TableTime[Time]),"")</f>
        <v/>
      </c>
      <c r="N310" s="63" t="str">
        <f>IF(SUMIFS(TableTime[[Duration]:[Duration]],TableTime[[Date]:[Date]],$B310,TableTime[[Activity]:[Activity]],N$1)=0,"",SUMIFS(TableTime[[Duration]:[Duration]],TableTime[[Date]:[Date]],$B310,TableTime[[Activity]:[Activity]],N$1))</f>
        <v/>
      </c>
      <c r="O310" s="62" t="str">
        <f>IF(SUMIFS(TableTime[[Duration]:[Duration]],TableTime[[Date]:[Date]],$B310,TableTime[[Activity]:[Activity]],O$1)=0,"",SUMIFS(TableTime[[Duration]:[Duration]],TableTime[[Date]:[Date]],$B310,TableTime[[Activity]:[Activity]],O$1))</f>
        <v/>
      </c>
      <c r="P310" s="62" t="str">
        <f>IF(SUMIFS(TableTime[[Duration]:[Duration]],TableTime[[Date]:[Date]],$B310,TableTime[[Activity]:[Activity]],P$1)=0,"",SUMIFS(TableTime[[Duration]:[Duration]],TableTime[[Date]:[Date]],$B310,TableTime[[Activity]:[Activity]],P$1))</f>
        <v/>
      </c>
      <c r="Q310" s="62" t="str">
        <f>IF(SUMIFS(TableTime[[Duration]:[Duration]],TableTime[[Date]:[Date]],$B310,TableTime[[Activity]:[Activity]],Q$1)=0,"",SUMIFS(TableTime[[Duration]:[Duration]],TableTime[[Date]:[Date]],$B310,TableTime[[Activity]:[Activity]],Q$1))</f>
        <v/>
      </c>
      <c r="R310" s="62" t="str">
        <f>IF(SUMIFS(TableTime[[Duration]:[Duration]],TableTime[[Date]:[Date]],$B310,TableTime[[Activity]:[Activity]],R$1)=0,"",SUMIFS(TableTime[[Duration]:[Duration]],TableTime[[Date]:[Date]],$B310,TableTime[[Activity]:[Activity]],R$1))</f>
        <v/>
      </c>
      <c r="S310" s="131" t="str">
        <f>IF(SUMIFS(TableTime[[Duration]:[Duration]],TableTime[[Date]:[Date]],$B310,TableTime[[Activity]:[Activity]],S$1)=0,"",SUMIFS(TableTime[[Duration]:[Duration]],TableTime[[Date]:[Date]],$B310,TableTime[[Activity]:[Activity]],S$1))</f>
        <v/>
      </c>
      <c r="T310" s="62" t="str">
        <f>IF(SUMIFS(TableTime[[Duration]:[Duration]],TableTime[[Date]:[Date]],$B310,TableTime[[Activity]:[Activity]],T$1)=0,"",SUMIFS(TableTime[[Duration]:[Duration]],TableTime[[Date]:[Date]],$B310,TableTime[[Activity]:[Activity]],T$1))</f>
        <v/>
      </c>
      <c r="U310" s="64" t="str">
        <f>IF(SUMIFS(TableTime[[Duration]:[Duration]],TableTime[[Date]:[Date]],$B310,TableTime[[Activity]:[Activity]],U$1)=0,"",SUMIFS(TableTime[[Duration]:[Duration]],TableTime[[Date]:[Date]],$B310,TableTime[[Activity]:[Activity]],U$1))</f>
        <v/>
      </c>
    </row>
    <row r="311" spans="1:21" x14ac:dyDescent="0.35">
      <c r="A311" s="35" t="str">
        <f t="shared" si="24"/>
        <v>Mon</v>
      </c>
      <c r="B311" s="5">
        <f t="shared" si="26"/>
        <v>45236</v>
      </c>
      <c r="C311" s="1">
        <f t="shared" si="27"/>
        <v>11</v>
      </c>
      <c r="D311" s="2">
        <f t="shared" si="25"/>
        <v>45</v>
      </c>
      <c r="E311" s="102"/>
      <c r="F311" s="1" t="str">
        <f>IFERROR(IF(OR(WEEKDAY(B311,2)=6,WEEKDAY(B311,2)=7),'Month summary'!$D$11,IF(E311="",'Month summary'!$C$11,E311)),"")</f>
        <v>W</v>
      </c>
      <c r="G311" s="4">
        <f>IF(B311&lt;Time!$B$2,"",IF(F311='Month summary'!$C$11,'Month summary'!$F$2/24,IF(F311="H/2",'Month summary'!$F$2/24/2,0)))</f>
        <v>0.33333333333333331</v>
      </c>
      <c r="H311" s="4">
        <f t="shared" si="28"/>
        <v>0</v>
      </c>
      <c r="I311" s="4" t="str">
        <f t="shared" si="29"/>
        <v/>
      </c>
      <c r="J311" s="107"/>
      <c r="K311" s="38" t="str">
        <f>IFERROR(INDEX(TableTime[Time],MATCH(B311,TableTime[Date],0)),"")</f>
        <v/>
      </c>
      <c r="L311" s="4" t="str">
        <f>IF(SUMIFS(TableTime[Duration],TableTime[Date],B311,TableTime[Activity],Projects!$C$9)+SUMIFS(TableTime[Duration],TableTime[Date],B311,TableTime[Activity],Projects!$C$10)+SUMIFS(TableTime[Duration],TableTime[Date],B311,TableTime[Activity],Projects!$C$11)=0,"",SUMIFS(TableTime[Duration],TableTime[Date],B311,TableTime[Activity],Projects!$C$9)+SUMIFS(TableTime[Duration],TableTime[Date],B311,TableTime[Activity],Projects!$C$10)+SUMIFS(TableTime[Duration],TableTime[Date],B311,TableTime[Activity],Projects!$C$11))</f>
        <v/>
      </c>
      <c r="M311" s="4" t="str" cm="1">
        <f t="array" ref="M311">IFERROR(LOOKUP(2,1/(TableTime[Date]=B311),TableTime[Time]),"")</f>
        <v/>
      </c>
      <c r="N311" s="38" t="str">
        <f>IF(SUMIFS(TableTime[[Duration]:[Duration]],TableTime[[Date]:[Date]],$B311,TableTime[[Activity]:[Activity]],N$1)=0,"",SUMIFS(TableTime[[Duration]:[Duration]],TableTime[[Date]:[Date]],$B311,TableTime[[Activity]:[Activity]],N$1))</f>
        <v/>
      </c>
      <c r="O311" s="4" t="str">
        <f>IF(SUMIFS(TableTime[[Duration]:[Duration]],TableTime[[Date]:[Date]],$B311,TableTime[[Activity]:[Activity]],O$1)=0,"",SUMIFS(TableTime[[Duration]:[Duration]],TableTime[[Date]:[Date]],$B311,TableTime[[Activity]:[Activity]],O$1))</f>
        <v/>
      </c>
      <c r="P311" s="4" t="str">
        <f>IF(SUMIFS(TableTime[[Duration]:[Duration]],TableTime[[Date]:[Date]],$B311,TableTime[[Activity]:[Activity]],P$1)=0,"",SUMIFS(TableTime[[Duration]:[Duration]],TableTime[[Date]:[Date]],$B311,TableTime[[Activity]:[Activity]],P$1))</f>
        <v/>
      </c>
      <c r="Q311" s="4" t="str">
        <f>IF(SUMIFS(TableTime[[Duration]:[Duration]],TableTime[[Date]:[Date]],$B311,TableTime[[Activity]:[Activity]],Q$1)=0,"",SUMIFS(TableTime[[Duration]:[Duration]],TableTime[[Date]:[Date]],$B311,TableTime[[Activity]:[Activity]],Q$1))</f>
        <v/>
      </c>
      <c r="R311" s="4" t="str">
        <f>IF(SUMIFS(TableTime[[Duration]:[Duration]],TableTime[[Date]:[Date]],$B311,TableTime[[Activity]:[Activity]],R$1)=0,"",SUMIFS(TableTime[[Duration]:[Duration]],TableTime[[Date]:[Date]],$B311,TableTime[[Activity]:[Activity]],R$1))</f>
        <v/>
      </c>
      <c r="S311" s="130" t="str">
        <f>IF(SUMIFS(TableTime[[Duration]:[Duration]],TableTime[[Date]:[Date]],$B311,TableTime[[Activity]:[Activity]],S$1)=0,"",SUMIFS(TableTime[[Duration]:[Duration]],TableTime[[Date]:[Date]],$B311,TableTime[[Activity]:[Activity]],S$1))</f>
        <v/>
      </c>
      <c r="T311" s="4" t="str">
        <f>IF(SUMIFS(TableTime[[Duration]:[Duration]],TableTime[[Date]:[Date]],$B311,TableTime[[Activity]:[Activity]],T$1)=0,"",SUMIFS(TableTime[[Duration]:[Duration]],TableTime[[Date]:[Date]],$B311,TableTime[[Activity]:[Activity]],T$1))</f>
        <v/>
      </c>
      <c r="U311" s="39" t="str">
        <f>IF(SUMIFS(TableTime[[Duration]:[Duration]],TableTime[[Date]:[Date]],$B311,TableTime[[Activity]:[Activity]],U$1)=0,"",SUMIFS(TableTime[[Duration]:[Duration]],TableTime[[Date]:[Date]],$B311,TableTime[[Activity]:[Activity]],U$1))</f>
        <v/>
      </c>
    </row>
    <row r="312" spans="1:21" x14ac:dyDescent="0.35">
      <c r="A312" s="59" t="str">
        <f t="shared" si="24"/>
        <v>Tue</v>
      </c>
      <c r="B312" s="91">
        <f t="shared" si="26"/>
        <v>45237</v>
      </c>
      <c r="C312" s="60">
        <f t="shared" si="27"/>
        <v>11</v>
      </c>
      <c r="D312" s="61">
        <f t="shared" si="25"/>
        <v>45</v>
      </c>
      <c r="E312" s="103"/>
      <c r="F312" s="60" t="str">
        <f>IFERROR(IF(OR(WEEKDAY(B312,2)=6,WEEKDAY(B312,2)=7),'Month summary'!$D$11,IF(E312="",'Month summary'!$C$11,E312)),"")</f>
        <v>W</v>
      </c>
      <c r="G312" s="62">
        <f>IF(B312&lt;Time!$B$2,"",IF(F312='Month summary'!$C$11,'Month summary'!$F$2/24,IF(F312="H/2",'Month summary'!$F$2/24/2,0)))</f>
        <v>0.33333333333333331</v>
      </c>
      <c r="H312" s="62">
        <f t="shared" si="28"/>
        <v>0</v>
      </c>
      <c r="I312" s="62" t="str">
        <f t="shared" si="29"/>
        <v/>
      </c>
      <c r="J312" s="108"/>
      <c r="K312" s="63" t="str">
        <f>IFERROR(INDEX(TableTime[Time],MATCH(B312,TableTime[Date],0)),"")</f>
        <v/>
      </c>
      <c r="L312" s="62" t="str">
        <f>IF(SUMIFS(TableTime[Duration],TableTime[Date],B312,TableTime[Activity],Projects!$C$9)+SUMIFS(TableTime[Duration],TableTime[Date],B312,TableTime[Activity],Projects!$C$10)+SUMIFS(TableTime[Duration],TableTime[Date],B312,TableTime[Activity],Projects!$C$11)=0,"",SUMIFS(TableTime[Duration],TableTime[Date],B312,TableTime[Activity],Projects!$C$9)+SUMIFS(TableTime[Duration],TableTime[Date],B312,TableTime[Activity],Projects!$C$10)+SUMIFS(TableTime[Duration],TableTime[Date],B312,TableTime[Activity],Projects!$C$11))</f>
        <v/>
      </c>
      <c r="M312" s="62" t="str" cm="1">
        <f t="array" ref="M312">IFERROR(LOOKUP(2,1/(TableTime[Date]=B312),TableTime[Time]),"")</f>
        <v/>
      </c>
      <c r="N312" s="63" t="str">
        <f>IF(SUMIFS(TableTime[[Duration]:[Duration]],TableTime[[Date]:[Date]],$B312,TableTime[[Activity]:[Activity]],N$1)=0,"",SUMIFS(TableTime[[Duration]:[Duration]],TableTime[[Date]:[Date]],$B312,TableTime[[Activity]:[Activity]],N$1))</f>
        <v/>
      </c>
      <c r="O312" s="62" t="str">
        <f>IF(SUMIFS(TableTime[[Duration]:[Duration]],TableTime[[Date]:[Date]],$B312,TableTime[[Activity]:[Activity]],O$1)=0,"",SUMIFS(TableTime[[Duration]:[Duration]],TableTime[[Date]:[Date]],$B312,TableTime[[Activity]:[Activity]],O$1))</f>
        <v/>
      </c>
      <c r="P312" s="62" t="str">
        <f>IF(SUMIFS(TableTime[[Duration]:[Duration]],TableTime[[Date]:[Date]],$B312,TableTime[[Activity]:[Activity]],P$1)=0,"",SUMIFS(TableTime[[Duration]:[Duration]],TableTime[[Date]:[Date]],$B312,TableTime[[Activity]:[Activity]],P$1))</f>
        <v/>
      </c>
      <c r="Q312" s="62" t="str">
        <f>IF(SUMIFS(TableTime[[Duration]:[Duration]],TableTime[[Date]:[Date]],$B312,TableTime[[Activity]:[Activity]],Q$1)=0,"",SUMIFS(TableTime[[Duration]:[Duration]],TableTime[[Date]:[Date]],$B312,TableTime[[Activity]:[Activity]],Q$1))</f>
        <v/>
      </c>
      <c r="R312" s="62" t="str">
        <f>IF(SUMIFS(TableTime[[Duration]:[Duration]],TableTime[[Date]:[Date]],$B312,TableTime[[Activity]:[Activity]],R$1)=0,"",SUMIFS(TableTime[[Duration]:[Duration]],TableTime[[Date]:[Date]],$B312,TableTime[[Activity]:[Activity]],R$1))</f>
        <v/>
      </c>
      <c r="S312" s="131" t="str">
        <f>IF(SUMIFS(TableTime[[Duration]:[Duration]],TableTime[[Date]:[Date]],$B312,TableTime[[Activity]:[Activity]],S$1)=0,"",SUMIFS(TableTime[[Duration]:[Duration]],TableTime[[Date]:[Date]],$B312,TableTime[[Activity]:[Activity]],S$1))</f>
        <v/>
      </c>
      <c r="T312" s="62" t="str">
        <f>IF(SUMIFS(TableTime[[Duration]:[Duration]],TableTime[[Date]:[Date]],$B312,TableTime[[Activity]:[Activity]],T$1)=0,"",SUMIFS(TableTime[[Duration]:[Duration]],TableTime[[Date]:[Date]],$B312,TableTime[[Activity]:[Activity]],T$1))</f>
        <v/>
      </c>
      <c r="U312" s="64" t="str">
        <f>IF(SUMIFS(TableTime[[Duration]:[Duration]],TableTime[[Date]:[Date]],$B312,TableTime[[Activity]:[Activity]],U$1)=0,"",SUMIFS(TableTime[[Duration]:[Duration]],TableTime[[Date]:[Date]],$B312,TableTime[[Activity]:[Activity]],U$1))</f>
        <v/>
      </c>
    </row>
    <row r="313" spans="1:21" x14ac:dyDescent="0.35">
      <c r="A313" s="35" t="str">
        <f t="shared" si="24"/>
        <v>Wed</v>
      </c>
      <c r="B313" s="5">
        <f t="shared" si="26"/>
        <v>45238</v>
      </c>
      <c r="C313" s="1">
        <f t="shared" si="27"/>
        <v>11</v>
      </c>
      <c r="D313" s="2">
        <f t="shared" si="25"/>
        <v>45</v>
      </c>
      <c r="E313" s="102"/>
      <c r="F313" s="1" t="str">
        <f>IFERROR(IF(OR(WEEKDAY(B313,2)=6,WEEKDAY(B313,2)=7),'Month summary'!$D$11,IF(E313="",'Month summary'!$C$11,E313)),"")</f>
        <v>W</v>
      </c>
      <c r="G313" s="4">
        <f>IF(B313&lt;Time!$B$2,"",IF(F313='Month summary'!$C$11,'Month summary'!$F$2/24,IF(F313="H/2",'Month summary'!$F$2/24/2,0)))</f>
        <v>0.33333333333333331</v>
      </c>
      <c r="H313" s="4">
        <f t="shared" si="28"/>
        <v>0</v>
      </c>
      <c r="I313" s="4" t="str">
        <f t="shared" si="29"/>
        <v/>
      </c>
      <c r="J313" s="107"/>
      <c r="K313" s="38" t="str">
        <f>IFERROR(INDEX(TableTime[Time],MATCH(B313,TableTime[Date],0)),"")</f>
        <v/>
      </c>
      <c r="L313" s="4" t="str">
        <f>IF(SUMIFS(TableTime[Duration],TableTime[Date],B313,TableTime[Activity],Projects!$C$9)+SUMIFS(TableTime[Duration],TableTime[Date],B313,TableTime[Activity],Projects!$C$10)+SUMIFS(TableTime[Duration],TableTime[Date],B313,TableTime[Activity],Projects!$C$11)=0,"",SUMIFS(TableTime[Duration],TableTime[Date],B313,TableTime[Activity],Projects!$C$9)+SUMIFS(TableTime[Duration],TableTime[Date],B313,TableTime[Activity],Projects!$C$10)+SUMIFS(TableTime[Duration],TableTime[Date],B313,TableTime[Activity],Projects!$C$11))</f>
        <v/>
      </c>
      <c r="M313" s="4" t="str" cm="1">
        <f t="array" ref="M313">IFERROR(LOOKUP(2,1/(TableTime[Date]=B313),TableTime[Time]),"")</f>
        <v/>
      </c>
      <c r="N313" s="38" t="str">
        <f>IF(SUMIFS(TableTime[[Duration]:[Duration]],TableTime[[Date]:[Date]],$B313,TableTime[[Activity]:[Activity]],N$1)=0,"",SUMIFS(TableTime[[Duration]:[Duration]],TableTime[[Date]:[Date]],$B313,TableTime[[Activity]:[Activity]],N$1))</f>
        <v/>
      </c>
      <c r="O313" s="4" t="str">
        <f>IF(SUMIFS(TableTime[[Duration]:[Duration]],TableTime[[Date]:[Date]],$B313,TableTime[[Activity]:[Activity]],O$1)=0,"",SUMIFS(TableTime[[Duration]:[Duration]],TableTime[[Date]:[Date]],$B313,TableTime[[Activity]:[Activity]],O$1))</f>
        <v/>
      </c>
      <c r="P313" s="4" t="str">
        <f>IF(SUMIFS(TableTime[[Duration]:[Duration]],TableTime[[Date]:[Date]],$B313,TableTime[[Activity]:[Activity]],P$1)=0,"",SUMIFS(TableTime[[Duration]:[Duration]],TableTime[[Date]:[Date]],$B313,TableTime[[Activity]:[Activity]],P$1))</f>
        <v/>
      </c>
      <c r="Q313" s="4" t="str">
        <f>IF(SUMIFS(TableTime[[Duration]:[Duration]],TableTime[[Date]:[Date]],$B313,TableTime[[Activity]:[Activity]],Q$1)=0,"",SUMIFS(TableTime[[Duration]:[Duration]],TableTime[[Date]:[Date]],$B313,TableTime[[Activity]:[Activity]],Q$1))</f>
        <v/>
      </c>
      <c r="R313" s="4" t="str">
        <f>IF(SUMIFS(TableTime[[Duration]:[Duration]],TableTime[[Date]:[Date]],$B313,TableTime[[Activity]:[Activity]],R$1)=0,"",SUMIFS(TableTime[[Duration]:[Duration]],TableTime[[Date]:[Date]],$B313,TableTime[[Activity]:[Activity]],R$1))</f>
        <v/>
      </c>
      <c r="S313" s="130" t="str">
        <f>IF(SUMIFS(TableTime[[Duration]:[Duration]],TableTime[[Date]:[Date]],$B313,TableTime[[Activity]:[Activity]],S$1)=0,"",SUMIFS(TableTime[[Duration]:[Duration]],TableTime[[Date]:[Date]],$B313,TableTime[[Activity]:[Activity]],S$1))</f>
        <v/>
      </c>
      <c r="T313" s="4" t="str">
        <f>IF(SUMIFS(TableTime[[Duration]:[Duration]],TableTime[[Date]:[Date]],$B313,TableTime[[Activity]:[Activity]],T$1)=0,"",SUMIFS(TableTime[[Duration]:[Duration]],TableTime[[Date]:[Date]],$B313,TableTime[[Activity]:[Activity]],T$1))</f>
        <v/>
      </c>
      <c r="U313" s="39" t="str">
        <f>IF(SUMIFS(TableTime[[Duration]:[Duration]],TableTime[[Date]:[Date]],$B313,TableTime[[Activity]:[Activity]],U$1)=0,"",SUMIFS(TableTime[[Duration]:[Duration]],TableTime[[Date]:[Date]],$B313,TableTime[[Activity]:[Activity]],U$1))</f>
        <v/>
      </c>
    </row>
    <row r="314" spans="1:21" x14ac:dyDescent="0.35">
      <c r="A314" s="59" t="str">
        <f t="shared" si="24"/>
        <v>Thr</v>
      </c>
      <c r="B314" s="91">
        <f t="shared" si="26"/>
        <v>45239</v>
      </c>
      <c r="C314" s="60">
        <f t="shared" si="27"/>
        <v>11</v>
      </c>
      <c r="D314" s="61">
        <f t="shared" si="25"/>
        <v>45</v>
      </c>
      <c r="E314" s="103"/>
      <c r="F314" s="60" t="str">
        <f>IFERROR(IF(OR(WEEKDAY(B314,2)=6,WEEKDAY(B314,2)=7),'Month summary'!$D$11,IF(E314="",'Month summary'!$C$11,E314)),"")</f>
        <v>W</v>
      </c>
      <c r="G314" s="62">
        <f>IF(B314&lt;Time!$B$2,"",IF(F314='Month summary'!$C$11,'Month summary'!$F$2/24,IF(F314="H/2",'Month summary'!$F$2/24/2,0)))</f>
        <v>0.33333333333333331</v>
      </c>
      <c r="H314" s="62">
        <f t="shared" si="28"/>
        <v>0</v>
      </c>
      <c r="I314" s="62" t="str">
        <f t="shared" si="29"/>
        <v/>
      </c>
      <c r="J314" s="108"/>
      <c r="K314" s="63" t="str">
        <f>IFERROR(INDEX(TableTime[Time],MATCH(B314,TableTime[Date],0)),"")</f>
        <v/>
      </c>
      <c r="L314" s="62" t="str">
        <f>IF(SUMIFS(TableTime[Duration],TableTime[Date],B314,TableTime[Activity],Projects!$C$9)+SUMIFS(TableTime[Duration],TableTime[Date],B314,TableTime[Activity],Projects!$C$10)+SUMIFS(TableTime[Duration],TableTime[Date],B314,TableTime[Activity],Projects!$C$11)=0,"",SUMIFS(TableTime[Duration],TableTime[Date],B314,TableTime[Activity],Projects!$C$9)+SUMIFS(TableTime[Duration],TableTime[Date],B314,TableTime[Activity],Projects!$C$10)+SUMIFS(TableTime[Duration],TableTime[Date],B314,TableTime[Activity],Projects!$C$11))</f>
        <v/>
      </c>
      <c r="M314" s="62" t="str" cm="1">
        <f t="array" ref="M314">IFERROR(LOOKUP(2,1/(TableTime[Date]=B314),TableTime[Time]),"")</f>
        <v/>
      </c>
      <c r="N314" s="63" t="str">
        <f>IF(SUMIFS(TableTime[[Duration]:[Duration]],TableTime[[Date]:[Date]],$B314,TableTime[[Activity]:[Activity]],N$1)=0,"",SUMIFS(TableTime[[Duration]:[Duration]],TableTime[[Date]:[Date]],$B314,TableTime[[Activity]:[Activity]],N$1))</f>
        <v/>
      </c>
      <c r="O314" s="62" t="str">
        <f>IF(SUMIFS(TableTime[[Duration]:[Duration]],TableTime[[Date]:[Date]],$B314,TableTime[[Activity]:[Activity]],O$1)=0,"",SUMIFS(TableTime[[Duration]:[Duration]],TableTime[[Date]:[Date]],$B314,TableTime[[Activity]:[Activity]],O$1))</f>
        <v/>
      </c>
      <c r="P314" s="62" t="str">
        <f>IF(SUMIFS(TableTime[[Duration]:[Duration]],TableTime[[Date]:[Date]],$B314,TableTime[[Activity]:[Activity]],P$1)=0,"",SUMIFS(TableTime[[Duration]:[Duration]],TableTime[[Date]:[Date]],$B314,TableTime[[Activity]:[Activity]],P$1))</f>
        <v/>
      </c>
      <c r="Q314" s="62" t="str">
        <f>IF(SUMIFS(TableTime[[Duration]:[Duration]],TableTime[[Date]:[Date]],$B314,TableTime[[Activity]:[Activity]],Q$1)=0,"",SUMIFS(TableTime[[Duration]:[Duration]],TableTime[[Date]:[Date]],$B314,TableTime[[Activity]:[Activity]],Q$1))</f>
        <v/>
      </c>
      <c r="R314" s="62" t="str">
        <f>IF(SUMIFS(TableTime[[Duration]:[Duration]],TableTime[[Date]:[Date]],$B314,TableTime[[Activity]:[Activity]],R$1)=0,"",SUMIFS(TableTime[[Duration]:[Duration]],TableTime[[Date]:[Date]],$B314,TableTime[[Activity]:[Activity]],R$1))</f>
        <v/>
      </c>
      <c r="S314" s="131" t="str">
        <f>IF(SUMIFS(TableTime[[Duration]:[Duration]],TableTime[[Date]:[Date]],$B314,TableTime[[Activity]:[Activity]],S$1)=0,"",SUMIFS(TableTime[[Duration]:[Duration]],TableTime[[Date]:[Date]],$B314,TableTime[[Activity]:[Activity]],S$1))</f>
        <v/>
      </c>
      <c r="T314" s="62" t="str">
        <f>IF(SUMIFS(TableTime[[Duration]:[Duration]],TableTime[[Date]:[Date]],$B314,TableTime[[Activity]:[Activity]],T$1)=0,"",SUMIFS(TableTime[[Duration]:[Duration]],TableTime[[Date]:[Date]],$B314,TableTime[[Activity]:[Activity]],T$1))</f>
        <v/>
      </c>
      <c r="U314" s="64" t="str">
        <f>IF(SUMIFS(TableTime[[Duration]:[Duration]],TableTime[[Date]:[Date]],$B314,TableTime[[Activity]:[Activity]],U$1)=0,"",SUMIFS(TableTime[[Duration]:[Duration]],TableTime[[Date]:[Date]],$B314,TableTime[[Activity]:[Activity]],U$1))</f>
        <v/>
      </c>
    </row>
    <row r="315" spans="1:21" x14ac:dyDescent="0.35">
      <c r="A315" s="35" t="str">
        <f t="shared" si="24"/>
        <v>Fri</v>
      </c>
      <c r="B315" s="5">
        <f t="shared" si="26"/>
        <v>45240</v>
      </c>
      <c r="C315" s="1">
        <f t="shared" si="27"/>
        <v>11</v>
      </c>
      <c r="D315" s="2">
        <f t="shared" si="25"/>
        <v>45</v>
      </c>
      <c r="E315" s="102"/>
      <c r="F315" s="1" t="str">
        <f>IFERROR(IF(OR(WEEKDAY(B315,2)=6,WEEKDAY(B315,2)=7),'Month summary'!$D$11,IF(E315="",'Month summary'!$C$11,E315)),"")</f>
        <v>W</v>
      </c>
      <c r="G315" s="4">
        <f>IF(B315&lt;Time!$B$2,"",IF(F315='Month summary'!$C$11,'Month summary'!$F$2/24,IF(F315="H/2",'Month summary'!$F$2/24/2,0)))</f>
        <v>0.33333333333333331</v>
      </c>
      <c r="H315" s="4">
        <f t="shared" si="28"/>
        <v>0</v>
      </c>
      <c r="I315" s="4" t="str">
        <f t="shared" si="29"/>
        <v/>
      </c>
      <c r="J315" s="107"/>
      <c r="K315" s="38" t="str">
        <f>IFERROR(INDEX(TableTime[Time],MATCH(B315,TableTime[Date],0)),"")</f>
        <v/>
      </c>
      <c r="L315" s="4" t="str">
        <f>IF(SUMIFS(TableTime[Duration],TableTime[Date],B315,TableTime[Activity],Projects!$C$9)+SUMIFS(TableTime[Duration],TableTime[Date],B315,TableTime[Activity],Projects!$C$10)+SUMIFS(TableTime[Duration],TableTime[Date],B315,TableTime[Activity],Projects!$C$11)=0,"",SUMIFS(TableTime[Duration],TableTime[Date],B315,TableTime[Activity],Projects!$C$9)+SUMIFS(TableTime[Duration],TableTime[Date],B315,TableTime[Activity],Projects!$C$10)+SUMIFS(TableTime[Duration],TableTime[Date],B315,TableTime[Activity],Projects!$C$11))</f>
        <v/>
      </c>
      <c r="M315" s="4" t="str" cm="1">
        <f t="array" ref="M315">IFERROR(LOOKUP(2,1/(TableTime[Date]=B315),TableTime[Time]),"")</f>
        <v/>
      </c>
      <c r="N315" s="38" t="str">
        <f>IF(SUMIFS(TableTime[[Duration]:[Duration]],TableTime[[Date]:[Date]],$B315,TableTime[[Activity]:[Activity]],N$1)=0,"",SUMIFS(TableTime[[Duration]:[Duration]],TableTime[[Date]:[Date]],$B315,TableTime[[Activity]:[Activity]],N$1))</f>
        <v/>
      </c>
      <c r="O315" s="4" t="str">
        <f>IF(SUMIFS(TableTime[[Duration]:[Duration]],TableTime[[Date]:[Date]],$B315,TableTime[[Activity]:[Activity]],O$1)=0,"",SUMIFS(TableTime[[Duration]:[Duration]],TableTime[[Date]:[Date]],$B315,TableTime[[Activity]:[Activity]],O$1))</f>
        <v/>
      </c>
      <c r="P315" s="4" t="str">
        <f>IF(SUMIFS(TableTime[[Duration]:[Duration]],TableTime[[Date]:[Date]],$B315,TableTime[[Activity]:[Activity]],P$1)=0,"",SUMIFS(TableTime[[Duration]:[Duration]],TableTime[[Date]:[Date]],$B315,TableTime[[Activity]:[Activity]],P$1))</f>
        <v/>
      </c>
      <c r="Q315" s="4" t="str">
        <f>IF(SUMIFS(TableTime[[Duration]:[Duration]],TableTime[[Date]:[Date]],$B315,TableTime[[Activity]:[Activity]],Q$1)=0,"",SUMIFS(TableTime[[Duration]:[Duration]],TableTime[[Date]:[Date]],$B315,TableTime[[Activity]:[Activity]],Q$1))</f>
        <v/>
      </c>
      <c r="R315" s="4" t="str">
        <f>IF(SUMIFS(TableTime[[Duration]:[Duration]],TableTime[[Date]:[Date]],$B315,TableTime[[Activity]:[Activity]],R$1)=0,"",SUMIFS(TableTime[[Duration]:[Duration]],TableTime[[Date]:[Date]],$B315,TableTime[[Activity]:[Activity]],R$1))</f>
        <v/>
      </c>
      <c r="S315" s="130" t="str">
        <f>IF(SUMIFS(TableTime[[Duration]:[Duration]],TableTime[[Date]:[Date]],$B315,TableTime[[Activity]:[Activity]],S$1)=0,"",SUMIFS(TableTime[[Duration]:[Duration]],TableTime[[Date]:[Date]],$B315,TableTime[[Activity]:[Activity]],S$1))</f>
        <v/>
      </c>
      <c r="T315" s="4" t="str">
        <f>IF(SUMIFS(TableTime[[Duration]:[Duration]],TableTime[[Date]:[Date]],$B315,TableTime[[Activity]:[Activity]],T$1)=0,"",SUMIFS(TableTime[[Duration]:[Duration]],TableTime[[Date]:[Date]],$B315,TableTime[[Activity]:[Activity]],T$1))</f>
        <v/>
      </c>
      <c r="U315" s="39" t="str">
        <f>IF(SUMIFS(TableTime[[Duration]:[Duration]],TableTime[[Date]:[Date]],$B315,TableTime[[Activity]:[Activity]],U$1)=0,"",SUMIFS(TableTime[[Duration]:[Duration]],TableTime[[Date]:[Date]],$B315,TableTime[[Activity]:[Activity]],U$1))</f>
        <v/>
      </c>
    </row>
    <row r="316" spans="1:21" x14ac:dyDescent="0.35">
      <c r="A316" s="59" t="str">
        <f t="shared" si="24"/>
        <v>Sat</v>
      </c>
      <c r="B316" s="91">
        <f t="shared" si="26"/>
        <v>45241</v>
      </c>
      <c r="C316" s="60">
        <f t="shared" si="27"/>
        <v>11</v>
      </c>
      <c r="D316" s="61">
        <f t="shared" si="25"/>
        <v>45</v>
      </c>
      <c r="E316" s="103"/>
      <c r="F316" s="60" t="str">
        <f>IFERROR(IF(OR(WEEKDAY(B316,2)=6,WEEKDAY(B316,2)=7),'Month summary'!$D$11,IF(E316="",'Month summary'!$C$11,E316)),"")</f>
        <v>WE</v>
      </c>
      <c r="G316" s="62">
        <f>IF(B316&lt;Time!$B$2,"",IF(F316='Month summary'!$C$11,'Month summary'!$F$2/24,IF(F316="H/2",'Month summary'!$F$2/24/2,0)))</f>
        <v>0</v>
      </c>
      <c r="H316" s="62">
        <f t="shared" si="28"/>
        <v>0</v>
      </c>
      <c r="I316" s="62" t="str">
        <f t="shared" si="29"/>
        <v/>
      </c>
      <c r="J316" s="108"/>
      <c r="K316" s="63" t="str">
        <f>IFERROR(INDEX(TableTime[Time],MATCH(B316,TableTime[Date],0)),"")</f>
        <v/>
      </c>
      <c r="L316" s="62" t="str">
        <f>IF(SUMIFS(TableTime[Duration],TableTime[Date],B316,TableTime[Activity],Projects!$C$9)+SUMIFS(TableTime[Duration],TableTime[Date],B316,TableTime[Activity],Projects!$C$10)+SUMIFS(TableTime[Duration],TableTime[Date],B316,TableTime[Activity],Projects!$C$11)=0,"",SUMIFS(TableTime[Duration],TableTime[Date],B316,TableTime[Activity],Projects!$C$9)+SUMIFS(TableTime[Duration],TableTime[Date],B316,TableTime[Activity],Projects!$C$10)+SUMIFS(TableTime[Duration],TableTime[Date],B316,TableTime[Activity],Projects!$C$11))</f>
        <v/>
      </c>
      <c r="M316" s="62" t="str" cm="1">
        <f t="array" ref="M316">IFERROR(LOOKUP(2,1/(TableTime[Date]=B316),TableTime[Time]),"")</f>
        <v/>
      </c>
      <c r="N316" s="63" t="str">
        <f>IF(SUMIFS(TableTime[[Duration]:[Duration]],TableTime[[Date]:[Date]],$B316,TableTime[[Activity]:[Activity]],N$1)=0,"",SUMIFS(TableTime[[Duration]:[Duration]],TableTime[[Date]:[Date]],$B316,TableTime[[Activity]:[Activity]],N$1))</f>
        <v/>
      </c>
      <c r="O316" s="62" t="str">
        <f>IF(SUMIFS(TableTime[[Duration]:[Duration]],TableTime[[Date]:[Date]],$B316,TableTime[[Activity]:[Activity]],O$1)=0,"",SUMIFS(TableTime[[Duration]:[Duration]],TableTime[[Date]:[Date]],$B316,TableTime[[Activity]:[Activity]],O$1))</f>
        <v/>
      </c>
      <c r="P316" s="62" t="str">
        <f>IF(SUMIFS(TableTime[[Duration]:[Duration]],TableTime[[Date]:[Date]],$B316,TableTime[[Activity]:[Activity]],P$1)=0,"",SUMIFS(TableTime[[Duration]:[Duration]],TableTime[[Date]:[Date]],$B316,TableTime[[Activity]:[Activity]],P$1))</f>
        <v/>
      </c>
      <c r="Q316" s="62" t="str">
        <f>IF(SUMIFS(TableTime[[Duration]:[Duration]],TableTime[[Date]:[Date]],$B316,TableTime[[Activity]:[Activity]],Q$1)=0,"",SUMIFS(TableTime[[Duration]:[Duration]],TableTime[[Date]:[Date]],$B316,TableTime[[Activity]:[Activity]],Q$1))</f>
        <v/>
      </c>
      <c r="R316" s="62" t="str">
        <f>IF(SUMIFS(TableTime[[Duration]:[Duration]],TableTime[[Date]:[Date]],$B316,TableTime[[Activity]:[Activity]],R$1)=0,"",SUMIFS(TableTime[[Duration]:[Duration]],TableTime[[Date]:[Date]],$B316,TableTime[[Activity]:[Activity]],R$1))</f>
        <v/>
      </c>
      <c r="S316" s="131" t="str">
        <f>IF(SUMIFS(TableTime[[Duration]:[Duration]],TableTime[[Date]:[Date]],$B316,TableTime[[Activity]:[Activity]],S$1)=0,"",SUMIFS(TableTime[[Duration]:[Duration]],TableTime[[Date]:[Date]],$B316,TableTime[[Activity]:[Activity]],S$1))</f>
        <v/>
      </c>
      <c r="T316" s="62" t="str">
        <f>IF(SUMIFS(TableTime[[Duration]:[Duration]],TableTime[[Date]:[Date]],$B316,TableTime[[Activity]:[Activity]],T$1)=0,"",SUMIFS(TableTime[[Duration]:[Duration]],TableTime[[Date]:[Date]],$B316,TableTime[[Activity]:[Activity]],T$1))</f>
        <v/>
      </c>
      <c r="U316" s="64" t="str">
        <f>IF(SUMIFS(TableTime[[Duration]:[Duration]],TableTime[[Date]:[Date]],$B316,TableTime[[Activity]:[Activity]],U$1)=0,"",SUMIFS(TableTime[[Duration]:[Duration]],TableTime[[Date]:[Date]],$B316,TableTime[[Activity]:[Activity]],U$1))</f>
        <v/>
      </c>
    </row>
    <row r="317" spans="1:21" x14ac:dyDescent="0.35">
      <c r="A317" s="35" t="str">
        <f t="shared" si="24"/>
        <v>Sun</v>
      </c>
      <c r="B317" s="5">
        <f t="shared" si="26"/>
        <v>45242</v>
      </c>
      <c r="C317" s="1">
        <f t="shared" si="27"/>
        <v>11</v>
      </c>
      <c r="D317" s="2">
        <f t="shared" si="25"/>
        <v>45</v>
      </c>
      <c r="E317" s="102"/>
      <c r="F317" s="1" t="str">
        <f>IFERROR(IF(OR(WEEKDAY(B317,2)=6,WEEKDAY(B317,2)=7),'Month summary'!$D$11,IF(E317="",'Month summary'!$C$11,E317)),"")</f>
        <v>WE</v>
      </c>
      <c r="G317" s="4">
        <f>IF(B317&lt;Time!$B$2,"",IF(F317='Month summary'!$C$11,'Month summary'!$F$2/24,IF(F317="H/2",'Month summary'!$F$2/24/2,0)))</f>
        <v>0</v>
      </c>
      <c r="H317" s="4">
        <f t="shared" si="28"/>
        <v>0</v>
      </c>
      <c r="I317" s="4" t="str">
        <f t="shared" si="29"/>
        <v/>
      </c>
      <c r="J317" s="107"/>
      <c r="K317" s="38" t="str">
        <f>IFERROR(INDEX(TableTime[Time],MATCH(B317,TableTime[Date],0)),"")</f>
        <v/>
      </c>
      <c r="L317" s="4" t="str">
        <f>IF(SUMIFS(TableTime[Duration],TableTime[Date],B317,TableTime[Activity],Projects!$C$9)+SUMIFS(TableTime[Duration],TableTime[Date],B317,TableTime[Activity],Projects!$C$10)+SUMIFS(TableTime[Duration],TableTime[Date],B317,TableTime[Activity],Projects!$C$11)=0,"",SUMIFS(TableTime[Duration],TableTime[Date],B317,TableTime[Activity],Projects!$C$9)+SUMIFS(TableTime[Duration],TableTime[Date],B317,TableTime[Activity],Projects!$C$10)+SUMIFS(TableTime[Duration],TableTime[Date],B317,TableTime[Activity],Projects!$C$11))</f>
        <v/>
      </c>
      <c r="M317" s="4" t="str" cm="1">
        <f t="array" ref="M317">IFERROR(LOOKUP(2,1/(TableTime[Date]=B317),TableTime[Time]),"")</f>
        <v/>
      </c>
      <c r="N317" s="38" t="str">
        <f>IF(SUMIFS(TableTime[[Duration]:[Duration]],TableTime[[Date]:[Date]],$B317,TableTime[[Activity]:[Activity]],N$1)=0,"",SUMIFS(TableTime[[Duration]:[Duration]],TableTime[[Date]:[Date]],$B317,TableTime[[Activity]:[Activity]],N$1))</f>
        <v/>
      </c>
      <c r="O317" s="4" t="str">
        <f>IF(SUMIFS(TableTime[[Duration]:[Duration]],TableTime[[Date]:[Date]],$B317,TableTime[[Activity]:[Activity]],O$1)=0,"",SUMIFS(TableTime[[Duration]:[Duration]],TableTime[[Date]:[Date]],$B317,TableTime[[Activity]:[Activity]],O$1))</f>
        <v/>
      </c>
      <c r="P317" s="4" t="str">
        <f>IF(SUMIFS(TableTime[[Duration]:[Duration]],TableTime[[Date]:[Date]],$B317,TableTime[[Activity]:[Activity]],P$1)=0,"",SUMIFS(TableTime[[Duration]:[Duration]],TableTime[[Date]:[Date]],$B317,TableTime[[Activity]:[Activity]],P$1))</f>
        <v/>
      </c>
      <c r="Q317" s="4" t="str">
        <f>IF(SUMIFS(TableTime[[Duration]:[Duration]],TableTime[[Date]:[Date]],$B317,TableTime[[Activity]:[Activity]],Q$1)=0,"",SUMIFS(TableTime[[Duration]:[Duration]],TableTime[[Date]:[Date]],$B317,TableTime[[Activity]:[Activity]],Q$1))</f>
        <v/>
      </c>
      <c r="R317" s="4" t="str">
        <f>IF(SUMIFS(TableTime[[Duration]:[Duration]],TableTime[[Date]:[Date]],$B317,TableTime[[Activity]:[Activity]],R$1)=0,"",SUMIFS(TableTime[[Duration]:[Duration]],TableTime[[Date]:[Date]],$B317,TableTime[[Activity]:[Activity]],R$1))</f>
        <v/>
      </c>
      <c r="S317" s="130" t="str">
        <f>IF(SUMIFS(TableTime[[Duration]:[Duration]],TableTime[[Date]:[Date]],$B317,TableTime[[Activity]:[Activity]],S$1)=0,"",SUMIFS(TableTime[[Duration]:[Duration]],TableTime[[Date]:[Date]],$B317,TableTime[[Activity]:[Activity]],S$1))</f>
        <v/>
      </c>
      <c r="T317" s="4" t="str">
        <f>IF(SUMIFS(TableTime[[Duration]:[Duration]],TableTime[[Date]:[Date]],$B317,TableTime[[Activity]:[Activity]],T$1)=0,"",SUMIFS(TableTime[[Duration]:[Duration]],TableTime[[Date]:[Date]],$B317,TableTime[[Activity]:[Activity]],T$1))</f>
        <v/>
      </c>
      <c r="U317" s="39" t="str">
        <f>IF(SUMIFS(TableTime[[Duration]:[Duration]],TableTime[[Date]:[Date]],$B317,TableTime[[Activity]:[Activity]],U$1)=0,"",SUMIFS(TableTime[[Duration]:[Duration]],TableTime[[Date]:[Date]],$B317,TableTime[[Activity]:[Activity]],U$1))</f>
        <v/>
      </c>
    </row>
    <row r="318" spans="1:21" x14ac:dyDescent="0.35">
      <c r="A318" s="59" t="str">
        <f t="shared" si="24"/>
        <v>Mon</v>
      </c>
      <c r="B318" s="91">
        <f t="shared" si="26"/>
        <v>45243</v>
      </c>
      <c r="C318" s="60">
        <f t="shared" si="27"/>
        <v>11</v>
      </c>
      <c r="D318" s="61">
        <f t="shared" si="25"/>
        <v>46</v>
      </c>
      <c r="E318" s="103"/>
      <c r="F318" s="60" t="str">
        <f>IFERROR(IF(OR(WEEKDAY(B318,2)=6,WEEKDAY(B318,2)=7),'Month summary'!$D$11,IF(E318="",'Month summary'!$C$11,E318)),"")</f>
        <v>W</v>
      </c>
      <c r="G318" s="62">
        <f>IF(B318&lt;Time!$B$2,"",IF(F318='Month summary'!$C$11,'Month summary'!$F$2/24,IF(F318="H/2",'Month summary'!$F$2/24/2,0)))</f>
        <v>0.33333333333333331</v>
      </c>
      <c r="H318" s="62">
        <f t="shared" si="28"/>
        <v>0</v>
      </c>
      <c r="I318" s="62" t="str">
        <f t="shared" si="29"/>
        <v/>
      </c>
      <c r="J318" s="108"/>
      <c r="K318" s="63" t="str">
        <f>IFERROR(INDEX(TableTime[Time],MATCH(B318,TableTime[Date],0)),"")</f>
        <v/>
      </c>
      <c r="L318" s="62" t="str">
        <f>IF(SUMIFS(TableTime[Duration],TableTime[Date],B318,TableTime[Activity],Projects!$C$9)+SUMIFS(TableTime[Duration],TableTime[Date],B318,TableTime[Activity],Projects!$C$10)+SUMIFS(TableTime[Duration],TableTime[Date],B318,TableTime[Activity],Projects!$C$11)=0,"",SUMIFS(TableTime[Duration],TableTime[Date],B318,TableTime[Activity],Projects!$C$9)+SUMIFS(TableTime[Duration],TableTime[Date],B318,TableTime[Activity],Projects!$C$10)+SUMIFS(TableTime[Duration],TableTime[Date],B318,TableTime[Activity],Projects!$C$11))</f>
        <v/>
      </c>
      <c r="M318" s="62" t="str" cm="1">
        <f t="array" ref="M318">IFERROR(LOOKUP(2,1/(TableTime[Date]=B318),TableTime[Time]),"")</f>
        <v/>
      </c>
      <c r="N318" s="63" t="str">
        <f>IF(SUMIFS(TableTime[[Duration]:[Duration]],TableTime[[Date]:[Date]],$B318,TableTime[[Activity]:[Activity]],N$1)=0,"",SUMIFS(TableTime[[Duration]:[Duration]],TableTime[[Date]:[Date]],$B318,TableTime[[Activity]:[Activity]],N$1))</f>
        <v/>
      </c>
      <c r="O318" s="62" t="str">
        <f>IF(SUMIFS(TableTime[[Duration]:[Duration]],TableTime[[Date]:[Date]],$B318,TableTime[[Activity]:[Activity]],O$1)=0,"",SUMIFS(TableTime[[Duration]:[Duration]],TableTime[[Date]:[Date]],$B318,TableTime[[Activity]:[Activity]],O$1))</f>
        <v/>
      </c>
      <c r="P318" s="62" t="str">
        <f>IF(SUMIFS(TableTime[[Duration]:[Duration]],TableTime[[Date]:[Date]],$B318,TableTime[[Activity]:[Activity]],P$1)=0,"",SUMIFS(TableTime[[Duration]:[Duration]],TableTime[[Date]:[Date]],$B318,TableTime[[Activity]:[Activity]],P$1))</f>
        <v/>
      </c>
      <c r="Q318" s="62" t="str">
        <f>IF(SUMIFS(TableTime[[Duration]:[Duration]],TableTime[[Date]:[Date]],$B318,TableTime[[Activity]:[Activity]],Q$1)=0,"",SUMIFS(TableTime[[Duration]:[Duration]],TableTime[[Date]:[Date]],$B318,TableTime[[Activity]:[Activity]],Q$1))</f>
        <v/>
      </c>
      <c r="R318" s="62" t="str">
        <f>IF(SUMIFS(TableTime[[Duration]:[Duration]],TableTime[[Date]:[Date]],$B318,TableTime[[Activity]:[Activity]],R$1)=0,"",SUMIFS(TableTime[[Duration]:[Duration]],TableTime[[Date]:[Date]],$B318,TableTime[[Activity]:[Activity]],R$1))</f>
        <v/>
      </c>
      <c r="S318" s="131" t="str">
        <f>IF(SUMIFS(TableTime[[Duration]:[Duration]],TableTime[[Date]:[Date]],$B318,TableTime[[Activity]:[Activity]],S$1)=0,"",SUMIFS(TableTime[[Duration]:[Duration]],TableTime[[Date]:[Date]],$B318,TableTime[[Activity]:[Activity]],S$1))</f>
        <v/>
      </c>
      <c r="T318" s="62" t="str">
        <f>IF(SUMIFS(TableTime[[Duration]:[Duration]],TableTime[[Date]:[Date]],$B318,TableTime[[Activity]:[Activity]],T$1)=0,"",SUMIFS(TableTime[[Duration]:[Duration]],TableTime[[Date]:[Date]],$B318,TableTime[[Activity]:[Activity]],T$1))</f>
        <v/>
      </c>
      <c r="U318" s="64" t="str">
        <f>IF(SUMIFS(TableTime[[Duration]:[Duration]],TableTime[[Date]:[Date]],$B318,TableTime[[Activity]:[Activity]],U$1)=0,"",SUMIFS(TableTime[[Duration]:[Duration]],TableTime[[Date]:[Date]],$B318,TableTime[[Activity]:[Activity]],U$1))</f>
        <v/>
      </c>
    </row>
    <row r="319" spans="1:21" x14ac:dyDescent="0.35">
      <c r="A319" s="35" t="str">
        <f t="shared" si="24"/>
        <v>Tue</v>
      </c>
      <c r="B319" s="5">
        <f t="shared" si="26"/>
        <v>45244</v>
      </c>
      <c r="C319" s="1">
        <f t="shared" si="27"/>
        <v>11</v>
      </c>
      <c r="D319" s="2">
        <f t="shared" si="25"/>
        <v>46</v>
      </c>
      <c r="E319" s="102"/>
      <c r="F319" s="1" t="str">
        <f>IFERROR(IF(OR(WEEKDAY(B319,2)=6,WEEKDAY(B319,2)=7),'Month summary'!$D$11,IF(E319="",'Month summary'!$C$11,E319)),"")</f>
        <v>W</v>
      </c>
      <c r="G319" s="4">
        <f>IF(B319&lt;Time!$B$2,"",IF(F319='Month summary'!$C$11,'Month summary'!$F$2/24,IF(F319="H/2",'Month summary'!$F$2/24/2,0)))</f>
        <v>0.33333333333333331</v>
      </c>
      <c r="H319" s="4">
        <f t="shared" si="28"/>
        <v>0</v>
      </c>
      <c r="I319" s="4" t="str">
        <f t="shared" si="29"/>
        <v/>
      </c>
      <c r="J319" s="107"/>
      <c r="K319" s="38" t="str">
        <f>IFERROR(INDEX(TableTime[Time],MATCH(B319,TableTime[Date],0)),"")</f>
        <v/>
      </c>
      <c r="L319" s="4" t="str">
        <f>IF(SUMIFS(TableTime[Duration],TableTime[Date],B319,TableTime[Activity],Projects!$C$9)+SUMIFS(TableTime[Duration],TableTime[Date],B319,TableTime[Activity],Projects!$C$10)+SUMIFS(TableTime[Duration],TableTime[Date],B319,TableTime[Activity],Projects!$C$11)=0,"",SUMIFS(TableTime[Duration],TableTime[Date],B319,TableTime[Activity],Projects!$C$9)+SUMIFS(TableTime[Duration],TableTime[Date],B319,TableTime[Activity],Projects!$C$10)+SUMIFS(TableTime[Duration],TableTime[Date],B319,TableTime[Activity],Projects!$C$11))</f>
        <v/>
      </c>
      <c r="M319" s="4" t="str" cm="1">
        <f t="array" ref="M319">IFERROR(LOOKUP(2,1/(TableTime[Date]=B319),TableTime[Time]),"")</f>
        <v/>
      </c>
      <c r="N319" s="38" t="str">
        <f>IF(SUMIFS(TableTime[[Duration]:[Duration]],TableTime[[Date]:[Date]],$B319,TableTime[[Activity]:[Activity]],N$1)=0,"",SUMIFS(TableTime[[Duration]:[Duration]],TableTime[[Date]:[Date]],$B319,TableTime[[Activity]:[Activity]],N$1))</f>
        <v/>
      </c>
      <c r="O319" s="4" t="str">
        <f>IF(SUMIFS(TableTime[[Duration]:[Duration]],TableTime[[Date]:[Date]],$B319,TableTime[[Activity]:[Activity]],O$1)=0,"",SUMIFS(TableTime[[Duration]:[Duration]],TableTime[[Date]:[Date]],$B319,TableTime[[Activity]:[Activity]],O$1))</f>
        <v/>
      </c>
      <c r="P319" s="4" t="str">
        <f>IF(SUMIFS(TableTime[[Duration]:[Duration]],TableTime[[Date]:[Date]],$B319,TableTime[[Activity]:[Activity]],P$1)=0,"",SUMIFS(TableTime[[Duration]:[Duration]],TableTime[[Date]:[Date]],$B319,TableTime[[Activity]:[Activity]],P$1))</f>
        <v/>
      </c>
      <c r="Q319" s="4" t="str">
        <f>IF(SUMIFS(TableTime[[Duration]:[Duration]],TableTime[[Date]:[Date]],$B319,TableTime[[Activity]:[Activity]],Q$1)=0,"",SUMIFS(TableTime[[Duration]:[Duration]],TableTime[[Date]:[Date]],$B319,TableTime[[Activity]:[Activity]],Q$1))</f>
        <v/>
      </c>
      <c r="R319" s="4" t="str">
        <f>IF(SUMIFS(TableTime[[Duration]:[Duration]],TableTime[[Date]:[Date]],$B319,TableTime[[Activity]:[Activity]],R$1)=0,"",SUMIFS(TableTime[[Duration]:[Duration]],TableTime[[Date]:[Date]],$B319,TableTime[[Activity]:[Activity]],R$1))</f>
        <v/>
      </c>
      <c r="S319" s="130" t="str">
        <f>IF(SUMIFS(TableTime[[Duration]:[Duration]],TableTime[[Date]:[Date]],$B319,TableTime[[Activity]:[Activity]],S$1)=0,"",SUMIFS(TableTime[[Duration]:[Duration]],TableTime[[Date]:[Date]],$B319,TableTime[[Activity]:[Activity]],S$1))</f>
        <v/>
      </c>
      <c r="T319" s="4" t="str">
        <f>IF(SUMIFS(TableTime[[Duration]:[Duration]],TableTime[[Date]:[Date]],$B319,TableTime[[Activity]:[Activity]],T$1)=0,"",SUMIFS(TableTime[[Duration]:[Duration]],TableTime[[Date]:[Date]],$B319,TableTime[[Activity]:[Activity]],T$1))</f>
        <v/>
      </c>
      <c r="U319" s="39" t="str">
        <f>IF(SUMIFS(TableTime[[Duration]:[Duration]],TableTime[[Date]:[Date]],$B319,TableTime[[Activity]:[Activity]],U$1)=0,"",SUMIFS(TableTime[[Duration]:[Duration]],TableTime[[Date]:[Date]],$B319,TableTime[[Activity]:[Activity]],U$1))</f>
        <v/>
      </c>
    </row>
    <row r="320" spans="1:21" x14ac:dyDescent="0.35">
      <c r="A320" s="59" t="str">
        <f t="shared" si="24"/>
        <v>Wed</v>
      </c>
      <c r="B320" s="91">
        <f t="shared" si="26"/>
        <v>45245</v>
      </c>
      <c r="C320" s="60">
        <f t="shared" si="27"/>
        <v>11</v>
      </c>
      <c r="D320" s="61">
        <f t="shared" si="25"/>
        <v>46</v>
      </c>
      <c r="E320" s="103"/>
      <c r="F320" s="60" t="str">
        <f>IFERROR(IF(OR(WEEKDAY(B320,2)=6,WEEKDAY(B320,2)=7),'Month summary'!$D$11,IF(E320="",'Month summary'!$C$11,E320)),"")</f>
        <v>W</v>
      </c>
      <c r="G320" s="62">
        <f>IF(B320&lt;Time!$B$2,"",IF(F320='Month summary'!$C$11,'Month summary'!$F$2/24,IF(F320="H/2",'Month summary'!$F$2/24/2,0)))</f>
        <v>0.33333333333333331</v>
      </c>
      <c r="H320" s="62">
        <f t="shared" si="28"/>
        <v>0</v>
      </c>
      <c r="I320" s="62" t="str">
        <f t="shared" si="29"/>
        <v/>
      </c>
      <c r="J320" s="108"/>
      <c r="K320" s="63" t="str">
        <f>IFERROR(INDEX(TableTime[Time],MATCH(B320,TableTime[Date],0)),"")</f>
        <v/>
      </c>
      <c r="L320" s="62" t="str">
        <f>IF(SUMIFS(TableTime[Duration],TableTime[Date],B320,TableTime[Activity],Projects!$C$9)+SUMIFS(TableTime[Duration],TableTime[Date],B320,TableTime[Activity],Projects!$C$10)+SUMIFS(TableTime[Duration],TableTime[Date],B320,TableTime[Activity],Projects!$C$11)=0,"",SUMIFS(TableTime[Duration],TableTime[Date],B320,TableTime[Activity],Projects!$C$9)+SUMIFS(TableTime[Duration],TableTime[Date],B320,TableTime[Activity],Projects!$C$10)+SUMIFS(TableTime[Duration],TableTime[Date],B320,TableTime[Activity],Projects!$C$11))</f>
        <v/>
      </c>
      <c r="M320" s="62" t="str" cm="1">
        <f t="array" ref="M320">IFERROR(LOOKUP(2,1/(TableTime[Date]=B320),TableTime[Time]),"")</f>
        <v/>
      </c>
      <c r="N320" s="63" t="str">
        <f>IF(SUMIFS(TableTime[[Duration]:[Duration]],TableTime[[Date]:[Date]],$B320,TableTime[[Activity]:[Activity]],N$1)=0,"",SUMIFS(TableTime[[Duration]:[Duration]],TableTime[[Date]:[Date]],$B320,TableTime[[Activity]:[Activity]],N$1))</f>
        <v/>
      </c>
      <c r="O320" s="62" t="str">
        <f>IF(SUMIFS(TableTime[[Duration]:[Duration]],TableTime[[Date]:[Date]],$B320,TableTime[[Activity]:[Activity]],O$1)=0,"",SUMIFS(TableTime[[Duration]:[Duration]],TableTime[[Date]:[Date]],$B320,TableTime[[Activity]:[Activity]],O$1))</f>
        <v/>
      </c>
      <c r="P320" s="62" t="str">
        <f>IF(SUMIFS(TableTime[[Duration]:[Duration]],TableTime[[Date]:[Date]],$B320,TableTime[[Activity]:[Activity]],P$1)=0,"",SUMIFS(TableTime[[Duration]:[Duration]],TableTime[[Date]:[Date]],$B320,TableTime[[Activity]:[Activity]],P$1))</f>
        <v/>
      </c>
      <c r="Q320" s="62" t="str">
        <f>IF(SUMIFS(TableTime[[Duration]:[Duration]],TableTime[[Date]:[Date]],$B320,TableTime[[Activity]:[Activity]],Q$1)=0,"",SUMIFS(TableTime[[Duration]:[Duration]],TableTime[[Date]:[Date]],$B320,TableTime[[Activity]:[Activity]],Q$1))</f>
        <v/>
      </c>
      <c r="R320" s="62" t="str">
        <f>IF(SUMIFS(TableTime[[Duration]:[Duration]],TableTime[[Date]:[Date]],$B320,TableTime[[Activity]:[Activity]],R$1)=0,"",SUMIFS(TableTime[[Duration]:[Duration]],TableTime[[Date]:[Date]],$B320,TableTime[[Activity]:[Activity]],R$1))</f>
        <v/>
      </c>
      <c r="S320" s="131" t="str">
        <f>IF(SUMIFS(TableTime[[Duration]:[Duration]],TableTime[[Date]:[Date]],$B320,TableTime[[Activity]:[Activity]],S$1)=0,"",SUMIFS(TableTime[[Duration]:[Duration]],TableTime[[Date]:[Date]],$B320,TableTime[[Activity]:[Activity]],S$1))</f>
        <v/>
      </c>
      <c r="T320" s="62" t="str">
        <f>IF(SUMIFS(TableTime[[Duration]:[Duration]],TableTime[[Date]:[Date]],$B320,TableTime[[Activity]:[Activity]],T$1)=0,"",SUMIFS(TableTime[[Duration]:[Duration]],TableTime[[Date]:[Date]],$B320,TableTime[[Activity]:[Activity]],T$1))</f>
        <v/>
      </c>
      <c r="U320" s="64" t="str">
        <f>IF(SUMIFS(TableTime[[Duration]:[Duration]],TableTime[[Date]:[Date]],$B320,TableTime[[Activity]:[Activity]],U$1)=0,"",SUMIFS(TableTime[[Duration]:[Duration]],TableTime[[Date]:[Date]],$B320,TableTime[[Activity]:[Activity]],U$1))</f>
        <v/>
      </c>
    </row>
    <row r="321" spans="1:21" x14ac:dyDescent="0.35">
      <c r="A321" s="35" t="str">
        <f t="shared" si="24"/>
        <v>Thr</v>
      </c>
      <c r="B321" s="5">
        <f t="shared" si="26"/>
        <v>45246</v>
      </c>
      <c r="C321" s="1">
        <f t="shared" si="27"/>
        <v>11</v>
      </c>
      <c r="D321" s="2">
        <f t="shared" si="25"/>
        <v>46</v>
      </c>
      <c r="E321" s="102"/>
      <c r="F321" s="1" t="str">
        <f>IFERROR(IF(OR(WEEKDAY(B321,2)=6,WEEKDAY(B321,2)=7),'Month summary'!$D$11,IF(E321="",'Month summary'!$C$11,E321)),"")</f>
        <v>W</v>
      </c>
      <c r="G321" s="4">
        <f>IF(B321&lt;Time!$B$2,"",IF(F321='Month summary'!$C$11,'Month summary'!$F$2/24,IF(F321="H/2",'Month summary'!$F$2/24/2,0)))</f>
        <v>0.33333333333333331</v>
      </c>
      <c r="H321" s="4">
        <f t="shared" si="28"/>
        <v>0</v>
      </c>
      <c r="I321" s="4" t="str">
        <f t="shared" si="29"/>
        <v/>
      </c>
      <c r="J321" s="107"/>
      <c r="K321" s="38" t="str">
        <f>IFERROR(INDEX(TableTime[Time],MATCH(B321,TableTime[Date],0)),"")</f>
        <v/>
      </c>
      <c r="L321" s="4" t="str">
        <f>IF(SUMIFS(TableTime[Duration],TableTime[Date],B321,TableTime[Activity],Projects!$C$9)+SUMIFS(TableTime[Duration],TableTime[Date],B321,TableTime[Activity],Projects!$C$10)+SUMIFS(TableTime[Duration],TableTime[Date],B321,TableTime[Activity],Projects!$C$11)=0,"",SUMIFS(TableTime[Duration],TableTime[Date],B321,TableTime[Activity],Projects!$C$9)+SUMIFS(TableTime[Duration],TableTime[Date],B321,TableTime[Activity],Projects!$C$10)+SUMIFS(TableTime[Duration],TableTime[Date],B321,TableTime[Activity],Projects!$C$11))</f>
        <v/>
      </c>
      <c r="M321" s="4" t="str" cm="1">
        <f t="array" ref="M321">IFERROR(LOOKUP(2,1/(TableTime[Date]=B321),TableTime[Time]),"")</f>
        <v/>
      </c>
      <c r="N321" s="38" t="str">
        <f>IF(SUMIFS(TableTime[[Duration]:[Duration]],TableTime[[Date]:[Date]],$B321,TableTime[[Activity]:[Activity]],N$1)=0,"",SUMIFS(TableTime[[Duration]:[Duration]],TableTime[[Date]:[Date]],$B321,TableTime[[Activity]:[Activity]],N$1))</f>
        <v/>
      </c>
      <c r="O321" s="4" t="str">
        <f>IF(SUMIFS(TableTime[[Duration]:[Duration]],TableTime[[Date]:[Date]],$B321,TableTime[[Activity]:[Activity]],O$1)=0,"",SUMIFS(TableTime[[Duration]:[Duration]],TableTime[[Date]:[Date]],$B321,TableTime[[Activity]:[Activity]],O$1))</f>
        <v/>
      </c>
      <c r="P321" s="4" t="str">
        <f>IF(SUMIFS(TableTime[[Duration]:[Duration]],TableTime[[Date]:[Date]],$B321,TableTime[[Activity]:[Activity]],P$1)=0,"",SUMIFS(TableTime[[Duration]:[Duration]],TableTime[[Date]:[Date]],$B321,TableTime[[Activity]:[Activity]],P$1))</f>
        <v/>
      </c>
      <c r="Q321" s="4" t="str">
        <f>IF(SUMIFS(TableTime[[Duration]:[Duration]],TableTime[[Date]:[Date]],$B321,TableTime[[Activity]:[Activity]],Q$1)=0,"",SUMIFS(TableTime[[Duration]:[Duration]],TableTime[[Date]:[Date]],$B321,TableTime[[Activity]:[Activity]],Q$1))</f>
        <v/>
      </c>
      <c r="R321" s="4" t="str">
        <f>IF(SUMIFS(TableTime[[Duration]:[Duration]],TableTime[[Date]:[Date]],$B321,TableTime[[Activity]:[Activity]],R$1)=0,"",SUMIFS(TableTime[[Duration]:[Duration]],TableTime[[Date]:[Date]],$B321,TableTime[[Activity]:[Activity]],R$1))</f>
        <v/>
      </c>
      <c r="S321" s="130" t="str">
        <f>IF(SUMIFS(TableTime[[Duration]:[Duration]],TableTime[[Date]:[Date]],$B321,TableTime[[Activity]:[Activity]],S$1)=0,"",SUMIFS(TableTime[[Duration]:[Duration]],TableTime[[Date]:[Date]],$B321,TableTime[[Activity]:[Activity]],S$1))</f>
        <v/>
      </c>
      <c r="T321" s="4" t="str">
        <f>IF(SUMIFS(TableTime[[Duration]:[Duration]],TableTime[[Date]:[Date]],$B321,TableTime[[Activity]:[Activity]],T$1)=0,"",SUMIFS(TableTime[[Duration]:[Duration]],TableTime[[Date]:[Date]],$B321,TableTime[[Activity]:[Activity]],T$1))</f>
        <v/>
      </c>
      <c r="U321" s="39" t="str">
        <f>IF(SUMIFS(TableTime[[Duration]:[Duration]],TableTime[[Date]:[Date]],$B321,TableTime[[Activity]:[Activity]],U$1)=0,"",SUMIFS(TableTime[[Duration]:[Duration]],TableTime[[Date]:[Date]],$B321,TableTime[[Activity]:[Activity]],U$1))</f>
        <v/>
      </c>
    </row>
    <row r="322" spans="1:21" x14ac:dyDescent="0.35">
      <c r="A322" s="59" t="str">
        <f t="shared" ref="A322:A365" si="30">IFERROR(CHOOSE(WEEKDAY(B322,2),"Mon","Tue","Wed","Thr","Fri","Sat","Sun"),"")</f>
        <v>Fri</v>
      </c>
      <c r="B322" s="91">
        <f t="shared" si="26"/>
        <v>45247</v>
      </c>
      <c r="C322" s="60">
        <f t="shared" si="27"/>
        <v>11</v>
      </c>
      <c r="D322" s="61">
        <f t="shared" ref="D322:D365" si="31">IFERROR(WEEKNUM(B322,21),"")</f>
        <v>46</v>
      </c>
      <c r="E322" s="103"/>
      <c r="F322" s="60" t="str">
        <f>IFERROR(IF(OR(WEEKDAY(B322,2)=6,WEEKDAY(B322,2)=7),'Month summary'!$D$11,IF(E322="",'Month summary'!$C$11,E322)),"")</f>
        <v>W</v>
      </c>
      <c r="G322" s="62">
        <f>IF(B322&lt;Time!$B$2,"",IF(F322='Month summary'!$C$11,'Month summary'!$F$2/24,IF(F322="H/2",'Month summary'!$F$2/24/2,0)))</f>
        <v>0.33333333333333331</v>
      </c>
      <c r="H322" s="62">
        <f t="shared" si="28"/>
        <v>0</v>
      </c>
      <c r="I322" s="62" t="str">
        <f t="shared" si="29"/>
        <v/>
      </c>
      <c r="J322" s="108"/>
      <c r="K322" s="63" t="str">
        <f>IFERROR(INDEX(TableTime[Time],MATCH(B322,TableTime[Date],0)),"")</f>
        <v/>
      </c>
      <c r="L322" s="62" t="str">
        <f>IF(SUMIFS(TableTime[Duration],TableTime[Date],B322,TableTime[Activity],Projects!$C$9)+SUMIFS(TableTime[Duration],TableTime[Date],B322,TableTime[Activity],Projects!$C$10)+SUMIFS(TableTime[Duration],TableTime[Date],B322,TableTime[Activity],Projects!$C$11)=0,"",SUMIFS(TableTime[Duration],TableTime[Date],B322,TableTime[Activity],Projects!$C$9)+SUMIFS(TableTime[Duration],TableTime[Date],B322,TableTime[Activity],Projects!$C$10)+SUMIFS(TableTime[Duration],TableTime[Date],B322,TableTime[Activity],Projects!$C$11))</f>
        <v/>
      </c>
      <c r="M322" s="62" t="str" cm="1">
        <f t="array" ref="M322">IFERROR(LOOKUP(2,1/(TableTime[Date]=B322),TableTime[Time]),"")</f>
        <v/>
      </c>
      <c r="N322" s="63" t="str">
        <f>IF(SUMIFS(TableTime[[Duration]:[Duration]],TableTime[[Date]:[Date]],$B322,TableTime[[Activity]:[Activity]],N$1)=0,"",SUMIFS(TableTime[[Duration]:[Duration]],TableTime[[Date]:[Date]],$B322,TableTime[[Activity]:[Activity]],N$1))</f>
        <v/>
      </c>
      <c r="O322" s="62" t="str">
        <f>IF(SUMIFS(TableTime[[Duration]:[Duration]],TableTime[[Date]:[Date]],$B322,TableTime[[Activity]:[Activity]],O$1)=0,"",SUMIFS(TableTime[[Duration]:[Duration]],TableTime[[Date]:[Date]],$B322,TableTime[[Activity]:[Activity]],O$1))</f>
        <v/>
      </c>
      <c r="P322" s="62" t="str">
        <f>IF(SUMIFS(TableTime[[Duration]:[Duration]],TableTime[[Date]:[Date]],$B322,TableTime[[Activity]:[Activity]],P$1)=0,"",SUMIFS(TableTime[[Duration]:[Duration]],TableTime[[Date]:[Date]],$B322,TableTime[[Activity]:[Activity]],P$1))</f>
        <v/>
      </c>
      <c r="Q322" s="62" t="str">
        <f>IF(SUMIFS(TableTime[[Duration]:[Duration]],TableTime[[Date]:[Date]],$B322,TableTime[[Activity]:[Activity]],Q$1)=0,"",SUMIFS(TableTime[[Duration]:[Duration]],TableTime[[Date]:[Date]],$B322,TableTime[[Activity]:[Activity]],Q$1))</f>
        <v/>
      </c>
      <c r="R322" s="62" t="str">
        <f>IF(SUMIFS(TableTime[[Duration]:[Duration]],TableTime[[Date]:[Date]],$B322,TableTime[[Activity]:[Activity]],R$1)=0,"",SUMIFS(TableTime[[Duration]:[Duration]],TableTime[[Date]:[Date]],$B322,TableTime[[Activity]:[Activity]],R$1))</f>
        <v/>
      </c>
      <c r="S322" s="131" t="str">
        <f>IF(SUMIFS(TableTime[[Duration]:[Duration]],TableTime[[Date]:[Date]],$B322,TableTime[[Activity]:[Activity]],S$1)=0,"",SUMIFS(TableTime[[Duration]:[Duration]],TableTime[[Date]:[Date]],$B322,TableTime[[Activity]:[Activity]],S$1))</f>
        <v/>
      </c>
      <c r="T322" s="62" t="str">
        <f>IF(SUMIFS(TableTime[[Duration]:[Duration]],TableTime[[Date]:[Date]],$B322,TableTime[[Activity]:[Activity]],T$1)=0,"",SUMIFS(TableTime[[Duration]:[Duration]],TableTime[[Date]:[Date]],$B322,TableTime[[Activity]:[Activity]],T$1))</f>
        <v/>
      </c>
      <c r="U322" s="64" t="str">
        <f>IF(SUMIFS(TableTime[[Duration]:[Duration]],TableTime[[Date]:[Date]],$B322,TableTime[[Activity]:[Activity]],U$1)=0,"",SUMIFS(TableTime[[Duration]:[Duration]],TableTime[[Date]:[Date]],$B322,TableTime[[Activity]:[Activity]],U$1))</f>
        <v/>
      </c>
    </row>
    <row r="323" spans="1:21" x14ac:dyDescent="0.35">
      <c r="A323" s="35" t="str">
        <f t="shared" si="30"/>
        <v>Sat</v>
      </c>
      <c r="B323" s="5">
        <f t="shared" ref="B323:B367" si="32">IF(YEAR(B322+1)=Year,B322+1,"")</f>
        <v>45248</v>
      </c>
      <c r="C323" s="1">
        <f t="shared" ref="C323:C367" si="33">MONTH(B323)</f>
        <v>11</v>
      </c>
      <c r="D323" s="2">
        <f t="shared" si="31"/>
        <v>46</v>
      </c>
      <c r="E323" s="102"/>
      <c r="F323" s="1" t="str">
        <f>IFERROR(IF(OR(WEEKDAY(B323,2)=6,WEEKDAY(B323,2)=7),'Month summary'!$D$11,IF(E323="",'Month summary'!$C$11,E323)),"")</f>
        <v>WE</v>
      </c>
      <c r="G323" s="4">
        <f>IF(B323&lt;Time!$B$2,"",IF(F323='Month summary'!$C$11,'Month summary'!$F$2/24,IF(F323="H/2",'Month summary'!$F$2/24/2,0)))</f>
        <v>0</v>
      </c>
      <c r="H323" s="4">
        <f t="shared" ref="H323:H367" si="34">SUM(N323:S323)</f>
        <v>0</v>
      </c>
      <c r="I323" s="4" t="str">
        <f t="shared" ref="I323:I367" si="35">IF(ROUND(H323,2)=0,"",H323)</f>
        <v/>
      </c>
      <c r="J323" s="107"/>
      <c r="K323" s="38" t="str">
        <f>IFERROR(INDEX(TableTime[Time],MATCH(B323,TableTime[Date],0)),"")</f>
        <v/>
      </c>
      <c r="L323" s="4" t="str">
        <f>IF(SUMIFS(TableTime[Duration],TableTime[Date],B323,TableTime[Activity],Projects!$C$9)+SUMIFS(TableTime[Duration],TableTime[Date],B323,TableTime[Activity],Projects!$C$10)+SUMIFS(TableTime[Duration],TableTime[Date],B323,TableTime[Activity],Projects!$C$11)=0,"",SUMIFS(TableTime[Duration],TableTime[Date],B323,TableTime[Activity],Projects!$C$9)+SUMIFS(TableTime[Duration],TableTime[Date],B323,TableTime[Activity],Projects!$C$10)+SUMIFS(TableTime[Duration],TableTime[Date],B323,TableTime[Activity],Projects!$C$11))</f>
        <v/>
      </c>
      <c r="M323" s="4" t="str" cm="1">
        <f t="array" ref="M323">IFERROR(LOOKUP(2,1/(TableTime[Date]=B323),TableTime[Time]),"")</f>
        <v/>
      </c>
      <c r="N323" s="38" t="str">
        <f>IF(SUMIFS(TableTime[[Duration]:[Duration]],TableTime[[Date]:[Date]],$B323,TableTime[[Activity]:[Activity]],N$1)=0,"",SUMIFS(TableTime[[Duration]:[Duration]],TableTime[[Date]:[Date]],$B323,TableTime[[Activity]:[Activity]],N$1))</f>
        <v/>
      </c>
      <c r="O323" s="4" t="str">
        <f>IF(SUMIFS(TableTime[[Duration]:[Duration]],TableTime[[Date]:[Date]],$B323,TableTime[[Activity]:[Activity]],O$1)=0,"",SUMIFS(TableTime[[Duration]:[Duration]],TableTime[[Date]:[Date]],$B323,TableTime[[Activity]:[Activity]],O$1))</f>
        <v/>
      </c>
      <c r="P323" s="4" t="str">
        <f>IF(SUMIFS(TableTime[[Duration]:[Duration]],TableTime[[Date]:[Date]],$B323,TableTime[[Activity]:[Activity]],P$1)=0,"",SUMIFS(TableTime[[Duration]:[Duration]],TableTime[[Date]:[Date]],$B323,TableTime[[Activity]:[Activity]],P$1))</f>
        <v/>
      </c>
      <c r="Q323" s="4" t="str">
        <f>IF(SUMIFS(TableTime[[Duration]:[Duration]],TableTime[[Date]:[Date]],$B323,TableTime[[Activity]:[Activity]],Q$1)=0,"",SUMIFS(TableTime[[Duration]:[Duration]],TableTime[[Date]:[Date]],$B323,TableTime[[Activity]:[Activity]],Q$1))</f>
        <v/>
      </c>
      <c r="R323" s="4" t="str">
        <f>IF(SUMIFS(TableTime[[Duration]:[Duration]],TableTime[[Date]:[Date]],$B323,TableTime[[Activity]:[Activity]],R$1)=0,"",SUMIFS(TableTime[[Duration]:[Duration]],TableTime[[Date]:[Date]],$B323,TableTime[[Activity]:[Activity]],R$1))</f>
        <v/>
      </c>
      <c r="S323" s="130" t="str">
        <f>IF(SUMIFS(TableTime[[Duration]:[Duration]],TableTime[[Date]:[Date]],$B323,TableTime[[Activity]:[Activity]],S$1)=0,"",SUMIFS(TableTime[[Duration]:[Duration]],TableTime[[Date]:[Date]],$B323,TableTime[[Activity]:[Activity]],S$1))</f>
        <v/>
      </c>
      <c r="T323" s="4" t="str">
        <f>IF(SUMIFS(TableTime[[Duration]:[Duration]],TableTime[[Date]:[Date]],$B323,TableTime[[Activity]:[Activity]],T$1)=0,"",SUMIFS(TableTime[[Duration]:[Duration]],TableTime[[Date]:[Date]],$B323,TableTime[[Activity]:[Activity]],T$1))</f>
        <v/>
      </c>
      <c r="U323" s="39" t="str">
        <f>IF(SUMIFS(TableTime[[Duration]:[Duration]],TableTime[[Date]:[Date]],$B323,TableTime[[Activity]:[Activity]],U$1)=0,"",SUMIFS(TableTime[[Duration]:[Duration]],TableTime[[Date]:[Date]],$B323,TableTime[[Activity]:[Activity]],U$1))</f>
        <v/>
      </c>
    </row>
    <row r="324" spans="1:21" x14ac:dyDescent="0.35">
      <c r="A324" s="59" t="str">
        <f t="shared" si="30"/>
        <v>Sun</v>
      </c>
      <c r="B324" s="91">
        <f t="shared" si="32"/>
        <v>45249</v>
      </c>
      <c r="C324" s="60">
        <f t="shared" si="33"/>
        <v>11</v>
      </c>
      <c r="D324" s="61">
        <f t="shared" si="31"/>
        <v>46</v>
      </c>
      <c r="E324" s="103"/>
      <c r="F324" s="60" t="str">
        <f>IFERROR(IF(OR(WEEKDAY(B324,2)=6,WEEKDAY(B324,2)=7),'Month summary'!$D$11,IF(E324="",'Month summary'!$C$11,E324)),"")</f>
        <v>WE</v>
      </c>
      <c r="G324" s="62">
        <f>IF(B324&lt;Time!$B$2,"",IF(F324='Month summary'!$C$11,'Month summary'!$F$2/24,IF(F324="H/2",'Month summary'!$F$2/24/2,0)))</f>
        <v>0</v>
      </c>
      <c r="H324" s="62">
        <f t="shared" si="34"/>
        <v>0</v>
      </c>
      <c r="I324" s="62" t="str">
        <f t="shared" si="35"/>
        <v/>
      </c>
      <c r="J324" s="108"/>
      <c r="K324" s="63" t="str">
        <f>IFERROR(INDEX(TableTime[Time],MATCH(B324,TableTime[Date],0)),"")</f>
        <v/>
      </c>
      <c r="L324" s="62" t="str">
        <f>IF(SUMIFS(TableTime[Duration],TableTime[Date],B324,TableTime[Activity],Projects!$C$9)+SUMIFS(TableTime[Duration],TableTime[Date],B324,TableTime[Activity],Projects!$C$10)+SUMIFS(TableTime[Duration],TableTime[Date],B324,TableTime[Activity],Projects!$C$11)=0,"",SUMIFS(TableTime[Duration],TableTime[Date],B324,TableTime[Activity],Projects!$C$9)+SUMIFS(TableTime[Duration],TableTime[Date],B324,TableTime[Activity],Projects!$C$10)+SUMIFS(TableTime[Duration],TableTime[Date],B324,TableTime[Activity],Projects!$C$11))</f>
        <v/>
      </c>
      <c r="M324" s="62" t="str" cm="1">
        <f t="array" ref="M324">IFERROR(LOOKUP(2,1/(TableTime[Date]=B324),TableTime[Time]),"")</f>
        <v/>
      </c>
      <c r="N324" s="63" t="str">
        <f>IF(SUMIFS(TableTime[[Duration]:[Duration]],TableTime[[Date]:[Date]],$B324,TableTime[[Activity]:[Activity]],N$1)=0,"",SUMIFS(TableTime[[Duration]:[Duration]],TableTime[[Date]:[Date]],$B324,TableTime[[Activity]:[Activity]],N$1))</f>
        <v/>
      </c>
      <c r="O324" s="62" t="str">
        <f>IF(SUMIFS(TableTime[[Duration]:[Duration]],TableTime[[Date]:[Date]],$B324,TableTime[[Activity]:[Activity]],O$1)=0,"",SUMIFS(TableTime[[Duration]:[Duration]],TableTime[[Date]:[Date]],$B324,TableTime[[Activity]:[Activity]],O$1))</f>
        <v/>
      </c>
      <c r="P324" s="62" t="str">
        <f>IF(SUMIFS(TableTime[[Duration]:[Duration]],TableTime[[Date]:[Date]],$B324,TableTime[[Activity]:[Activity]],P$1)=0,"",SUMIFS(TableTime[[Duration]:[Duration]],TableTime[[Date]:[Date]],$B324,TableTime[[Activity]:[Activity]],P$1))</f>
        <v/>
      </c>
      <c r="Q324" s="62" t="str">
        <f>IF(SUMIFS(TableTime[[Duration]:[Duration]],TableTime[[Date]:[Date]],$B324,TableTime[[Activity]:[Activity]],Q$1)=0,"",SUMIFS(TableTime[[Duration]:[Duration]],TableTime[[Date]:[Date]],$B324,TableTime[[Activity]:[Activity]],Q$1))</f>
        <v/>
      </c>
      <c r="R324" s="62" t="str">
        <f>IF(SUMIFS(TableTime[[Duration]:[Duration]],TableTime[[Date]:[Date]],$B324,TableTime[[Activity]:[Activity]],R$1)=0,"",SUMIFS(TableTime[[Duration]:[Duration]],TableTime[[Date]:[Date]],$B324,TableTime[[Activity]:[Activity]],R$1))</f>
        <v/>
      </c>
      <c r="S324" s="131" t="str">
        <f>IF(SUMIFS(TableTime[[Duration]:[Duration]],TableTime[[Date]:[Date]],$B324,TableTime[[Activity]:[Activity]],S$1)=0,"",SUMIFS(TableTime[[Duration]:[Duration]],TableTime[[Date]:[Date]],$B324,TableTime[[Activity]:[Activity]],S$1))</f>
        <v/>
      </c>
      <c r="T324" s="62" t="str">
        <f>IF(SUMIFS(TableTime[[Duration]:[Duration]],TableTime[[Date]:[Date]],$B324,TableTime[[Activity]:[Activity]],T$1)=0,"",SUMIFS(TableTime[[Duration]:[Duration]],TableTime[[Date]:[Date]],$B324,TableTime[[Activity]:[Activity]],T$1))</f>
        <v/>
      </c>
      <c r="U324" s="64" t="str">
        <f>IF(SUMIFS(TableTime[[Duration]:[Duration]],TableTime[[Date]:[Date]],$B324,TableTime[[Activity]:[Activity]],U$1)=0,"",SUMIFS(TableTime[[Duration]:[Duration]],TableTime[[Date]:[Date]],$B324,TableTime[[Activity]:[Activity]],U$1))</f>
        <v/>
      </c>
    </row>
    <row r="325" spans="1:21" x14ac:dyDescent="0.35">
      <c r="A325" s="35" t="str">
        <f t="shared" si="30"/>
        <v>Mon</v>
      </c>
      <c r="B325" s="5">
        <f t="shared" si="32"/>
        <v>45250</v>
      </c>
      <c r="C325" s="1">
        <f t="shared" si="33"/>
        <v>11</v>
      </c>
      <c r="D325" s="2">
        <f t="shared" si="31"/>
        <v>47</v>
      </c>
      <c r="E325" s="102"/>
      <c r="F325" s="1" t="str">
        <f>IFERROR(IF(OR(WEEKDAY(B325,2)=6,WEEKDAY(B325,2)=7),'Month summary'!$D$11,IF(E325="",'Month summary'!$C$11,E325)),"")</f>
        <v>W</v>
      </c>
      <c r="G325" s="4">
        <f>IF(B325&lt;Time!$B$2,"",IF(F325='Month summary'!$C$11,'Month summary'!$F$2/24,IF(F325="H/2",'Month summary'!$F$2/24/2,0)))</f>
        <v>0.33333333333333331</v>
      </c>
      <c r="H325" s="4">
        <f t="shared" si="34"/>
        <v>0</v>
      </c>
      <c r="I325" s="4" t="str">
        <f t="shared" si="35"/>
        <v/>
      </c>
      <c r="J325" s="107"/>
      <c r="K325" s="38" t="str">
        <f>IFERROR(INDEX(TableTime[Time],MATCH(B325,TableTime[Date],0)),"")</f>
        <v/>
      </c>
      <c r="L325" s="4" t="str">
        <f>IF(SUMIFS(TableTime[Duration],TableTime[Date],B325,TableTime[Activity],Projects!$C$9)+SUMIFS(TableTime[Duration],TableTime[Date],B325,TableTime[Activity],Projects!$C$10)+SUMIFS(TableTime[Duration],TableTime[Date],B325,TableTime[Activity],Projects!$C$11)=0,"",SUMIFS(TableTime[Duration],TableTime[Date],B325,TableTime[Activity],Projects!$C$9)+SUMIFS(TableTime[Duration],TableTime[Date],B325,TableTime[Activity],Projects!$C$10)+SUMIFS(TableTime[Duration],TableTime[Date],B325,TableTime[Activity],Projects!$C$11))</f>
        <v/>
      </c>
      <c r="M325" s="4" t="str" cm="1">
        <f t="array" ref="M325">IFERROR(LOOKUP(2,1/(TableTime[Date]=B325),TableTime[Time]),"")</f>
        <v/>
      </c>
      <c r="N325" s="38" t="str">
        <f>IF(SUMIFS(TableTime[[Duration]:[Duration]],TableTime[[Date]:[Date]],$B325,TableTime[[Activity]:[Activity]],N$1)=0,"",SUMIFS(TableTime[[Duration]:[Duration]],TableTime[[Date]:[Date]],$B325,TableTime[[Activity]:[Activity]],N$1))</f>
        <v/>
      </c>
      <c r="O325" s="4" t="str">
        <f>IF(SUMIFS(TableTime[[Duration]:[Duration]],TableTime[[Date]:[Date]],$B325,TableTime[[Activity]:[Activity]],O$1)=0,"",SUMIFS(TableTime[[Duration]:[Duration]],TableTime[[Date]:[Date]],$B325,TableTime[[Activity]:[Activity]],O$1))</f>
        <v/>
      </c>
      <c r="P325" s="4" t="str">
        <f>IF(SUMIFS(TableTime[[Duration]:[Duration]],TableTime[[Date]:[Date]],$B325,TableTime[[Activity]:[Activity]],P$1)=0,"",SUMIFS(TableTime[[Duration]:[Duration]],TableTime[[Date]:[Date]],$B325,TableTime[[Activity]:[Activity]],P$1))</f>
        <v/>
      </c>
      <c r="Q325" s="4" t="str">
        <f>IF(SUMIFS(TableTime[[Duration]:[Duration]],TableTime[[Date]:[Date]],$B325,TableTime[[Activity]:[Activity]],Q$1)=0,"",SUMIFS(TableTime[[Duration]:[Duration]],TableTime[[Date]:[Date]],$B325,TableTime[[Activity]:[Activity]],Q$1))</f>
        <v/>
      </c>
      <c r="R325" s="4" t="str">
        <f>IF(SUMIFS(TableTime[[Duration]:[Duration]],TableTime[[Date]:[Date]],$B325,TableTime[[Activity]:[Activity]],R$1)=0,"",SUMIFS(TableTime[[Duration]:[Duration]],TableTime[[Date]:[Date]],$B325,TableTime[[Activity]:[Activity]],R$1))</f>
        <v/>
      </c>
      <c r="S325" s="130" t="str">
        <f>IF(SUMIFS(TableTime[[Duration]:[Duration]],TableTime[[Date]:[Date]],$B325,TableTime[[Activity]:[Activity]],S$1)=0,"",SUMIFS(TableTime[[Duration]:[Duration]],TableTime[[Date]:[Date]],$B325,TableTime[[Activity]:[Activity]],S$1))</f>
        <v/>
      </c>
      <c r="T325" s="4" t="str">
        <f>IF(SUMIFS(TableTime[[Duration]:[Duration]],TableTime[[Date]:[Date]],$B325,TableTime[[Activity]:[Activity]],T$1)=0,"",SUMIFS(TableTime[[Duration]:[Duration]],TableTime[[Date]:[Date]],$B325,TableTime[[Activity]:[Activity]],T$1))</f>
        <v/>
      </c>
      <c r="U325" s="39" t="str">
        <f>IF(SUMIFS(TableTime[[Duration]:[Duration]],TableTime[[Date]:[Date]],$B325,TableTime[[Activity]:[Activity]],U$1)=0,"",SUMIFS(TableTime[[Duration]:[Duration]],TableTime[[Date]:[Date]],$B325,TableTime[[Activity]:[Activity]],U$1))</f>
        <v/>
      </c>
    </row>
    <row r="326" spans="1:21" x14ac:dyDescent="0.35">
      <c r="A326" s="59" t="str">
        <f t="shared" si="30"/>
        <v>Tue</v>
      </c>
      <c r="B326" s="91">
        <f t="shared" si="32"/>
        <v>45251</v>
      </c>
      <c r="C326" s="60">
        <f t="shared" si="33"/>
        <v>11</v>
      </c>
      <c r="D326" s="61">
        <f t="shared" si="31"/>
        <v>47</v>
      </c>
      <c r="E326" s="103"/>
      <c r="F326" s="60" t="str">
        <f>IFERROR(IF(OR(WEEKDAY(B326,2)=6,WEEKDAY(B326,2)=7),'Month summary'!$D$11,IF(E326="",'Month summary'!$C$11,E326)),"")</f>
        <v>W</v>
      </c>
      <c r="G326" s="62">
        <f>IF(B326&lt;Time!$B$2,"",IF(F326='Month summary'!$C$11,'Month summary'!$F$2/24,IF(F326="H/2",'Month summary'!$F$2/24/2,0)))</f>
        <v>0.33333333333333331</v>
      </c>
      <c r="H326" s="62">
        <f t="shared" si="34"/>
        <v>0</v>
      </c>
      <c r="I326" s="62" t="str">
        <f t="shared" si="35"/>
        <v/>
      </c>
      <c r="J326" s="108"/>
      <c r="K326" s="63" t="str">
        <f>IFERROR(INDEX(TableTime[Time],MATCH(B326,TableTime[Date],0)),"")</f>
        <v/>
      </c>
      <c r="L326" s="62" t="str">
        <f>IF(SUMIFS(TableTime[Duration],TableTime[Date],B326,TableTime[Activity],Projects!$C$9)+SUMIFS(TableTime[Duration],TableTime[Date],B326,TableTime[Activity],Projects!$C$10)+SUMIFS(TableTime[Duration],TableTime[Date],B326,TableTime[Activity],Projects!$C$11)=0,"",SUMIFS(TableTime[Duration],TableTime[Date],B326,TableTime[Activity],Projects!$C$9)+SUMIFS(TableTime[Duration],TableTime[Date],B326,TableTime[Activity],Projects!$C$10)+SUMIFS(TableTime[Duration],TableTime[Date],B326,TableTime[Activity],Projects!$C$11))</f>
        <v/>
      </c>
      <c r="M326" s="62" t="str" cm="1">
        <f t="array" ref="M326">IFERROR(LOOKUP(2,1/(TableTime[Date]=B326),TableTime[Time]),"")</f>
        <v/>
      </c>
      <c r="N326" s="63" t="str">
        <f>IF(SUMIFS(TableTime[[Duration]:[Duration]],TableTime[[Date]:[Date]],$B326,TableTime[[Activity]:[Activity]],N$1)=0,"",SUMIFS(TableTime[[Duration]:[Duration]],TableTime[[Date]:[Date]],$B326,TableTime[[Activity]:[Activity]],N$1))</f>
        <v/>
      </c>
      <c r="O326" s="62" t="str">
        <f>IF(SUMIFS(TableTime[[Duration]:[Duration]],TableTime[[Date]:[Date]],$B326,TableTime[[Activity]:[Activity]],O$1)=0,"",SUMIFS(TableTime[[Duration]:[Duration]],TableTime[[Date]:[Date]],$B326,TableTime[[Activity]:[Activity]],O$1))</f>
        <v/>
      </c>
      <c r="P326" s="62" t="str">
        <f>IF(SUMIFS(TableTime[[Duration]:[Duration]],TableTime[[Date]:[Date]],$B326,TableTime[[Activity]:[Activity]],P$1)=0,"",SUMIFS(TableTime[[Duration]:[Duration]],TableTime[[Date]:[Date]],$B326,TableTime[[Activity]:[Activity]],P$1))</f>
        <v/>
      </c>
      <c r="Q326" s="62" t="str">
        <f>IF(SUMIFS(TableTime[[Duration]:[Duration]],TableTime[[Date]:[Date]],$B326,TableTime[[Activity]:[Activity]],Q$1)=0,"",SUMIFS(TableTime[[Duration]:[Duration]],TableTime[[Date]:[Date]],$B326,TableTime[[Activity]:[Activity]],Q$1))</f>
        <v/>
      </c>
      <c r="R326" s="62" t="str">
        <f>IF(SUMIFS(TableTime[[Duration]:[Duration]],TableTime[[Date]:[Date]],$B326,TableTime[[Activity]:[Activity]],R$1)=0,"",SUMIFS(TableTime[[Duration]:[Duration]],TableTime[[Date]:[Date]],$B326,TableTime[[Activity]:[Activity]],R$1))</f>
        <v/>
      </c>
      <c r="S326" s="131" t="str">
        <f>IF(SUMIFS(TableTime[[Duration]:[Duration]],TableTime[[Date]:[Date]],$B326,TableTime[[Activity]:[Activity]],S$1)=0,"",SUMIFS(TableTime[[Duration]:[Duration]],TableTime[[Date]:[Date]],$B326,TableTime[[Activity]:[Activity]],S$1))</f>
        <v/>
      </c>
      <c r="T326" s="62" t="str">
        <f>IF(SUMIFS(TableTime[[Duration]:[Duration]],TableTime[[Date]:[Date]],$B326,TableTime[[Activity]:[Activity]],T$1)=0,"",SUMIFS(TableTime[[Duration]:[Duration]],TableTime[[Date]:[Date]],$B326,TableTime[[Activity]:[Activity]],T$1))</f>
        <v/>
      </c>
      <c r="U326" s="64" t="str">
        <f>IF(SUMIFS(TableTime[[Duration]:[Duration]],TableTime[[Date]:[Date]],$B326,TableTime[[Activity]:[Activity]],U$1)=0,"",SUMIFS(TableTime[[Duration]:[Duration]],TableTime[[Date]:[Date]],$B326,TableTime[[Activity]:[Activity]],U$1))</f>
        <v/>
      </c>
    </row>
    <row r="327" spans="1:21" x14ac:dyDescent="0.35">
      <c r="A327" s="35" t="str">
        <f t="shared" si="30"/>
        <v>Wed</v>
      </c>
      <c r="B327" s="5">
        <f t="shared" si="32"/>
        <v>45252</v>
      </c>
      <c r="C327" s="1">
        <f t="shared" si="33"/>
        <v>11</v>
      </c>
      <c r="D327" s="2">
        <f t="shared" si="31"/>
        <v>47</v>
      </c>
      <c r="E327" s="102"/>
      <c r="F327" s="1" t="str">
        <f>IFERROR(IF(OR(WEEKDAY(B327,2)=6,WEEKDAY(B327,2)=7),'Month summary'!$D$11,IF(E327="",'Month summary'!$C$11,E327)),"")</f>
        <v>W</v>
      </c>
      <c r="G327" s="4">
        <f>IF(B327&lt;Time!$B$2,"",IF(F327='Month summary'!$C$11,'Month summary'!$F$2/24,IF(F327="H/2",'Month summary'!$F$2/24/2,0)))</f>
        <v>0.33333333333333331</v>
      </c>
      <c r="H327" s="4">
        <f t="shared" si="34"/>
        <v>0</v>
      </c>
      <c r="I327" s="4" t="str">
        <f t="shared" si="35"/>
        <v/>
      </c>
      <c r="J327" s="107"/>
      <c r="K327" s="38" t="str">
        <f>IFERROR(INDEX(TableTime[Time],MATCH(B327,TableTime[Date],0)),"")</f>
        <v/>
      </c>
      <c r="L327" s="4" t="str">
        <f>IF(SUMIFS(TableTime[Duration],TableTime[Date],B327,TableTime[Activity],Projects!$C$9)+SUMIFS(TableTime[Duration],TableTime[Date],B327,TableTime[Activity],Projects!$C$10)+SUMIFS(TableTime[Duration],TableTime[Date],B327,TableTime[Activity],Projects!$C$11)=0,"",SUMIFS(TableTime[Duration],TableTime[Date],B327,TableTime[Activity],Projects!$C$9)+SUMIFS(TableTime[Duration],TableTime[Date],B327,TableTime[Activity],Projects!$C$10)+SUMIFS(TableTime[Duration],TableTime[Date],B327,TableTime[Activity],Projects!$C$11))</f>
        <v/>
      </c>
      <c r="M327" s="4" t="str" cm="1">
        <f t="array" ref="M327">IFERROR(LOOKUP(2,1/(TableTime[Date]=B327),TableTime[Time]),"")</f>
        <v/>
      </c>
      <c r="N327" s="38" t="str">
        <f>IF(SUMIFS(TableTime[[Duration]:[Duration]],TableTime[[Date]:[Date]],$B327,TableTime[[Activity]:[Activity]],N$1)=0,"",SUMIFS(TableTime[[Duration]:[Duration]],TableTime[[Date]:[Date]],$B327,TableTime[[Activity]:[Activity]],N$1))</f>
        <v/>
      </c>
      <c r="O327" s="4" t="str">
        <f>IF(SUMIFS(TableTime[[Duration]:[Duration]],TableTime[[Date]:[Date]],$B327,TableTime[[Activity]:[Activity]],O$1)=0,"",SUMIFS(TableTime[[Duration]:[Duration]],TableTime[[Date]:[Date]],$B327,TableTime[[Activity]:[Activity]],O$1))</f>
        <v/>
      </c>
      <c r="P327" s="4" t="str">
        <f>IF(SUMIFS(TableTime[[Duration]:[Duration]],TableTime[[Date]:[Date]],$B327,TableTime[[Activity]:[Activity]],P$1)=0,"",SUMIFS(TableTime[[Duration]:[Duration]],TableTime[[Date]:[Date]],$B327,TableTime[[Activity]:[Activity]],P$1))</f>
        <v/>
      </c>
      <c r="Q327" s="4" t="str">
        <f>IF(SUMIFS(TableTime[[Duration]:[Duration]],TableTime[[Date]:[Date]],$B327,TableTime[[Activity]:[Activity]],Q$1)=0,"",SUMIFS(TableTime[[Duration]:[Duration]],TableTime[[Date]:[Date]],$B327,TableTime[[Activity]:[Activity]],Q$1))</f>
        <v/>
      </c>
      <c r="R327" s="4" t="str">
        <f>IF(SUMIFS(TableTime[[Duration]:[Duration]],TableTime[[Date]:[Date]],$B327,TableTime[[Activity]:[Activity]],R$1)=0,"",SUMIFS(TableTime[[Duration]:[Duration]],TableTime[[Date]:[Date]],$B327,TableTime[[Activity]:[Activity]],R$1))</f>
        <v/>
      </c>
      <c r="S327" s="130" t="str">
        <f>IF(SUMIFS(TableTime[[Duration]:[Duration]],TableTime[[Date]:[Date]],$B327,TableTime[[Activity]:[Activity]],S$1)=0,"",SUMIFS(TableTime[[Duration]:[Duration]],TableTime[[Date]:[Date]],$B327,TableTime[[Activity]:[Activity]],S$1))</f>
        <v/>
      </c>
      <c r="T327" s="4" t="str">
        <f>IF(SUMIFS(TableTime[[Duration]:[Duration]],TableTime[[Date]:[Date]],$B327,TableTime[[Activity]:[Activity]],T$1)=0,"",SUMIFS(TableTime[[Duration]:[Duration]],TableTime[[Date]:[Date]],$B327,TableTime[[Activity]:[Activity]],T$1))</f>
        <v/>
      </c>
      <c r="U327" s="39" t="str">
        <f>IF(SUMIFS(TableTime[[Duration]:[Duration]],TableTime[[Date]:[Date]],$B327,TableTime[[Activity]:[Activity]],U$1)=0,"",SUMIFS(TableTime[[Duration]:[Duration]],TableTime[[Date]:[Date]],$B327,TableTime[[Activity]:[Activity]],U$1))</f>
        <v/>
      </c>
    </row>
    <row r="328" spans="1:21" x14ac:dyDescent="0.35">
      <c r="A328" s="59" t="str">
        <f t="shared" si="30"/>
        <v>Thr</v>
      </c>
      <c r="B328" s="91">
        <f t="shared" si="32"/>
        <v>45253</v>
      </c>
      <c r="C328" s="60">
        <f t="shared" si="33"/>
        <v>11</v>
      </c>
      <c r="D328" s="61">
        <f t="shared" si="31"/>
        <v>47</v>
      </c>
      <c r="E328" s="103"/>
      <c r="F328" s="60" t="str">
        <f>IFERROR(IF(OR(WEEKDAY(B328,2)=6,WEEKDAY(B328,2)=7),'Month summary'!$D$11,IF(E328="",'Month summary'!$C$11,E328)),"")</f>
        <v>W</v>
      </c>
      <c r="G328" s="62">
        <f>IF(B328&lt;Time!$B$2,"",IF(F328='Month summary'!$C$11,'Month summary'!$F$2/24,IF(F328="H/2",'Month summary'!$F$2/24/2,0)))</f>
        <v>0.33333333333333331</v>
      </c>
      <c r="H328" s="62">
        <f t="shared" si="34"/>
        <v>0</v>
      </c>
      <c r="I328" s="62" t="str">
        <f t="shared" si="35"/>
        <v/>
      </c>
      <c r="J328" s="108"/>
      <c r="K328" s="63" t="str">
        <f>IFERROR(INDEX(TableTime[Time],MATCH(B328,TableTime[Date],0)),"")</f>
        <v/>
      </c>
      <c r="L328" s="62" t="str">
        <f>IF(SUMIFS(TableTime[Duration],TableTime[Date],B328,TableTime[Activity],Projects!$C$9)+SUMIFS(TableTime[Duration],TableTime[Date],B328,TableTime[Activity],Projects!$C$10)+SUMIFS(TableTime[Duration],TableTime[Date],B328,TableTime[Activity],Projects!$C$11)=0,"",SUMIFS(TableTime[Duration],TableTime[Date],B328,TableTime[Activity],Projects!$C$9)+SUMIFS(TableTime[Duration],TableTime[Date],B328,TableTime[Activity],Projects!$C$10)+SUMIFS(TableTime[Duration],TableTime[Date],B328,TableTime[Activity],Projects!$C$11))</f>
        <v/>
      </c>
      <c r="M328" s="62" t="str" cm="1">
        <f t="array" ref="M328">IFERROR(LOOKUP(2,1/(TableTime[Date]=B328),TableTime[Time]),"")</f>
        <v/>
      </c>
      <c r="N328" s="63" t="str">
        <f>IF(SUMIFS(TableTime[[Duration]:[Duration]],TableTime[[Date]:[Date]],$B328,TableTime[[Activity]:[Activity]],N$1)=0,"",SUMIFS(TableTime[[Duration]:[Duration]],TableTime[[Date]:[Date]],$B328,TableTime[[Activity]:[Activity]],N$1))</f>
        <v/>
      </c>
      <c r="O328" s="62" t="str">
        <f>IF(SUMIFS(TableTime[[Duration]:[Duration]],TableTime[[Date]:[Date]],$B328,TableTime[[Activity]:[Activity]],O$1)=0,"",SUMIFS(TableTime[[Duration]:[Duration]],TableTime[[Date]:[Date]],$B328,TableTime[[Activity]:[Activity]],O$1))</f>
        <v/>
      </c>
      <c r="P328" s="62" t="str">
        <f>IF(SUMIFS(TableTime[[Duration]:[Duration]],TableTime[[Date]:[Date]],$B328,TableTime[[Activity]:[Activity]],P$1)=0,"",SUMIFS(TableTime[[Duration]:[Duration]],TableTime[[Date]:[Date]],$B328,TableTime[[Activity]:[Activity]],P$1))</f>
        <v/>
      </c>
      <c r="Q328" s="62" t="str">
        <f>IF(SUMIFS(TableTime[[Duration]:[Duration]],TableTime[[Date]:[Date]],$B328,TableTime[[Activity]:[Activity]],Q$1)=0,"",SUMIFS(TableTime[[Duration]:[Duration]],TableTime[[Date]:[Date]],$B328,TableTime[[Activity]:[Activity]],Q$1))</f>
        <v/>
      </c>
      <c r="R328" s="62" t="str">
        <f>IF(SUMIFS(TableTime[[Duration]:[Duration]],TableTime[[Date]:[Date]],$B328,TableTime[[Activity]:[Activity]],R$1)=0,"",SUMIFS(TableTime[[Duration]:[Duration]],TableTime[[Date]:[Date]],$B328,TableTime[[Activity]:[Activity]],R$1))</f>
        <v/>
      </c>
      <c r="S328" s="131" t="str">
        <f>IF(SUMIFS(TableTime[[Duration]:[Duration]],TableTime[[Date]:[Date]],$B328,TableTime[[Activity]:[Activity]],S$1)=0,"",SUMIFS(TableTime[[Duration]:[Duration]],TableTime[[Date]:[Date]],$B328,TableTime[[Activity]:[Activity]],S$1))</f>
        <v/>
      </c>
      <c r="T328" s="62" t="str">
        <f>IF(SUMIFS(TableTime[[Duration]:[Duration]],TableTime[[Date]:[Date]],$B328,TableTime[[Activity]:[Activity]],T$1)=0,"",SUMIFS(TableTime[[Duration]:[Duration]],TableTime[[Date]:[Date]],$B328,TableTime[[Activity]:[Activity]],T$1))</f>
        <v/>
      </c>
      <c r="U328" s="64" t="str">
        <f>IF(SUMIFS(TableTime[[Duration]:[Duration]],TableTime[[Date]:[Date]],$B328,TableTime[[Activity]:[Activity]],U$1)=0,"",SUMIFS(TableTime[[Duration]:[Duration]],TableTime[[Date]:[Date]],$B328,TableTime[[Activity]:[Activity]],U$1))</f>
        <v/>
      </c>
    </row>
    <row r="329" spans="1:21" x14ac:dyDescent="0.35">
      <c r="A329" s="35" t="str">
        <f t="shared" si="30"/>
        <v>Fri</v>
      </c>
      <c r="B329" s="5">
        <f t="shared" si="32"/>
        <v>45254</v>
      </c>
      <c r="C329" s="1">
        <f t="shared" si="33"/>
        <v>11</v>
      </c>
      <c r="D329" s="2">
        <f t="shared" si="31"/>
        <v>47</v>
      </c>
      <c r="E329" s="102"/>
      <c r="F329" s="1" t="str">
        <f>IFERROR(IF(OR(WEEKDAY(B329,2)=6,WEEKDAY(B329,2)=7),'Month summary'!$D$11,IF(E329="",'Month summary'!$C$11,E329)),"")</f>
        <v>W</v>
      </c>
      <c r="G329" s="4">
        <f>IF(B329&lt;Time!$B$2,"",IF(F329='Month summary'!$C$11,'Month summary'!$F$2/24,IF(F329="H/2",'Month summary'!$F$2/24/2,0)))</f>
        <v>0.33333333333333331</v>
      </c>
      <c r="H329" s="4">
        <f t="shared" si="34"/>
        <v>0</v>
      </c>
      <c r="I329" s="4" t="str">
        <f t="shared" si="35"/>
        <v/>
      </c>
      <c r="J329" s="107"/>
      <c r="K329" s="38" t="str">
        <f>IFERROR(INDEX(TableTime[Time],MATCH(B329,TableTime[Date],0)),"")</f>
        <v/>
      </c>
      <c r="L329" s="4" t="str">
        <f>IF(SUMIFS(TableTime[Duration],TableTime[Date],B329,TableTime[Activity],Projects!$C$9)+SUMIFS(TableTime[Duration],TableTime[Date],B329,TableTime[Activity],Projects!$C$10)+SUMIFS(TableTime[Duration],TableTime[Date],B329,TableTime[Activity],Projects!$C$11)=0,"",SUMIFS(TableTime[Duration],TableTime[Date],B329,TableTime[Activity],Projects!$C$9)+SUMIFS(TableTime[Duration],TableTime[Date],B329,TableTime[Activity],Projects!$C$10)+SUMIFS(TableTime[Duration],TableTime[Date],B329,TableTime[Activity],Projects!$C$11))</f>
        <v/>
      </c>
      <c r="M329" s="4" t="str" cm="1">
        <f t="array" ref="M329">IFERROR(LOOKUP(2,1/(TableTime[Date]=B329),TableTime[Time]),"")</f>
        <v/>
      </c>
      <c r="N329" s="38" t="str">
        <f>IF(SUMIFS(TableTime[[Duration]:[Duration]],TableTime[[Date]:[Date]],$B329,TableTime[[Activity]:[Activity]],N$1)=0,"",SUMIFS(TableTime[[Duration]:[Duration]],TableTime[[Date]:[Date]],$B329,TableTime[[Activity]:[Activity]],N$1))</f>
        <v/>
      </c>
      <c r="O329" s="4" t="str">
        <f>IF(SUMIFS(TableTime[[Duration]:[Duration]],TableTime[[Date]:[Date]],$B329,TableTime[[Activity]:[Activity]],O$1)=0,"",SUMIFS(TableTime[[Duration]:[Duration]],TableTime[[Date]:[Date]],$B329,TableTime[[Activity]:[Activity]],O$1))</f>
        <v/>
      </c>
      <c r="P329" s="4" t="str">
        <f>IF(SUMIFS(TableTime[[Duration]:[Duration]],TableTime[[Date]:[Date]],$B329,TableTime[[Activity]:[Activity]],P$1)=0,"",SUMIFS(TableTime[[Duration]:[Duration]],TableTime[[Date]:[Date]],$B329,TableTime[[Activity]:[Activity]],P$1))</f>
        <v/>
      </c>
      <c r="Q329" s="4" t="str">
        <f>IF(SUMIFS(TableTime[[Duration]:[Duration]],TableTime[[Date]:[Date]],$B329,TableTime[[Activity]:[Activity]],Q$1)=0,"",SUMIFS(TableTime[[Duration]:[Duration]],TableTime[[Date]:[Date]],$B329,TableTime[[Activity]:[Activity]],Q$1))</f>
        <v/>
      </c>
      <c r="R329" s="4" t="str">
        <f>IF(SUMIFS(TableTime[[Duration]:[Duration]],TableTime[[Date]:[Date]],$B329,TableTime[[Activity]:[Activity]],R$1)=0,"",SUMIFS(TableTime[[Duration]:[Duration]],TableTime[[Date]:[Date]],$B329,TableTime[[Activity]:[Activity]],R$1))</f>
        <v/>
      </c>
      <c r="S329" s="130" t="str">
        <f>IF(SUMIFS(TableTime[[Duration]:[Duration]],TableTime[[Date]:[Date]],$B329,TableTime[[Activity]:[Activity]],S$1)=0,"",SUMIFS(TableTime[[Duration]:[Duration]],TableTime[[Date]:[Date]],$B329,TableTime[[Activity]:[Activity]],S$1))</f>
        <v/>
      </c>
      <c r="T329" s="4" t="str">
        <f>IF(SUMIFS(TableTime[[Duration]:[Duration]],TableTime[[Date]:[Date]],$B329,TableTime[[Activity]:[Activity]],T$1)=0,"",SUMIFS(TableTime[[Duration]:[Duration]],TableTime[[Date]:[Date]],$B329,TableTime[[Activity]:[Activity]],T$1))</f>
        <v/>
      </c>
      <c r="U329" s="39" t="str">
        <f>IF(SUMIFS(TableTime[[Duration]:[Duration]],TableTime[[Date]:[Date]],$B329,TableTime[[Activity]:[Activity]],U$1)=0,"",SUMIFS(TableTime[[Duration]:[Duration]],TableTime[[Date]:[Date]],$B329,TableTime[[Activity]:[Activity]],U$1))</f>
        <v/>
      </c>
    </row>
    <row r="330" spans="1:21" x14ac:dyDescent="0.35">
      <c r="A330" s="59" t="str">
        <f t="shared" si="30"/>
        <v>Sat</v>
      </c>
      <c r="B330" s="91">
        <f t="shared" si="32"/>
        <v>45255</v>
      </c>
      <c r="C330" s="60">
        <f t="shared" si="33"/>
        <v>11</v>
      </c>
      <c r="D330" s="61">
        <f t="shared" si="31"/>
        <v>47</v>
      </c>
      <c r="E330" s="103"/>
      <c r="F330" s="60" t="str">
        <f>IFERROR(IF(OR(WEEKDAY(B330,2)=6,WEEKDAY(B330,2)=7),'Month summary'!$D$11,IF(E330="",'Month summary'!$C$11,E330)),"")</f>
        <v>WE</v>
      </c>
      <c r="G330" s="62">
        <f>IF(B330&lt;Time!$B$2,"",IF(F330='Month summary'!$C$11,'Month summary'!$F$2/24,IF(F330="H/2",'Month summary'!$F$2/24/2,0)))</f>
        <v>0</v>
      </c>
      <c r="H330" s="62">
        <f t="shared" si="34"/>
        <v>0</v>
      </c>
      <c r="I330" s="62" t="str">
        <f t="shared" si="35"/>
        <v/>
      </c>
      <c r="J330" s="108"/>
      <c r="K330" s="63" t="str">
        <f>IFERROR(INDEX(TableTime[Time],MATCH(B330,TableTime[Date],0)),"")</f>
        <v/>
      </c>
      <c r="L330" s="62" t="str">
        <f>IF(SUMIFS(TableTime[Duration],TableTime[Date],B330,TableTime[Activity],Projects!$C$9)+SUMIFS(TableTime[Duration],TableTime[Date],B330,TableTime[Activity],Projects!$C$10)+SUMIFS(TableTime[Duration],TableTime[Date],B330,TableTime[Activity],Projects!$C$11)=0,"",SUMIFS(TableTime[Duration],TableTime[Date],B330,TableTime[Activity],Projects!$C$9)+SUMIFS(TableTime[Duration],TableTime[Date],B330,TableTime[Activity],Projects!$C$10)+SUMIFS(TableTime[Duration],TableTime[Date],B330,TableTime[Activity],Projects!$C$11))</f>
        <v/>
      </c>
      <c r="M330" s="62" t="str" cm="1">
        <f t="array" ref="M330">IFERROR(LOOKUP(2,1/(TableTime[Date]=B330),TableTime[Time]),"")</f>
        <v/>
      </c>
      <c r="N330" s="63" t="str">
        <f>IF(SUMIFS(TableTime[[Duration]:[Duration]],TableTime[[Date]:[Date]],$B330,TableTime[[Activity]:[Activity]],N$1)=0,"",SUMIFS(TableTime[[Duration]:[Duration]],TableTime[[Date]:[Date]],$B330,TableTime[[Activity]:[Activity]],N$1))</f>
        <v/>
      </c>
      <c r="O330" s="62" t="str">
        <f>IF(SUMIFS(TableTime[[Duration]:[Duration]],TableTime[[Date]:[Date]],$B330,TableTime[[Activity]:[Activity]],O$1)=0,"",SUMIFS(TableTime[[Duration]:[Duration]],TableTime[[Date]:[Date]],$B330,TableTime[[Activity]:[Activity]],O$1))</f>
        <v/>
      </c>
      <c r="P330" s="62" t="str">
        <f>IF(SUMIFS(TableTime[[Duration]:[Duration]],TableTime[[Date]:[Date]],$B330,TableTime[[Activity]:[Activity]],P$1)=0,"",SUMIFS(TableTime[[Duration]:[Duration]],TableTime[[Date]:[Date]],$B330,TableTime[[Activity]:[Activity]],P$1))</f>
        <v/>
      </c>
      <c r="Q330" s="62" t="str">
        <f>IF(SUMIFS(TableTime[[Duration]:[Duration]],TableTime[[Date]:[Date]],$B330,TableTime[[Activity]:[Activity]],Q$1)=0,"",SUMIFS(TableTime[[Duration]:[Duration]],TableTime[[Date]:[Date]],$B330,TableTime[[Activity]:[Activity]],Q$1))</f>
        <v/>
      </c>
      <c r="R330" s="62" t="str">
        <f>IF(SUMIFS(TableTime[[Duration]:[Duration]],TableTime[[Date]:[Date]],$B330,TableTime[[Activity]:[Activity]],R$1)=0,"",SUMIFS(TableTime[[Duration]:[Duration]],TableTime[[Date]:[Date]],$B330,TableTime[[Activity]:[Activity]],R$1))</f>
        <v/>
      </c>
      <c r="S330" s="131" t="str">
        <f>IF(SUMIFS(TableTime[[Duration]:[Duration]],TableTime[[Date]:[Date]],$B330,TableTime[[Activity]:[Activity]],S$1)=0,"",SUMIFS(TableTime[[Duration]:[Duration]],TableTime[[Date]:[Date]],$B330,TableTime[[Activity]:[Activity]],S$1))</f>
        <v/>
      </c>
      <c r="T330" s="62" t="str">
        <f>IF(SUMIFS(TableTime[[Duration]:[Duration]],TableTime[[Date]:[Date]],$B330,TableTime[[Activity]:[Activity]],T$1)=0,"",SUMIFS(TableTime[[Duration]:[Duration]],TableTime[[Date]:[Date]],$B330,TableTime[[Activity]:[Activity]],T$1))</f>
        <v/>
      </c>
      <c r="U330" s="64" t="str">
        <f>IF(SUMIFS(TableTime[[Duration]:[Duration]],TableTime[[Date]:[Date]],$B330,TableTime[[Activity]:[Activity]],U$1)=0,"",SUMIFS(TableTime[[Duration]:[Duration]],TableTime[[Date]:[Date]],$B330,TableTime[[Activity]:[Activity]],U$1))</f>
        <v/>
      </c>
    </row>
    <row r="331" spans="1:21" x14ac:dyDescent="0.35">
      <c r="A331" s="35" t="str">
        <f t="shared" si="30"/>
        <v>Sun</v>
      </c>
      <c r="B331" s="5">
        <f t="shared" si="32"/>
        <v>45256</v>
      </c>
      <c r="C331" s="1">
        <f t="shared" si="33"/>
        <v>11</v>
      </c>
      <c r="D331" s="2">
        <f t="shared" si="31"/>
        <v>47</v>
      </c>
      <c r="E331" s="102"/>
      <c r="F331" s="1" t="str">
        <f>IFERROR(IF(OR(WEEKDAY(B331,2)=6,WEEKDAY(B331,2)=7),'Month summary'!$D$11,IF(E331="",'Month summary'!$C$11,E331)),"")</f>
        <v>WE</v>
      </c>
      <c r="G331" s="4">
        <f>IF(B331&lt;Time!$B$2,"",IF(F331='Month summary'!$C$11,'Month summary'!$F$2/24,IF(F331="H/2",'Month summary'!$F$2/24/2,0)))</f>
        <v>0</v>
      </c>
      <c r="H331" s="4">
        <f t="shared" si="34"/>
        <v>0</v>
      </c>
      <c r="I331" s="4" t="str">
        <f t="shared" si="35"/>
        <v/>
      </c>
      <c r="J331" s="107"/>
      <c r="K331" s="38" t="str">
        <f>IFERROR(INDEX(TableTime[Time],MATCH(B331,TableTime[Date],0)),"")</f>
        <v/>
      </c>
      <c r="L331" s="4" t="str">
        <f>IF(SUMIFS(TableTime[Duration],TableTime[Date],B331,TableTime[Activity],Projects!$C$9)+SUMIFS(TableTime[Duration],TableTime[Date],B331,TableTime[Activity],Projects!$C$10)+SUMIFS(TableTime[Duration],TableTime[Date],B331,TableTime[Activity],Projects!$C$11)=0,"",SUMIFS(TableTime[Duration],TableTime[Date],B331,TableTime[Activity],Projects!$C$9)+SUMIFS(TableTime[Duration],TableTime[Date],B331,TableTime[Activity],Projects!$C$10)+SUMIFS(TableTime[Duration],TableTime[Date],B331,TableTime[Activity],Projects!$C$11))</f>
        <v/>
      </c>
      <c r="M331" s="4" t="str" cm="1">
        <f t="array" ref="M331">IFERROR(LOOKUP(2,1/(TableTime[Date]=B331),TableTime[Time]),"")</f>
        <v/>
      </c>
      <c r="N331" s="38" t="str">
        <f>IF(SUMIFS(TableTime[[Duration]:[Duration]],TableTime[[Date]:[Date]],$B331,TableTime[[Activity]:[Activity]],N$1)=0,"",SUMIFS(TableTime[[Duration]:[Duration]],TableTime[[Date]:[Date]],$B331,TableTime[[Activity]:[Activity]],N$1))</f>
        <v/>
      </c>
      <c r="O331" s="4" t="str">
        <f>IF(SUMIFS(TableTime[[Duration]:[Duration]],TableTime[[Date]:[Date]],$B331,TableTime[[Activity]:[Activity]],O$1)=0,"",SUMIFS(TableTime[[Duration]:[Duration]],TableTime[[Date]:[Date]],$B331,TableTime[[Activity]:[Activity]],O$1))</f>
        <v/>
      </c>
      <c r="P331" s="4" t="str">
        <f>IF(SUMIFS(TableTime[[Duration]:[Duration]],TableTime[[Date]:[Date]],$B331,TableTime[[Activity]:[Activity]],P$1)=0,"",SUMIFS(TableTime[[Duration]:[Duration]],TableTime[[Date]:[Date]],$B331,TableTime[[Activity]:[Activity]],P$1))</f>
        <v/>
      </c>
      <c r="Q331" s="4" t="str">
        <f>IF(SUMIFS(TableTime[[Duration]:[Duration]],TableTime[[Date]:[Date]],$B331,TableTime[[Activity]:[Activity]],Q$1)=0,"",SUMIFS(TableTime[[Duration]:[Duration]],TableTime[[Date]:[Date]],$B331,TableTime[[Activity]:[Activity]],Q$1))</f>
        <v/>
      </c>
      <c r="R331" s="4" t="str">
        <f>IF(SUMIFS(TableTime[[Duration]:[Duration]],TableTime[[Date]:[Date]],$B331,TableTime[[Activity]:[Activity]],R$1)=0,"",SUMIFS(TableTime[[Duration]:[Duration]],TableTime[[Date]:[Date]],$B331,TableTime[[Activity]:[Activity]],R$1))</f>
        <v/>
      </c>
      <c r="S331" s="130" t="str">
        <f>IF(SUMIFS(TableTime[[Duration]:[Duration]],TableTime[[Date]:[Date]],$B331,TableTime[[Activity]:[Activity]],S$1)=0,"",SUMIFS(TableTime[[Duration]:[Duration]],TableTime[[Date]:[Date]],$B331,TableTime[[Activity]:[Activity]],S$1))</f>
        <v/>
      </c>
      <c r="T331" s="4" t="str">
        <f>IF(SUMIFS(TableTime[[Duration]:[Duration]],TableTime[[Date]:[Date]],$B331,TableTime[[Activity]:[Activity]],T$1)=0,"",SUMIFS(TableTime[[Duration]:[Duration]],TableTime[[Date]:[Date]],$B331,TableTime[[Activity]:[Activity]],T$1))</f>
        <v/>
      </c>
      <c r="U331" s="39" t="str">
        <f>IF(SUMIFS(TableTime[[Duration]:[Duration]],TableTime[[Date]:[Date]],$B331,TableTime[[Activity]:[Activity]],U$1)=0,"",SUMIFS(TableTime[[Duration]:[Duration]],TableTime[[Date]:[Date]],$B331,TableTime[[Activity]:[Activity]],U$1))</f>
        <v/>
      </c>
    </row>
    <row r="332" spans="1:21" x14ac:dyDescent="0.35">
      <c r="A332" s="59" t="str">
        <f t="shared" si="30"/>
        <v>Mon</v>
      </c>
      <c r="B332" s="91">
        <f t="shared" si="32"/>
        <v>45257</v>
      </c>
      <c r="C332" s="60">
        <f t="shared" si="33"/>
        <v>11</v>
      </c>
      <c r="D332" s="61">
        <f t="shared" si="31"/>
        <v>48</v>
      </c>
      <c r="E332" s="103"/>
      <c r="F332" s="60" t="str">
        <f>IFERROR(IF(OR(WEEKDAY(B332,2)=6,WEEKDAY(B332,2)=7),'Month summary'!$D$11,IF(E332="",'Month summary'!$C$11,E332)),"")</f>
        <v>W</v>
      </c>
      <c r="G332" s="62">
        <f>IF(B332&lt;Time!$B$2,"",IF(F332='Month summary'!$C$11,'Month summary'!$F$2/24,IF(F332="H/2",'Month summary'!$F$2/24/2,0)))</f>
        <v>0.33333333333333331</v>
      </c>
      <c r="H332" s="62">
        <f t="shared" si="34"/>
        <v>0</v>
      </c>
      <c r="I332" s="62" t="str">
        <f t="shared" si="35"/>
        <v/>
      </c>
      <c r="J332" s="108"/>
      <c r="K332" s="63" t="str">
        <f>IFERROR(INDEX(TableTime[Time],MATCH(B332,TableTime[Date],0)),"")</f>
        <v/>
      </c>
      <c r="L332" s="62" t="str">
        <f>IF(SUMIFS(TableTime[Duration],TableTime[Date],B332,TableTime[Activity],Projects!$C$9)+SUMIFS(TableTime[Duration],TableTime[Date],B332,TableTime[Activity],Projects!$C$10)+SUMIFS(TableTime[Duration],TableTime[Date],B332,TableTime[Activity],Projects!$C$11)=0,"",SUMIFS(TableTime[Duration],TableTime[Date],B332,TableTime[Activity],Projects!$C$9)+SUMIFS(TableTime[Duration],TableTime[Date],B332,TableTime[Activity],Projects!$C$10)+SUMIFS(TableTime[Duration],TableTime[Date],B332,TableTime[Activity],Projects!$C$11))</f>
        <v/>
      </c>
      <c r="M332" s="62" t="str" cm="1">
        <f t="array" ref="M332">IFERROR(LOOKUP(2,1/(TableTime[Date]=B332),TableTime[Time]),"")</f>
        <v/>
      </c>
      <c r="N332" s="63" t="str">
        <f>IF(SUMIFS(TableTime[[Duration]:[Duration]],TableTime[[Date]:[Date]],$B332,TableTime[[Activity]:[Activity]],N$1)=0,"",SUMIFS(TableTime[[Duration]:[Duration]],TableTime[[Date]:[Date]],$B332,TableTime[[Activity]:[Activity]],N$1))</f>
        <v/>
      </c>
      <c r="O332" s="62" t="str">
        <f>IF(SUMIFS(TableTime[[Duration]:[Duration]],TableTime[[Date]:[Date]],$B332,TableTime[[Activity]:[Activity]],O$1)=0,"",SUMIFS(TableTime[[Duration]:[Duration]],TableTime[[Date]:[Date]],$B332,TableTime[[Activity]:[Activity]],O$1))</f>
        <v/>
      </c>
      <c r="P332" s="62" t="str">
        <f>IF(SUMIFS(TableTime[[Duration]:[Duration]],TableTime[[Date]:[Date]],$B332,TableTime[[Activity]:[Activity]],P$1)=0,"",SUMIFS(TableTime[[Duration]:[Duration]],TableTime[[Date]:[Date]],$B332,TableTime[[Activity]:[Activity]],P$1))</f>
        <v/>
      </c>
      <c r="Q332" s="62" t="str">
        <f>IF(SUMIFS(TableTime[[Duration]:[Duration]],TableTime[[Date]:[Date]],$B332,TableTime[[Activity]:[Activity]],Q$1)=0,"",SUMIFS(TableTime[[Duration]:[Duration]],TableTime[[Date]:[Date]],$B332,TableTime[[Activity]:[Activity]],Q$1))</f>
        <v/>
      </c>
      <c r="R332" s="62" t="str">
        <f>IF(SUMIFS(TableTime[[Duration]:[Duration]],TableTime[[Date]:[Date]],$B332,TableTime[[Activity]:[Activity]],R$1)=0,"",SUMIFS(TableTime[[Duration]:[Duration]],TableTime[[Date]:[Date]],$B332,TableTime[[Activity]:[Activity]],R$1))</f>
        <v/>
      </c>
      <c r="S332" s="131" t="str">
        <f>IF(SUMIFS(TableTime[[Duration]:[Duration]],TableTime[[Date]:[Date]],$B332,TableTime[[Activity]:[Activity]],S$1)=0,"",SUMIFS(TableTime[[Duration]:[Duration]],TableTime[[Date]:[Date]],$B332,TableTime[[Activity]:[Activity]],S$1))</f>
        <v/>
      </c>
      <c r="T332" s="62" t="str">
        <f>IF(SUMIFS(TableTime[[Duration]:[Duration]],TableTime[[Date]:[Date]],$B332,TableTime[[Activity]:[Activity]],T$1)=0,"",SUMIFS(TableTime[[Duration]:[Duration]],TableTime[[Date]:[Date]],$B332,TableTime[[Activity]:[Activity]],T$1))</f>
        <v/>
      </c>
      <c r="U332" s="64" t="str">
        <f>IF(SUMIFS(TableTime[[Duration]:[Duration]],TableTime[[Date]:[Date]],$B332,TableTime[[Activity]:[Activity]],U$1)=0,"",SUMIFS(TableTime[[Duration]:[Duration]],TableTime[[Date]:[Date]],$B332,TableTime[[Activity]:[Activity]],U$1))</f>
        <v/>
      </c>
    </row>
    <row r="333" spans="1:21" x14ac:dyDescent="0.35">
      <c r="A333" s="35" t="str">
        <f t="shared" si="30"/>
        <v>Tue</v>
      </c>
      <c r="B333" s="5">
        <f t="shared" si="32"/>
        <v>45258</v>
      </c>
      <c r="C333" s="1">
        <f t="shared" si="33"/>
        <v>11</v>
      </c>
      <c r="D333" s="2">
        <f t="shared" si="31"/>
        <v>48</v>
      </c>
      <c r="E333" s="102"/>
      <c r="F333" s="1" t="str">
        <f>IFERROR(IF(OR(WEEKDAY(B333,2)=6,WEEKDAY(B333,2)=7),'Month summary'!$D$11,IF(E333="",'Month summary'!$C$11,E333)),"")</f>
        <v>W</v>
      </c>
      <c r="G333" s="4">
        <f>IF(B333&lt;Time!$B$2,"",IF(F333='Month summary'!$C$11,'Month summary'!$F$2/24,IF(F333="H/2",'Month summary'!$F$2/24/2,0)))</f>
        <v>0.33333333333333331</v>
      </c>
      <c r="H333" s="4">
        <f t="shared" si="34"/>
        <v>0</v>
      </c>
      <c r="I333" s="4" t="str">
        <f t="shared" si="35"/>
        <v/>
      </c>
      <c r="J333" s="107"/>
      <c r="K333" s="38" t="str">
        <f>IFERROR(INDEX(TableTime[Time],MATCH(B333,TableTime[Date],0)),"")</f>
        <v/>
      </c>
      <c r="L333" s="4" t="str">
        <f>IF(SUMIFS(TableTime[Duration],TableTime[Date],B333,TableTime[Activity],Projects!$C$9)+SUMIFS(TableTime[Duration],TableTime[Date],B333,TableTime[Activity],Projects!$C$10)+SUMIFS(TableTime[Duration],TableTime[Date],B333,TableTime[Activity],Projects!$C$11)=0,"",SUMIFS(TableTime[Duration],TableTime[Date],B333,TableTime[Activity],Projects!$C$9)+SUMIFS(TableTime[Duration],TableTime[Date],B333,TableTime[Activity],Projects!$C$10)+SUMIFS(TableTime[Duration],TableTime[Date],B333,TableTime[Activity],Projects!$C$11))</f>
        <v/>
      </c>
      <c r="M333" s="4" t="str" cm="1">
        <f t="array" ref="M333">IFERROR(LOOKUP(2,1/(TableTime[Date]=B333),TableTime[Time]),"")</f>
        <v/>
      </c>
      <c r="N333" s="38" t="str">
        <f>IF(SUMIFS(TableTime[[Duration]:[Duration]],TableTime[[Date]:[Date]],$B333,TableTime[[Activity]:[Activity]],N$1)=0,"",SUMIFS(TableTime[[Duration]:[Duration]],TableTime[[Date]:[Date]],$B333,TableTime[[Activity]:[Activity]],N$1))</f>
        <v/>
      </c>
      <c r="O333" s="4" t="str">
        <f>IF(SUMIFS(TableTime[[Duration]:[Duration]],TableTime[[Date]:[Date]],$B333,TableTime[[Activity]:[Activity]],O$1)=0,"",SUMIFS(TableTime[[Duration]:[Duration]],TableTime[[Date]:[Date]],$B333,TableTime[[Activity]:[Activity]],O$1))</f>
        <v/>
      </c>
      <c r="P333" s="4" t="str">
        <f>IF(SUMIFS(TableTime[[Duration]:[Duration]],TableTime[[Date]:[Date]],$B333,TableTime[[Activity]:[Activity]],P$1)=0,"",SUMIFS(TableTime[[Duration]:[Duration]],TableTime[[Date]:[Date]],$B333,TableTime[[Activity]:[Activity]],P$1))</f>
        <v/>
      </c>
      <c r="Q333" s="4" t="str">
        <f>IF(SUMIFS(TableTime[[Duration]:[Duration]],TableTime[[Date]:[Date]],$B333,TableTime[[Activity]:[Activity]],Q$1)=0,"",SUMIFS(TableTime[[Duration]:[Duration]],TableTime[[Date]:[Date]],$B333,TableTime[[Activity]:[Activity]],Q$1))</f>
        <v/>
      </c>
      <c r="R333" s="4" t="str">
        <f>IF(SUMIFS(TableTime[[Duration]:[Duration]],TableTime[[Date]:[Date]],$B333,TableTime[[Activity]:[Activity]],R$1)=0,"",SUMIFS(TableTime[[Duration]:[Duration]],TableTime[[Date]:[Date]],$B333,TableTime[[Activity]:[Activity]],R$1))</f>
        <v/>
      </c>
      <c r="S333" s="130" t="str">
        <f>IF(SUMIFS(TableTime[[Duration]:[Duration]],TableTime[[Date]:[Date]],$B333,TableTime[[Activity]:[Activity]],S$1)=0,"",SUMIFS(TableTime[[Duration]:[Duration]],TableTime[[Date]:[Date]],$B333,TableTime[[Activity]:[Activity]],S$1))</f>
        <v/>
      </c>
      <c r="T333" s="4" t="str">
        <f>IF(SUMIFS(TableTime[[Duration]:[Duration]],TableTime[[Date]:[Date]],$B333,TableTime[[Activity]:[Activity]],T$1)=0,"",SUMIFS(TableTime[[Duration]:[Duration]],TableTime[[Date]:[Date]],$B333,TableTime[[Activity]:[Activity]],T$1))</f>
        <v/>
      </c>
      <c r="U333" s="39" t="str">
        <f>IF(SUMIFS(TableTime[[Duration]:[Duration]],TableTime[[Date]:[Date]],$B333,TableTime[[Activity]:[Activity]],U$1)=0,"",SUMIFS(TableTime[[Duration]:[Duration]],TableTime[[Date]:[Date]],$B333,TableTime[[Activity]:[Activity]],U$1))</f>
        <v/>
      </c>
    </row>
    <row r="334" spans="1:21" x14ac:dyDescent="0.35">
      <c r="A334" s="59" t="str">
        <f t="shared" si="30"/>
        <v>Wed</v>
      </c>
      <c r="B334" s="91">
        <f t="shared" si="32"/>
        <v>45259</v>
      </c>
      <c r="C334" s="60">
        <f t="shared" si="33"/>
        <v>11</v>
      </c>
      <c r="D334" s="61">
        <f t="shared" si="31"/>
        <v>48</v>
      </c>
      <c r="E334" s="103"/>
      <c r="F334" s="60" t="str">
        <f>IFERROR(IF(OR(WEEKDAY(B334,2)=6,WEEKDAY(B334,2)=7),'Month summary'!$D$11,IF(E334="",'Month summary'!$C$11,E334)),"")</f>
        <v>W</v>
      </c>
      <c r="G334" s="62">
        <f>IF(B334&lt;Time!$B$2,"",IF(F334='Month summary'!$C$11,'Month summary'!$F$2/24,IF(F334="H/2",'Month summary'!$F$2/24/2,0)))</f>
        <v>0.33333333333333331</v>
      </c>
      <c r="H334" s="62">
        <f t="shared" si="34"/>
        <v>0</v>
      </c>
      <c r="I334" s="62" t="str">
        <f t="shared" si="35"/>
        <v/>
      </c>
      <c r="J334" s="108"/>
      <c r="K334" s="63" t="str">
        <f>IFERROR(INDEX(TableTime[Time],MATCH(B334,TableTime[Date],0)),"")</f>
        <v/>
      </c>
      <c r="L334" s="62" t="str">
        <f>IF(SUMIFS(TableTime[Duration],TableTime[Date],B334,TableTime[Activity],Projects!$C$9)+SUMIFS(TableTime[Duration],TableTime[Date],B334,TableTime[Activity],Projects!$C$10)+SUMIFS(TableTime[Duration],TableTime[Date],B334,TableTime[Activity],Projects!$C$11)=0,"",SUMIFS(TableTime[Duration],TableTime[Date],B334,TableTime[Activity],Projects!$C$9)+SUMIFS(TableTime[Duration],TableTime[Date],B334,TableTime[Activity],Projects!$C$10)+SUMIFS(TableTime[Duration],TableTime[Date],B334,TableTime[Activity],Projects!$C$11))</f>
        <v/>
      </c>
      <c r="M334" s="62" t="str" cm="1">
        <f t="array" ref="M334">IFERROR(LOOKUP(2,1/(TableTime[Date]=B334),TableTime[Time]),"")</f>
        <v/>
      </c>
      <c r="N334" s="63" t="str">
        <f>IF(SUMIFS(TableTime[[Duration]:[Duration]],TableTime[[Date]:[Date]],$B334,TableTime[[Activity]:[Activity]],N$1)=0,"",SUMIFS(TableTime[[Duration]:[Duration]],TableTime[[Date]:[Date]],$B334,TableTime[[Activity]:[Activity]],N$1))</f>
        <v/>
      </c>
      <c r="O334" s="62" t="str">
        <f>IF(SUMIFS(TableTime[[Duration]:[Duration]],TableTime[[Date]:[Date]],$B334,TableTime[[Activity]:[Activity]],O$1)=0,"",SUMIFS(TableTime[[Duration]:[Duration]],TableTime[[Date]:[Date]],$B334,TableTime[[Activity]:[Activity]],O$1))</f>
        <v/>
      </c>
      <c r="P334" s="62" t="str">
        <f>IF(SUMIFS(TableTime[[Duration]:[Duration]],TableTime[[Date]:[Date]],$B334,TableTime[[Activity]:[Activity]],P$1)=0,"",SUMIFS(TableTime[[Duration]:[Duration]],TableTime[[Date]:[Date]],$B334,TableTime[[Activity]:[Activity]],P$1))</f>
        <v/>
      </c>
      <c r="Q334" s="62" t="str">
        <f>IF(SUMIFS(TableTime[[Duration]:[Duration]],TableTime[[Date]:[Date]],$B334,TableTime[[Activity]:[Activity]],Q$1)=0,"",SUMIFS(TableTime[[Duration]:[Duration]],TableTime[[Date]:[Date]],$B334,TableTime[[Activity]:[Activity]],Q$1))</f>
        <v/>
      </c>
      <c r="R334" s="62" t="str">
        <f>IF(SUMIFS(TableTime[[Duration]:[Duration]],TableTime[[Date]:[Date]],$B334,TableTime[[Activity]:[Activity]],R$1)=0,"",SUMIFS(TableTime[[Duration]:[Duration]],TableTime[[Date]:[Date]],$B334,TableTime[[Activity]:[Activity]],R$1))</f>
        <v/>
      </c>
      <c r="S334" s="131" t="str">
        <f>IF(SUMIFS(TableTime[[Duration]:[Duration]],TableTime[[Date]:[Date]],$B334,TableTime[[Activity]:[Activity]],S$1)=0,"",SUMIFS(TableTime[[Duration]:[Duration]],TableTime[[Date]:[Date]],$B334,TableTime[[Activity]:[Activity]],S$1))</f>
        <v/>
      </c>
      <c r="T334" s="62" t="str">
        <f>IF(SUMIFS(TableTime[[Duration]:[Duration]],TableTime[[Date]:[Date]],$B334,TableTime[[Activity]:[Activity]],T$1)=0,"",SUMIFS(TableTime[[Duration]:[Duration]],TableTime[[Date]:[Date]],$B334,TableTime[[Activity]:[Activity]],T$1))</f>
        <v/>
      </c>
      <c r="U334" s="64" t="str">
        <f>IF(SUMIFS(TableTime[[Duration]:[Duration]],TableTime[[Date]:[Date]],$B334,TableTime[[Activity]:[Activity]],U$1)=0,"",SUMIFS(TableTime[[Duration]:[Duration]],TableTime[[Date]:[Date]],$B334,TableTime[[Activity]:[Activity]],U$1))</f>
        <v/>
      </c>
    </row>
    <row r="335" spans="1:21" x14ac:dyDescent="0.35">
      <c r="A335" s="35" t="str">
        <f t="shared" si="30"/>
        <v>Thr</v>
      </c>
      <c r="B335" s="5">
        <f t="shared" si="32"/>
        <v>45260</v>
      </c>
      <c r="C335" s="1">
        <f t="shared" si="33"/>
        <v>11</v>
      </c>
      <c r="D335" s="2">
        <f t="shared" si="31"/>
        <v>48</v>
      </c>
      <c r="E335" s="102"/>
      <c r="F335" s="1" t="str">
        <f>IFERROR(IF(OR(WEEKDAY(B335,2)=6,WEEKDAY(B335,2)=7),'Month summary'!$D$11,IF(E335="",'Month summary'!$C$11,E335)),"")</f>
        <v>W</v>
      </c>
      <c r="G335" s="4">
        <f>IF(B335&lt;Time!$B$2,"",IF(F335='Month summary'!$C$11,'Month summary'!$F$2/24,IF(F335="H/2",'Month summary'!$F$2/24/2,0)))</f>
        <v>0.33333333333333331</v>
      </c>
      <c r="H335" s="4">
        <f t="shared" si="34"/>
        <v>0</v>
      </c>
      <c r="I335" s="4" t="str">
        <f t="shared" si="35"/>
        <v/>
      </c>
      <c r="J335" s="107"/>
      <c r="K335" s="38" t="str">
        <f>IFERROR(INDEX(TableTime[Time],MATCH(B335,TableTime[Date],0)),"")</f>
        <v/>
      </c>
      <c r="L335" s="4" t="str">
        <f>IF(SUMIFS(TableTime[Duration],TableTime[Date],B335,TableTime[Activity],Projects!$C$9)+SUMIFS(TableTime[Duration],TableTime[Date],B335,TableTime[Activity],Projects!$C$10)+SUMIFS(TableTime[Duration],TableTime[Date],B335,TableTime[Activity],Projects!$C$11)=0,"",SUMIFS(TableTime[Duration],TableTime[Date],B335,TableTime[Activity],Projects!$C$9)+SUMIFS(TableTime[Duration],TableTime[Date],B335,TableTime[Activity],Projects!$C$10)+SUMIFS(TableTime[Duration],TableTime[Date],B335,TableTime[Activity],Projects!$C$11))</f>
        <v/>
      </c>
      <c r="M335" s="4" t="str" cm="1">
        <f t="array" ref="M335">IFERROR(LOOKUP(2,1/(TableTime[Date]=B335),TableTime[Time]),"")</f>
        <v/>
      </c>
      <c r="N335" s="38" t="str">
        <f>IF(SUMIFS(TableTime[[Duration]:[Duration]],TableTime[[Date]:[Date]],$B335,TableTime[[Activity]:[Activity]],N$1)=0,"",SUMIFS(TableTime[[Duration]:[Duration]],TableTime[[Date]:[Date]],$B335,TableTime[[Activity]:[Activity]],N$1))</f>
        <v/>
      </c>
      <c r="O335" s="4" t="str">
        <f>IF(SUMIFS(TableTime[[Duration]:[Duration]],TableTime[[Date]:[Date]],$B335,TableTime[[Activity]:[Activity]],O$1)=0,"",SUMIFS(TableTime[[Duration]:[Duration]],TableTime[[Date]:[Date]],$B335,TableTime[[Activity]:[Activity]],O$1))</f>
        <v/>
      </c>
      <c r="P335" s="4" t="str">
        <f>IF(SUMIFS(TableTime[[Duration]:[Duration]],TableTime[[Date]:[Date]],$B335,TableTime[[Activity]:[Activity]],P$1)=0,"",SUMIFS(TableTime[[Duration]:[Duration]],TableTime[[Date]:[Date]],$B335,TableTime[[Activity]:[Activity]],P$1))</f>
        <v/>
      </c>
      <c r="Q335" s="4" t="str">
        <f>IF(SUMIFS(TableTime[[Duration]:[Duration]],TableTime[[Date]:[Date]],$B335,TableTime[[Activity]:[Activity]],Q$1)=0,"",SUMIFS(TableTime[[Duration]:[Duration]],TableTime[[Date]:[Date]],$B335,TableTime[[Activity]:[Activity]],Q$1))</f>
        <v/>
      </c>
      <c r="R335" s="4" t="str">
        <f>IF(SUMIFS(TableTime[[Duration]:[Duration]],TableTime[[Date]:[Date]],$B335,TableTime[[Activity]:[Activity]],R$1)=0,"",SUMIFS(TableTime[[Duration]:[Duration]],TableTime[[Date]:[Date]],$B335,TableTime[[Activity]:[Activity]],R$1))</f>
        <v/>
      </c>
      <c r="S335" s="130" t="str">
        <f>IF(SUMIFS(TableTime[[Duration]:[Duration]],TableTime[[Date]:[Date]],$B335,TableTime[[Activity]:[Activity]],S$1)=0,"",SUMIFS(TableTime[[Duration]:[Duration]],TableTime[[Date]:[Date]],$B335,TableTime[[Activity]:[Activity]],S$1))</f>
        <v/>
      </c>
      <c r="T335" s="4" t="str">
        <f>IF(SUMIFS(TableTime[[Duration]:[Duration]],TableTime[[Date]:[Date]],$B335,TableTime[[Activity]:[Activity]],T$1)=0,"",SUMIFS(TableTime[[Duration]:[Duration]],TableTime[[Date]:[Date]],$B335,TableTime[[Activity]:[Activity]],T$1))</f>
        <v/>
      </c>
      <c r="U335" s="39" t="str">
        <f>IF(SUMIFS(TableTime[[Duration]:[Duration]],TableTime[[Date]:[Date]],$B335,TableTime[[Activity]:[Activity]],U$1)=0,"",SUMIFS(TableTime[[Duration]:[Duration]],TableTime[[Date]:[Date]],$B335,TableTime[[Activity]:[Activity]],U$1))</f>
        <v/>
      </c>
    </row>
    <row r="336" spans="1:21" x14ac:dyDescent="0.35">
      <c r="A336" s="59" t="str">
        <f t="shared" si="30"/>
        <v>Fri</v>
      </c>
      <c r="B336" s="91">
        <f t="shared" si="32"/>
        <v>45261</v>
      </c>
      <c r="C336" s="60">
        <f t="shared" si="33"/>
        <v>12</v>
      </c>
      <c r="D336" s="61">
        <f t="shared" si="31"/>
        <v>48</v>
      </c>
      <c r="E336" s="103"/>
      <c r="F336" s="60" t="str">
        <f>IFERROR(IF(OR(WEEKDAY(B336,2)=6,WEEKDAY(B336,2)=7),'Month summary'!$D$11,IF(E336="",'Month summary'!$C$11,E336)),"")</f>
        <v>W</v>
      </c>
      <c r="G336" s="62">
        <f>IF(B336&lt;Time!$B$2,"",IF(F336='Month summary'!$C$11,'Month summary'!$F$2/24,IF(F336="H/2",'Month summary'!$F$2/24/2,0)))</f>
        <v>0.33333333333333331</v>
      </c>
      <c r="H336" s="62">
        <f t="shared" si="34"/>
        <v>0</v>
      </c>
      <c r="I336" s="62" t="str">
        <f t="shared" si="35"/>
        <v/>
      </c>
      <c r="J336" s="108"/>
      <c r="K336" s="63" t="str">
        <f>IFERROR(INDEX(TableTime[Time],MATCH(B336,TableTime[Date],0)),"")</f>
        <v/>
      </c>
      <c r="L336" s="62" t="str">
        <f>IF(SUMIFS(TableTime[Duration],TableTime[Date],B336,TableTime[Activity],Projects!$C$9)+SUMIFS(TableTime[Duration],TableTime[Date],B336,TableTime[Activity],Projects!$C$10)+SUMIFS(TableTime[Duration],TableTime[Date],B336,TableTime[Activity],Projects!$C$11)=0,"",SUMIFS(TableTime[Duration],TableTime[Date],B336,TableTime[Activity],Projects!$C$9)+SUMIFS(TableTime[Duration],TableTime[Date],B336,TableTime[Activity],Projects!$C$10)+SUMIFS(TableTime[Duration],TableTime[Date],B336,TableTime[Activity],Projects!$C$11))</f>
        <v/>
      </c>
      <c r="M336" s="62" t="str" cm="1">
        <f t="array" ref="M336">IFERROR(LOOKUP(2,1/(TableTime[Date]=B336),TableTime[Time]),"")</f>
        <v/>
      </c>
      <c r="N336" s="63" t="str">
        <f>IF(SUMIFS(TableTime[[Duration]:[Duration]],TableTime[[Date]:[Date]],$B336,TableTime[[Activity]:[Activity]],N$1)=0,"",SUMIFS(TableTime[[Duration]:[Duration]],TableTime[[Date]:[Date]],$B336,TableTime[[Activity]:[Activity]],N$1))</f>
        <v/>
      </c>
      <c r="O336" s="62" t="str">
        <f>IF(SUMIFS(TableTime[[Duration]:[Duration]],TableTime[[Date]:[Date]],$B336,TableTime[[Activity]:[Activity]],O$1)=0,"",SUMIFS(TableTime[[Duration]:[Duration]],TableTime[[Date]:[Date]],$B336,TableTime[[Activity]:[Activity]],O$1))</f>
        <v/>
      </c>
      <c r="P336" s="62" t="str">
        <f>IF(SUMIFS(TableTime[[Duration]:[Duration]],TableTime[[Date]:[Date]],$B336,TableTime[[Activity]:[Activity]],P$1)=0,"",SUMIFS(TableTime[[Duration]:[Duration]],TableTime[[Date]:[Date]],$B336,TableTime[[Activity]:[Activity]],P$1))</f>
        <v/>
      </c>
      <c r="Q336" s="62" t="str">
        <f>IF(SUMIFS(TableTime[[Duration]:[Duration]],TableTime[[Date]:[Date]],$B336,TableTime[[Activity]:[Activity]],Q$1)=0,"",SUMIFS(TableTime[[Duration]:[Duration]],TableTime[[Date]:[Date]],$B336,TableTime[[Activity]:[Activity]],Q$1))</f>
        <v/>
      </c>
      <c r="R336" s="62" t="str">
        <f>IF(SUMIFS(TableTime[[Duration]:[Duration]],TableTime[[Date]:[Date]],$B336,TableTime[[Activity]:[Activity]],R$1)=0,"",SUMIFS(TableTime[[Duration]:[Duration]],TableTime[[Date]:[Date]],$B336,TableTime[[Activity]:[Activity]],R$1))</f>
        <v/>
      </c>
      <c r="S336" s="131" t="str">
        <f>IF(SUMIFS(TableTime[[Duration]:[Duration]],TableTime[[Date]:[Date]],$B336,TableTime[[Activity]:[Activity]],S$1)=0,"",SUMIFS(TableTime[[Duration]:[Duration]],TableTime[[Date]:[Date]],$B336,TableTime[[Activity]:[Activity]],S$1))</f>
        <v/>
      </c>
      <c r="T336" s="62" t="str">
        <f>IF(SUMIFS(TableTime[[Duration]:[Duration]],TableTime[[Date]:[Date]],$B336,TableTime[[Activity]:[Activity]],T$1)=0,"",SUMIFS(TableTime[[Duration]:[Duration]],TableTime[[Date]:[Date]],$B336,TableTime[[Activity]:[Activity]],T$1))</f>
        <v/>
      </c>
      <c r="U336" s="64" t="str">
        <f>IF(SUMIFS(TableTime[[Duration]:[Duration]],TableTime[[Date]:[Date]],$B336,TableTime[[Activity]:[Activity]],U$1)=0,"",SUMIFS(TableTime[[Duration]:[Duration]],TableTime[[Date]:[Date]],$B336,TableTime[[Activity]:[Activity]],U$1))</f>
        <v/>
      </c>
    </row>
    <row r="337" spans="1:21" x14ac:dyDescent="0.35">
      <c r="A337" s="35" t="str">
        <f t="shared" si="30"/>
        <v>Sat</v>
      </c>
      <c r="B337" s="5">
        <f t="shared" si="32"/>
        <v>45262</v>
      </c>
      <c r="C337" s="1">
        <f t="shared" si="33"/>
        <v>12</v>
      </c>
      <c r="D337" s="2">
        <f t="shared" si="31"/>
        <v>48</v>
      </c>
      <c r="E337" s="102"/>
      <c r="F337" s="1" t="str">
        <f>IFERROR(IF(OR(WEEKDAY(B337,2)=6,WEEKDAY(B337,2)=7),'Month summary'!$D$11,IF(E337="",'Month summary'!$C$11,E337)),"")</f>
        <v>WE</v>
      </c>
      <c r="G337" s="4">
        <f>IF(B337&lt;Time!$B$2,"",IF(F337='Month summary'!$C$11,'Month summary'!$F$2/24,IF(F337="H/2",'Month summary'!$F$2/24/2,0)))</f>
        <v>0</v>
      </c>
      <c r="H337" s="4">
        <f t="shared" si="34"/>
        <v>0</v>
      </c>
      <c r="I337" s="4" t="str">
        <f t="shared" si="35"/>
        <v/>
      </c>
      <c r="J337" s="107"/>
      <c r="K337" s="38" t="str">
        <f>IFERROR(INDEX(TableTime[Time],MATCH(B337,TableTime[Date],0)),"")</f>
        <v/>
      </c>
      <c r="L337" s="4" t="str">
        <f>IF(SUMIFS(TableTime[Duration],TableTime[Date],B337,TableTime[Activity],Projects!$C$9)+SUMIFS(TableTime[Duration],TableTime[Date],B337,TableTime[Activity],Projects!$C$10)+SUMIFS(TableTime[Duration],TableTime[Date],B337,TableTime[Activity],Projects!$C$11)=0,"",SUMIFS(TableTime[Duration],TableTime[Date],B337,TableTime[Activity],Projects!$C$9)+SUMIFS(TableTime[Duration],TableTime[Date],B337,TableTime[Activity],Projects!$C$10)+SUMIFS(TableTime[Duration],TableTime[Date],B337,TableTime[Activity],Projects!$C$11))</f>
        <v/>
      </c>
      <c r="M337" s="4" t="str" cm="1">
        <f t="array" ref="M337">IFERROR(LOOKUP(2,1/(TableTime[Date]=B337),TableTime[Time]),"")</f>
        <v/>
      </c>
      <c r="N337" s="38" t="str">
        <f>IF(SUMIFS(TableTime[[Duration]:[Duration]],TableTime[[Date]:[Date]],$B337,TableTime[[Activity]:[Activity]],N$1)=0,"",SUMIFS(TableTime[[Duration]:[Duration]],TableTime[[Date]:[Date]],$B337,TableTime[[Activity]:[Activity]],N$1))</f>
        <v/>
      </c>
      <c r="O337" s="4" t="str">
        <f>IF(SUMIFS(TableTime[[Duration]:[Duration]],TableTime[[Date]:[Date]],$B337,TableTime[[Activity]:[Activity]],O$1)=0,"",SUMIFS(TableTime[[Duration]:[Duration]],TableTime[[Date]:[Date]],$B337,TableTime[[Activity]:[Activity]],O$1))</f>
        <v/>
      </c>
      <c r="P337" s="4" t="str">
        <f>IF(SUMIFS(TableTime[[Duration]:[Duration]],TableTime[[Date]:[Date]],$B337,TableTime[[Activity]:[Activity]],P$1)=0,"",SUMIFS(TableTime[[Duration]:[Duration]],TableTime[[Date]:[Date]],$B337,TableTime[[Activity]:[Activity]],P$1))</f>
        <v/>
      </c>
      <c r="Q337" s="4" t="str">
        <f>IF(SUMIFS(TableTime[[Duration]:[Duration]],TableTime[[Date]:[Date]],$B337,TableTime[[Activity]:[Activity]],Q$1)=0,"",SUMIFS(TableTime[[Duration]:[Duration]],TableTime[[Date]:[Date]],$B337,TableTime[[Activity]:[Activity]],Q$1))</f>
        <v/>
      </c>
      <c r="R337" s="4" t="str">
        <f>IF(SUMIFS(TableTime[[Duration]:[Duration]],TableTime[[Date]:[Date]],$B337,TableTime[[Activity]:[Activity]],R$1)=0,"",SUMIFS(TableTime[[Duration]:[Duration]],TableTime[[Date]:[Date]],$B337,TableTime[[Activity]:[Activity]],R$1))</f>
        <v/>
      </c>
      <c r="S337" s="130" t="str">
        <f>IF(SUMIFS(TableTime[[Duration]:[Duration]],TableTime[[Date]:[Date]],$B337,TableTime[[Activity]:[Activity]],S$1)=0,"",SUMIFS(TableTime[[Duration]:[Duration]],TableTime[[Date]:[Date]],$B337,TableTime[[Activity]:[Activity]],S$1))</f>
        <v/>
      </c>
      <c r="T337" s="4" t="str">
        <f>IF(SUMIFS(TableTime[[Duration]:[Duration]],TableTime[[Date]:[Date]],$B337,TableTime[[Activity]:[Activity]],T$1)=0,"",SUMIFS(TableTime[[Duration]:[Duration]],TableTime[[Date]:[Date]],$B337,TableTime[[Activity]:[Activity]],T$1))</f>
        <v/>
      </c>
      <c r="U337" s="39" t="str">
        <f>IF(SUMIFS(TableTime[[Duration]:[Duration]],TableTime[[Date]:[Date]],$B337,TableTime[[Activity]:[Activity]],U$1)=0,"",SUMIFS(TableTime[[Duration]:[Duration]],TableTime[[Date]:[Date]],$B337,TableTime[[Activity]:[Activity]],U$1))</f>
        <v/>
      </c>
    </row>
    <row r="338" spans="1:21" x14ac:dyDescent="0.35">
      <c r="A338" s="59" t="str">
        <f t="shared" si="30"/>
        <v>Sun</v>
      </c>
      <c r="B338" s="91">
        <f t="shared" si="32"/>
        <v>45263</v>
      </c>
      <c r="C338" s="60">
        <f t="shared" si="33"/>
        <v>12</v>
      </c>
      <c r="D338" s="61">
        <f t="shared" si="31"/>
        <v>48</v>
      </c>
      <c r="E338" s="103"/>
      <c r="F338" s="60" t="str">
        <f>IFERROR(IF(OR(WEEKDAY(B338,2)=6,WEEKDAY(B338,2)=7),'Month summary'!$D$11,IF(E338="",'Month summary'!$C$11,E338)),"")</f>
        <v>WE</v>
      </c>
      <c r="G338" s="62">
        <f>IF(B338&lt;Time!$B$2,"",IF(F338='Month summary'!$C$11,'Month summary'!$F$2/24,IF(F338="H/2",'Month summary'!$F$2/24/2,0)))</f>
        <v>0</v>
      </c>
      <c r="H338" s="62">
        <f t="shared" si="34"/>
        <v>0</v>
      </c>
      <c r="I338" s="62" t="str">
        <f t="shared" si="35"/>
        <v/>
      </c>
      <c r="J338" s="108"/>
      <c r="K338" s="63" t="str">
        <f>IFERROR(INDEX(TableTime[Time],MATCH(B338,TableTime[Date],0)),"")</f>
        <v/>
      </c>
      <c r="L338" s="62" t="str">
        <f>IF(SUMIFS(TableTime[Duration],TableTime[Date],B338,TableTime[Activity],Projects!$C$9)+SUMIFS(TableTime[Duration],TableTime[Date],B338,TableTime[Activity],Projects!$C$10)+SUMIFS(TableTime[Duration],TableTime[Date],B338,TableTime[Activity],Projects!$C$11)=0,"",SUMIFS(TableTime[Duration],TableTime[Date],B338,TableTime[Activity],Projects!$C$9)+SUMIFS(TableTime[Duration],TableTime[Date],B338,TableTime[Activity],Projects!$C$10)+SUMIFS(TableTime[Duration],TableTime[Date],B338,TableTime[Activity],Projects!$C$11))</f>
        <v/>
      </c>
      <c r="M338" s="62" t="str" cm="1">
        <f t="array" ref="M338">IFERROR(LOOKUP(2,1/(TableTime[Date]=B338),TableTime[Time]),"")</f>
        <v/>
      </c>
      <c r="N338" s="63" t="str">
        <f>IF(SUMIFS(TableTime[[Duration]:[Duration]],TableTime[[Date]:[Date]],$B338,TableTime[[Activity]:[Activity]],N$1)=0,"",SUMIFS(TableTime[[Duration]:[Duration]],TableTime[[Date]:[Date]],$B338,TableTime[[Activity]:[Activity]],N$1))</f>
        <v/>
      </c>
      <c r="O338" s="62" t="str">
        <f>IF(SUMIFS(TableTime[[Duration]:[Duration]],TableTime[[Date]:[Date]],$B338,TableTime[[Activity]:[Activity]],O$1)=0,"",SUMIFS(TableTime[[Duration]:[Duration]],TableTime[[Date]:[Date]],$B338,TableTime[[Activity]:[Activity]],O$1))</f>
        <v/>
      </c>
      <c r="P338" s="62" t="str">
        <f>IF(SUMIFS(TableTime[[Duration]:[Duration]],TableTime[[Date]:[Date]],$B338,TableTime[[Activity]:[Activity]],P$1)=0,"",SUMIFS(TableTime[[Duration]:[Duration]],TableTime[[Date]:[Date]],$B338,TableTime[[Activity]:[Activity]],P$1))</f>
        <v/>
      </c>
      <c r="Q338" s="62" t="str">
        <f>IF(SUMIFS(TableTime[[Duration]:[Duration]],TableTime[[Date]:[Date]],$B338,TableTime[[Activity]:[Activity]],Q$1)=0,"",SUMIFS(TableTime[[Duration]:[Duration]],TableTime[[Date]:[Date]],$B338,TableTime[[Activity]:[Activity]],Q$1))</f>
        <v/>
      </c>
      <c r="R338" s="62" t="str">
        <f>IF(SUMIFS(TableTime[[Duration]:[Duration]],TableTime[[Date]:[Date]],$B338,TableTime[[Activity]:[Activity]],R$1)=0,"",SUMIFS(TableTime[[Duration]:[Duration]],TableTime[[Date]:[Date]],$B338,TableTime[[Activity]:[Activity]],R$1))</f>
        <v/>
      </c>
      <c r="S338" s="131" t="str">
        <f>IF(SUMIFS(TableTime[[Duration]:[Duration]],TableTime[[Date]:[Date]],$B338,TableTime[[Activity]:[Activity]],S$1)=0,"",SUMIFS(TableTime[[Duration]:[Duration]],TableTime[[Date]:[Date]],$B338,TableTime[[Activity]:[Activity]],S$1))</f>
        <v/>
      </c>
      <c r="T338" s="62" t="str">
        <f>IF(SUMIFS(TableTime[[Duration]:[Duration]],TableTime[[Date]:[Date]],$B338,TableTime[[Activity]:[Activity]],T$1)=0,"",SUMIFS(TableTime[[Duration]:[Duration]],TableTime[[Date]:[Date]],$B338,TableTime[[Activity]:[Activity]],T$1))</f>
        <v/>
      </c>
      <c r="U338" s="64" t="str">
        <f>IF(SUMIFS(TableTime[[Duration]:[Duration]],TableTime[[Date]:[Date]],$B338,TableTime[[Activity]:[Activity]],U$1)=0,"",SUMIFS(TableTime[[Duration]:[Duration]],TableTime[[Date]:[Date]],$B338,TableTime[[Activity]:[Activity]],U$1))</f>
        <v/>
      </c>
    </row>
    <row r="339" spans="1:21" x14ac:dyDescent="0.35">
      <c r="A339" s="35" t="str">
        <f t="shared" si="30"/>
        <v>Mon</v>
      </c>
      <c r="B339" s="5">
        <f t="shared" si="32"/>
        <v>45264</v>
      </c>
      <c r="C339" s="1">
        <f t="shared" si="33"/>
        <v>12</v>
      </c>
      <c r="D339" s="2">
        <f t="shared" si="31"/>
        <v>49</v>
      </c>
      <c r="E339" s="102"/>
      <c r="F339" s="1" t="str">
        <f>IFERROR(IF(OR(WEEKDAY(B339,2)=6,WEEKDAY(B339,2)=7),'Month summary'!$D$11,IF(E339="",'Month summary'!$C$11,E339)),"")</f>
        <v>W</v>
      </c>
      <c r="G339" s="4">
        <f>IF(B339&lt;Time!$B$2,"",IF(F339='Month summary'!$C$11,'Month summary'!$F$2/24,IF(F339="H/2",'Month summary'!$F$2/24/2,0)))</f>
        <v>0.33333333333333331</v>
      </c>
      <c r="H339" s="4">
        <f t="shared" si="34"/>
        <v>0</v>
      </c>
      <c r="I339" s="4" t="str">
        <f t="shared" si="35"/>
        <v/>
      </c>
      <c r="J339" s="107"/>
      <c r="K339" s="38" t="str">
        <f>IFERROR(INDEX(TableTime[Time],MATCH(B339,TableTime[Date],0)),"")</f>
        <v/>
      </c>
      <c r="L339" s="4" t="str">
        <f>IF(SUMIFS(TableTime[Duration],TableTime[Date],B339,TableTime[Activity],Projects!$C$9)+SUMIFS(TableTime[Duration],TableTime[Date],B339,TableTime[Activity],Projects!$C$10)+SUMIFS(TableTime[Duration],TableTime[Date],B339,TableTime[Activity],Projects!$C$11)=0,"",SUMIFS(TableTime[Duration],TableTime[Date],B339,TableTime[Activity],Projects!$C$9)+SUMIFS(TableTime[Duration],TableTime[Date],B339,TableTime[Activity],Projects!$C$10)+SUMIFS(TableTime[Duration],TableTime[Date],B339,TableTime[Activity],Projects!$C$11))</f>
        <v/>
      </c>
      <c r="M339" s="4" t="str" cm="1">
        <f t="array" ref="M339">IFERROR(LOOKUP(2,1/(TableTime[Date]=B339),TableTime[Time]),"")</f>
        <v/>
      </c>
      <c r="N339" s="38" t="str">
        <f>IF(SUMIFS(TableTime[[Duration]:[Duration]],TableTime[[Date]:[Date]],$B339,TableTime[[Activity]:[Activity]],N$1)=0,"",SUMIFS(TableTime[[Duration]:[Duration]],TableTime[[Date]:[Date]],$B339,TableTime[[Activity]:[Activity]],N$1))</f>
        <v/>
      </c>
      <c r="O339" s="4" t="str">
        <f>IF(SUMIFS(TableTime[[Duration]:[Duration]],TableTime[[Date]:[Date]],$B339,TableTime[[Activity]:[Activity]],O$1)=0,"",SUMIFS(TableTime[[Duration]:[Duration]],TableTime[[Date]:[Date]],$B339,TableTime[[Activity]:[Activity]],O$1))</f>
        <v/>
      </c>
      <c r="P339" s="4" t="str">
        <f>IF(SUMIFS(TableTime[[Duration]:[Duration]],TableTime[[Date]:[Date]],$B339,TableTime[[Activity]:[Activity]],P$1)=0,"",SUMIFS(TableTime[[Duration]:[Duration]],TableTime[[Date]:[Date]],$B339,TableTime[[Activity]:[Activity]],P$1))</f>
        <v/>
      </c>
      <c r="Q339" s="4" t="str">
        <f>IF(SUMIFS(TableTime[[Duration]:[Duration]],TableTime[[Date]:[Date]],$B339,TableTime[[Activity]:[Activity]],Q$1)=0,"",SUMIFS(TableTime[[Duration]:[Duration]],TableTime[[Date]:[Date]],$B339,TableTime[[Activity]:[Activity]],Q$1))</f>
        <v/>
      </c>
      <c r="R339" s="4" t="str">
        <f>IF(SUMIFS(TableTime[[Duration]:[Duration]],TableTime[[Date]:[Date]],$B339,TableTime[[Activity]:[Activity]],R$1)=0,"",SUMIFS(TableTime[[Duration]:[Duration]],TableTime[[Date]:[Date]],$B339,TableTime[[Activity]:[Activity]],R$1))</f>
        <v/>
      </c>
      <c r="S339" s="130" t="str">
        <f>IF(SUMIFS(TableTime[[Duration]:[Duration]],TableTime[[Date]:[Date]],$B339,TableTime[[Activity]:[Activity]],S$1)=0,"",SUMIFS(TableTime[[Duration]:[Duration]],TableTime[[Date]:[Date]],$B339,TableTime[[Activity]:[Activity]],S$1))</f>
        <v/>
      </c>
      <c r="T339" s="4" t="str">
        <f>IF(SUMIFS(TableTime[[Duration]:[Duration]],TableTime[[Date]:[Date]],$B339,TableTime[[Activity]:[Activity]],T$1)=0,"",SUMIFS(TableTime[[Duration]:[Duration]],TableTime[[Date]:[Date]],$B339,TableTime[[Activity]:[Activity]],T$1))</f>
        <v/>
      </c>
      <c r="U339" s="39" t="str">
        <f>IF(SUMIFS(TableTime[[Duration]:[Duration]],TableTime[[Date]:[Date]],$B339,TableTime[[Activity]:[Activity]],U$1)=0,"",SUMIFS(TableTime[[Duration]:[Duration]],TableTime[[Date]:[Date]],$B339,TableTime[[Activity]:[Activity]],U$1))</f>
        <v/>
      </c>
    </row>
    <row r="340" spans="1:21" x14ac:dyDescent="0.35">
      <c r="A340" s="59" t="str">
        <f t="shared" si="30"/>
        <v>Tue</v>
      </c>
      <c r="B340" s="91">
        <f t="shared" si="32"/>
        <v>45265</v>
      </c>
      <c r="C340" s="60">
        <f t="shared" si="33"/>
        <v>12</v>
      </c>
      <c r="D340" s="61">
        <f t="shared" si="31"/>
        <v>49</v>
      </c>
      <c r="E340" s="103"/>
      <c r="F340" s="60" t="str">
        <f>IFERROR(IF(OR(WEEKDAY(B340,2)=6,WEEKDAY(B340,2)=7),'Month summary'!$D$11,IF(E340="",'Month summary'!$C$11,E340)),"")</f>
        <v>W</v>
      </c>
      <c r="G340" s="62">
        <f>IF(B340&lt;Time!$B$2,"",IF(F340='Month summary'!$C$11,'Month summary'!$F$2/24,IF(F340="H/2",'Month summary'!$F$2/24/2,0)))</f>
        <v>0.33333333333333331</v>
      </c>
      <c r="H340" s="62">
        <f t="shared" si="34"/>
        <v>0</v>
      </c>
      <c r="I340" s="62" t="str">
        <f t="shared" si="35"/>
        <v/>
      </c>
      <c r="J340" s="108"/>
      <c r="K340" s="63" t="str">
        <f>IFERROR(INDEX(TableTime[Time],MATCH(B340,TableTime[Date],0)),"")</f>
        <v/>
      </c>
      <c r="L340" s="62" t="str">
        <f>IF(SUMIFS(TableTime[Duration],TableTime[Date],B340,TableTime[Activity],Projects!$C$9)+SUMIFS(TableTime[Duration],TableTime[Date],B340,TableTime[Activity],Projects!$C$10)+SUMIFS(TableTime[Duration],TableTime[Date],B340,TableTime[Activity],Projects!$C$11)=0,"",SUMIFS(TableTime[Duration],TableTime[Date],B340,TableTime[Activity],Projects!$C$9)+SUMIFS(TableTime[Duration],TableTime[Date],B340,TableTime[Activity],Projects!$C$10)+SUMIFS(TableTime[Duration],TableTime[Date],B340,TableTime[Activity],Projects!$C$11))</f>
        <v/>
      </c>
      <c r="M340" s="62" t="str" cm="1">
        <f t="array" ref="M340">IFERROR(LOOKUP(2,1/(TableTime[Date]=B340),TableTime[Time]),"")</f>
        <v/>
      </c>
      <c r="N340" s="63" t="str">
        <f>IF(SUMIFS(TableTime[[Duration]:[Duration]],TableTime[[Date]:[Date]],$B340,TableTime[[Activity]:[Activity]],N$1)=0,"",SUMIFS(TableTime[[Duration]:[Duration]],TableTime[[Date]:[Date]],$B340,TableTime[[Activity]:[Activity]],N$1))</f>
        <v/>
      </c>
      <c r="O340" s="62" t="str">
        <f>IF(SUMIFS(TableTime[[Duration]:[Duration]],TableTime[[Date]:[Date]],$B340,TableTime[[Activity]:[Activity]],O$1)=0,"",SUMIFS(TableTime[[Duration]:[Duration]],TableTime[[Date]:[Date]],$B340,TableTime[[Activity]:[Activity]],O$1))</f>
        <v/>
      </c>
      <c r="P340" s="62" t="str">
        <f>IF(SUMIFS(TableTime[[Duration]:[Duration]],TableTime[[Date]:[Date]],$B340,TableTime[[Activity]:[Activity]],P$1)=0,"",SUMIFS(TableTime[[Duration]:[Duration]],TableTime[[Date]:[Date]],$B340,TableTime[[Activity]:[Activity]],P$1))</f>
        <v/>
      </c>
      <c r="Q340" s="62" t="str">
        <f>IF(SUMIFS(TableTime[[Duration]:[Duration]],TableTime[[Date]:[Date]],$B340,TableTime[[Activity]:[Activity]],Q$1)=0,"",SUMIFS(TableTime[[Duration]:[Duration]],TableTime[[Date]:[Date]],$B340,TableTime[[Activity]:[Activity]],Q$1))</f>
        <v/>
      </c>
      <c r="R340" s="62" t="str">
        <f>IF(SUMIFS(TableTime[[Duration]:[Duration]],TableTime[[Date]:[Date]],$B340,TableTime[[Activity]:[Activity]],R$1)=0,"",SUMIFS(TableTime[[Duration]:[Duration]],TableTime[[Date]:[Date]],$B340,TableTime[[Activity]:[Activity]],R$1))</f>
        <v/>
      </c>
      <c r="S340" s="131" t="str">
        <f>IF(SUMIFS(TableTime[[Duration]:[Duration]],TableTime[[Date]:[Date]],$B340,TableTime[[Activity]:[Activity]],S$1)=0,"",SUMIFS(TableTime[[Duration]:[Duration]],TableTime[[Date]:[Date]],$B340,TableTime[[Activity]:[Activity]],S$1))</f>
        <v/>
      </c>
      <c r="T340" s="62" t="str">
        <f>IF(SUMIFS(TableTime[[Duration]:[Duration]],TableTime[[Date]:[Date]],$B340,TableTime[[Activity]:[Activity]],T$1)=0,"",SUMIFS(TableTime[[Duration]:[Duration]],TableTime[[Date]:[Date]],$B340,TableTime[[Activity]:[Activity]],T$1))</f>
        <v/>
      </c>
      <c r="U340" s="64" t="str">
        <f>IF(SUMIFS(TableTime[[Duration]:[Duration]],TableTime[[Date]:[Date]],$B340,TableTime[[Activity]:[Activity]],U$1)=0,"",SUMIFS(TableTime[[Duration]:[Duration]],TableTime[[Date]:[Date]],$B340,TableTime[[Activity]:[Activity]],U$1))</f>
        <v/>
      </c>
    </row>
    <row r="341" spans="1:21" x14ac:dyDescent="0.35">
      <c r="A341" s="35" t="str">
        <f t="shared" si="30"/>
        <v>Wed</v>
      </c>
      <c r="B341" s="5">
        <f t="shared" si="32"/>
        <v>45266</v>
      </c>
      <c r="C341" s="1">
        <f t="shared" si="33"/>
        <v>12</v>
      </c>
      <c r="D341" s="2">
        <f t="shared" si="31"/>
        <v>49</v>
      </c>
      <c r="E341" s="102"/>
      <c r="F341" s="1" t="str">
        <f>IFERROR(IF(OR(WEEKDAY(B341,2)=6,WEEKDAY(B341,2)=7),'Month summary'!$D$11,IF(E341="",'Month summary'!$C$11,E341)),"")</f>
        <v>W</v>
      </c>
      <c r="G341" s="4">
        <f>IF(B341&lt;Time!$B$2,"",IF(F341='Month summary'!$C$11,'Month summary'!$F$2/24,IF(F341="H/2",'Month summary'!$F$2/24/2,0)))</f>
        <v>0.33333333333333331</v>
      </c>
      <c r="H341" s="4">
        <f t="shared" si="34"/>
        <v>0</v>
      </c>
      <c r="I341" s="4" t="str">
        <f t="shared" si="35"/>
        <v/>
      </c>
      <c r="J341" s="107"/>
      <c r="K341" s="38" t="str">
        <f>IFERROR(INDEX(TableTime[Time],MATCH(B341,TableTime[Date],0)),"")</f>
        <v/>
      </c>
      <c r="L341" s="4" t="str">
        <f>IF(SUMIFS(TableTime[Duration],TableTime[Date],B341,TableTime[Activity],Projects!$C$9)+SUMIFS(TableTime[Duration],TableTime[Date],B341,TableTime[Activity],Projects!$C$10)+SUMIFS(TableTime[Duration],TableTime[Date],B341,TableTime[Activity],Projects!$C$11)=0,"",SUMIFS(TableTime[Duration],TableTime[Date],B341,TableTime[Activity],Projects!$C$9)+SUMIFS(TableTime[Duration],TableTime[Date],B341,TableTime[Activity],Projects!$C$10)+SUMIFS(TableTime[Duration],TableTime[Date],B341,TableTime[Activity],Projects!$C$11))</f>
        <v/>
      </c>
      <c r="M341" s="4" t="str" cm="1">
        <f t="array" ref="M341">IFERROR(LOOKUP(2,1/(TableTime[Date]=B341),TableTime[Time]),"")</f>
        <v/>
      </c>
      <c r="N341" s="38" t="str">
        <f>IF(SUMIFS(TableTime[[Duration]:[Duration]],TableTime[[Date]:[Date]],$B341,TableTime[[Activity]:[Activity]],N$1)=0,"",SUMIFS(TableTime[[Duration]:[Duration]],TableTime[[Date]:[Date]],$B341,TableTime[[Activity]:[Activity]],N$1))</f>
        <v/>
      </c>
      <c r="O341" s="4" t="str">
        <f>IF(SUMIFS(TableTime[[Duration]:[Duration]],TableTime[[Date]:[Date]],$B341,TableTime[[Activity]:[Activity]],O$1)=0,"",SUMIFS(TableTime[[Duration]:[Duration]],TableTime[[Date]:[Date]],$B341,TableTime[[Activity]:[Activity]],O$1))</f>
        <v/>
      </c>
      <c r="P341" s="4" t="str">
        <f>IF(SUMIFS(TableTime[[Duration]:[Duration]],TableTime[[Date]:[Date]],$B341,TableTime[[Activity]:[Activity]],P$1)=0,"",SUMIFS(TableTime[[Duration]:[Duration]],TableTime[[Date]:[Date]],$B341,TableTime[[Activity]:[Activity]],P$1))</f>
        <v/>
      </c>
      <c r="Q341" s="4" t="str">
        <f>IF(SUMIFS(TableTime[[Duration]:[Duration]],TableTime[[Date]:[Date]],$B341,TableTime[[Activity]:[Activity]],Q$1)=0,"",SUMIFS(TableTime[[Duration]:[Duration]],TableTime[[Date]:[Date]],$B341,TableTime[[Activity]:[Activity]],Q$1))</f>
        <v/>
      </c>
      <c r="R341" s="4" t="str">
        <f>IF(SUMIFS(TableTime[[Duration]:[Duration]],TableTime[[Date]:[Date]],$B341,TableTime[[Activity]:[Activity]],R$1)=0,"",SUMIFS(TableTime[[Duration]:[Duration]],TableTime[[Date]:[Date]],$B341,TableTime[[Activity]:[Activity]],R$1))</f>
        <v/>
      </c>
      <c r="S341" s="130" t="str">
        <f>IF(SUMIFS(TableTime[[Duration]:[Duration]],TableTime[[Date]:[Date]],$B341,TableTime[[Activity]:[Activity]],S$1)=0,"",SUMIFS(TableTime[[Duration]:[Duration]],TableTime[[Date]:[Date]],$B341,TableTime[[Activity]:[Activity]],S$1))</f>
        <v/>
      </c>
      <c r="T341" s="4" t="str">
        <f>IF(SUMIFS(TableTime[[Duration]:[Duration]],TableTime[[Date]:[Date]],$B341,TableTime[[Activity]:[Activity]],T$1)=0,"",SUMIFS(TableTime[[Duration]:[Duration]],TableTime[[Date]:[Date]],$B341,TableTime[[Activity]:[Activity]],T$1))</f>
        <v/>
      </c>
      <c r="U341" s="39" t="str">
        <f>IF(SUMIFS(TableTime[[Duration]:[Duration]],TableTime[[Date]:[Date]],$B341,TableTime[[Activity]:[Activity]],U$1)=0,"",SUMIFS(TableTime[[Duration]:[Duration]],TableTime[[Date]:[Date]],$B341,TableTime[[Activity]:[Activity]],U$1))</f>
        <v/>
      </c>
    </row>
    <row r="342" spans="1:21" x14ac:dyDescent="0.35">
      <c r="A342" s="59" t="str">
        <f t="shared" si="30"/>
        <v>Thr</v>
      </c>
      <c r="B342" s="91">
        <f t="shared" si="32"/>
        <v>45267</v>
      </c>
      <c r="C342" s="60">
        <f t="shared" si="33"/>
        <v>12</v>
      </c>
      <c r="D342" s="61">
        <f t="shared" si="31"/>
        <v>49</v>
      </c>
      <c r="E342" s="103"/>
      <c r="F342" s="60" t="str">
        <f>IFERROR(IF(OR(WEEKDAY(B342,2)=6,WEEKDAY(B342,2)=7),'Month summary'!$D$11,IF(E342="",'Month summary'!$C$11,E342)),"")</f>
        <v>W</v>
      </c>
      <c r="G342" s="62">
        <f>IF(B342&lt;Time!$B$2,"",IF(F342='Month summary'!$C$11,'Month summary'!$F$2/24,IF(F342="H/2",'Month summary'!$F$2/24/2,0)))</f>
        <v>0.33333333333333331</v>
      </c>
      <c r="H342" s="62">
        <f t="shared" si="34"/>
        <v>0</v>
      </c>
      <c r="I342" s="62" t="str">
        <f t="shared" si="35"/>
        <v/>
      </c>
      <c r="J342" s="108"/>
      <c r="K342" s="63" t="str">
        <f>IFERROR(INDEX(TableTime[Time],MATCH(B342,TableTime[Date],0)),"")</f>
        <v/>
      </c>
      <c r="L342" s="62" t="str">
        <f>IF(SUMIFS(TableTime[Duration],TableTime[Date],B342,TableTime[Activity],Projects!$C$9)+SUMIFS(TableTime[Duration],TableTime[Date],B342,TableTime[Activity],Projects!$C$10)+SUMIFS(TableTime[Duration],TableTime[Date],B342,TableTime[Activity],Projects!$C$11)=0,"",SUMIFS(TableTime[Duration],TableTime[Date],B342,TableTime[Activity],Projects!$C$9)+SUMIFS(TableTime[Duration],TableTime[Date],B342,TableTime[Activity],Projects!$C$10)+SUMIFS(TableTime[Duration],TableTime[Date],B342,TableTime[Activity],Projects!$C$11))</f>
        <v/>
      </c>
      <c r="M342" s="62" t="str" cm="1">
        <f t="array" ref="M342">IFERROR(LOOKUP(2,1/(TableTime[Date]=B342),TableTime[Time]),"")</f>
        <v/>
      </c>
      <c r="N342" s="63" t="str">
        <f>IF(SUMIFS(TableTime[[Duration]:[Duration]],TableTime[[Date]:[Date]],$B342,TableTime[[Activity]:[Activity]],N$1)=0,"",SUMIFS(TableTime[[Duration]:[Duration]],TableTime[[Date]:[Date]],$B342,TableTime[[Activity]:[Activity]],N$1))</f>
        <v/>
      </c>
      <c r="O342" s="62" t="str">
        <f>IF(SUMIFS(TableTime[[Duration]:[Duration]],TableTime[[Date]:[Date]],$B342,TableTime[[Activity]:[Activity]],O$1)=0,"",SUMIFS(TableTime[[Duration]:[Duration]],TableTime[[Date]:[Date]],$B342,TableTime[[Activity]:[Activity]],O$1))</f>
        <v/>
      </c>
      <c r="P342" s="62" t="str">
        <f>IF(SUMIFS(TableTime[[Duration]:[Duration]],TableTime[[Date]:[Date]],$B342,TableTime[[Activity]:[Activity]],P$1)=0,"",SUMIFS(TableTime[[Duration]:[Duration]],TableTime[[Date]:[Date]],$B342,TableTime[[Activity]:[Activity]],P$1))</f>
        <v/>
      </c>
      <c r="Q342" s="62" t="str">
        <f>IF(SUMIFS(TableTime[[Duration]:[Duration]],TableTime[[Date]:[Date]],$B342,TableTime[[Activity]:[Activity]],Q$1)=0,"",SUMIFS(TableTime[[Duration]:[Duration]],TableTime[[Date]:[Date]],$B342,TableTime[[Activity]:[Activity]],Q$1))</f>
        <v/>
      </c>
      <c r="R342" s="62" t="str">
        <f>IF(SUMIFS(TableTime[[Duration]:[Duration]],TableTime[[Date]:[Date]],$B342,TableTime[[Activity]:[Activity]],R$1)=0,"",SUMIFS(TableTime[[Duration]:[Duration]],TableTime[[Date]:[Date]],$B342,TableTime[[Activity]:[Activity]],R$1))</f>
        <v/>
      </c>
      <c r="S342" s="131" t="str">
        <f>IF(SUMIFS(TableTime[[Duration]:[Duration]],TableTime[[Date]:[Date]],$B342,TableTime[[Activity]:[Activity]],S$1)=0,"",SUMIFS(TableTime[[Duration]:[Duration]],TableTime[[Date]:[Date]],$B342,TableTime[[Activity]:[Activity]],S$1))</f>
        <v/>
      </c>
      <c r="T342" s="62" t="str">
        <f>IF(SUMIFS(TableTime[[Duration]:[Duration]],TableTime[[Date]:[Date]],$B342,TableTime[[Activity]:[Activity]],T$1)=0,"",SUMIFS(TableTime[[Duration]:[Duration]],TableTime[[Date]:[Date]],$B342,TableTime[[Activity]:[Activity]],T$1))</f>
        <v/>
      </c>
      <c r="U342" s="64" t="str">
        <f>IF(SUMIFS(TableTime[[Duration]:[Duration]],TableTime[[Date]:[Date]],$B342,TableTime[[Activity]:[Activity]],U$1)=0,"",SUMIFS(TableTime[[Duration]:[Duration]],TableTime[[Date]:[Date]],$B342,TableTime[[Activity]:[Activity]],U$1))</f>
        <v/>
      </c>
    </row>
    <row r="343" spans="1:21" x14ac:dyDescent="0.35">
      <c r="A343" s="35" t="str">
        <f t="shared" si="30"/>
        <v>Fri</v>
      </c>
      <c r="B343" s="5">
        <f t="shared" si="32"/>
        <v>45268</v>
      </c>
      <c r="C343" s="1">
        <f t="shared" si="33"/>
        <v>12</v>
      </c>
      <c r="D343" s="2">
        <f t="shared" si="31"/>
        <v>49</v>
      </c>
      <c r="E343" s="102"/>
      <c r="F343" s="1" t="str">
        <f>IFERROR(IF(OR(WEEKDAY(B343,2)=6,WEEKDAY(B343,2)=7),'Month summary'!$D$11,IF(E343="",'Month summary'!$C$11,E343)),"")</f>
        <v>W</v>
      </c>
      <c r="G343" s="4">
        <f>IF(B343&lt;Time!$B$2,"",IF(F343='Month summary'!$C$11,'Month summary'!$F$2/24,IF(F343="H/2",'Month summary'!$F$2/24/2,0)))</f>
        <v>0.33333333333333331</v>
      </c>
      <c r="H343" s="4">
        <f t="shared" si="34"/>
        <v>0</v>
      </c>
      <c r="I343" s="4" t="str">
        <f t="shared" si="35"/>
        <v/>
      </c>
      <c r="J343" s="107"/>
      <c r="K343" s="38" t="str">
        <f>IFERROR(INDEX(TableTime[Time],MATCH(B343,TableTime[Date],0)),"")</f>
        <v/>
      </c>
      <c r="L343" s="4" t="str">
        <f>IF(SUMIFS(TableTime[Duration],TableTime[Date],B343,TableTime[Activity],Projects!$C$9)+SUMIFS(TableTime[Duration],TableTime[Date],B343,TableTime[Activity],Projects!$C$10)+SUMIFS(TableTime[Duration],TableTime[Date],B343,TableTime[Activity],Projects!$C$11)=0,"",SUMIFS(TableTime[Duration],TableTime[Date],B343,TableTime[Activity],Projects!$C$9)+SUMIFS(TableTime[Duration],TableTime[Date],B343,TableTime[Activity],Projects!$C$10)+SUMIFS(TableTime[Duration],TableTime[Date],B343,TableTime[Activity],Projects!$C$11))</f>
        <v/>
      </c>
      <c r="M343" s="4" t="str" cm="1">
        <f t="array" ref="M343">IFERROR(LOOKUP(2,1/(TableTime[Date]=B343),TableTime[Time]),"")</f>
        <v/>
      </c>
      <c r="N343" s="38" t="str">
        <f>IF(SUMIFS(TableTime[[Duration]:[Duration]],TableTime[[Date]:[Date]],$B343,TableTime[[Activity]:[Activity]],N$1)=0,"",SUMIFS(TableTime[[Duration]:[Duration]],TableTime[[Date]:[Date]],$B343,TableTime[[Activity]:[Activity]],N$1))</f>
        <v/>
      </c>
      <c r="O343" s="4" t="str">
        <f>IF(SUMIFS(TableTime[[Duration]:[Duration]],TableTime[[Date]:[Date]],$B343,TableTime[[Activity]:[Activity]],O$1)=0,"",SUMIFS(TableTime[[Duration]:[Duration]],TableTime[[Date]:[Date]],$B343,TableTime[[Activity]:[Activity]],O$1))</f>
        <v/>
      </c>
      <c r="P343" s="4" t="str">
        <f>IF(SUMIFS(TableTime[[Duration]:[Duration]],TableTime[[Date]:[Date]],$B343,TableTime[[Activity]:[Activity]],P$1)=0,"",SUMIFS(TableTime[[Duration]:[Duration]],TableTime[[Date]:[Date]],$B343,TableTime[[Activity]:[Activity]],P$1))</f>
        <v/>
      </c>
      <c r="Q343" s="4" t="str">
        <f>IF(SUMIFS(TableTime[[Duration]:[Duration]],TableTime[[Date]:[Date]],$B343,TableTime[[Activity]:[Activity]],Q$1)=0,"",SUMIFS(TableTime[[Duration]:[Duration]],TableTime[[Date]:[Date]],$B343,TableTime[[Activity]:[Activity]],Q$1))</f>
        <v/>
      </c>
      <c r="R343" s="4" t="str">
        <f>IF(SUMIFS(TableTime[[Duration]:[Duration]],TableTime[[Date]:[Date]],$B343,TableTime[[Activity]:[Activity]],R$1)=0,"",SUMIFS(TableTime[[Duration]:[Duration]],TableTime[[Date]:[Date]],$B343,TableTime[[Activity]:[Activity]],R$1))</f>
        <v/>
      </c>
      <c r="S343" s="130" t="str">
        <f>IF(SUMIFS(TableTime[[Duration]:[Duration]],TableTime[[Date]:[Date]],$B343,TableTime[[Activity]:[Activity]],S$1)=0,"",SUMIFS(TableTime[[Duration]:[Duration]],TableTime[[Date]:[Date]],$B343,TableTime[[Activity]:[Activity]],S$1))</f>
        <v/>
      </c>
      <c r="T343" s="4" t="str">
        <f>IF(SUMIFS(TableTime[[Duration]:[Duration]],TableTime[[Date]:[Date]],$B343,TableTime[[Activity]:[Activity]],T$1)=0,"",SUMIFS(TableTime[[Duration]:[Duration]],TableTime[[Date]:[Date]],$B343,TableTime[[Activity]:[Activity]],T$1))</f>
        <v/>
      </c>
      <c r="U343" s="39" t="str">
        <f>IF(SUMIFS(TableTime[[Duration]:[Duration]],TableTime[[Date]:[Date]],$B343,TableTime[[Activity]:[Activity]],U$1)=0,"",SUMIFS(TableTime[[Duration]:[Duration]],TableTime[[Date]:[Date]],$B343,TableTime[[Activity]:[Activity]],U$1))</f>
        <v/>
      </c>
    </row>
    <row r="344" spans="1:21" x14ac:dyDescent="0.35">
      <c r="A344" s="59" t="str">
        <f t="shared" si="30"/>
        <v>Sat</v>
      </c>
      <c r="B344" s="91">
        <f t="shared" si="32"/>
        <v>45269</v>
      </c>
      <c r="C344" s="60">
        <f t="shared" si="33"/>
        <v>12</v>
      </c>
      <c r="D344" s="61">
        <f t="shared" si="31"/>
        <v>49</v>
      </c>
      <c r="E344" s="103"/>
      <c r="F344" s="60" t="str">
        <f>IFERROR(IF(OR(WEEKDAY(B344,2)=6,WEEKDAY(B344,2)=7),'Month summary'!$D$11,IF(E344="",'Month summary'!$C$11,E344)),"")</f>
        <v>WE</v>
      </c>
      <c r="G344" s="62">
        <f>IF(B344&lt;Time!$B$2,"",IF(F344='Month summary'!$C$11,'Month summary'!$F$2/24,IF(F344="H/2",'Month summary'!$F$2/24/2,0)))</f>
        <v>0</v>
      </c>
      <c r="H344" s="62">
        <f t="shared" si="34"/>
        <v>0</v>
      </c>
      <c r="I344" s="62" t="str">
        <f t="shared" si="35"/>
        <v/>
      </c>
      <c r="J344" s="108"/>
      <c r="K344" s="63" t="str">
        <f>IFERROR(INDEX(TableTime[Time],MATCH(B344,TableTime[Date],0)),"")</f>
        <v/>
      </c>
      <c r="L344" s="62" t="str">
        <f>IF(SUMIFS(TableTime[Duration],TableTime[Date],B344,TableTime[Activity],Projects!$C$9)+SUMIFS(TableTime[Duration],TableTime[Date],B344,TableTime[Activity],Projects!$C$10)+SUMIFS(TableTime[Duration],TableTime[Date],B344,TableTime[Activity],Projects!$C$11)=0,"",SUMIFS(TableTime[Duration],TableTime[Date],B344,TableTime[Activity],Projects!$C$9)+SUMIFS(TableTime[Duration],TableTime[Date],B344,TableTime[Activity],Projects!$C$10)+SUMIFS(TableTime[Duration],TableTime[Date],B344,TableTime[Activity],Projects!$C$11))</f>
        <v/>
      </c>
      <c r="M344" s="62" t="str" cm="1">
        <f t="array" ref="M344">IFERROR(LOOKUP(2,1/(TableTime[Date]=B344),TableTime[Time]),"")</f>
        <v/>
      </c>
      <c r="N344" s="63" t="str">
        <f>IF(SUMIFS(TableTime[[Duration]:[Duration]],TableTime[[Date]:[Date]],$B344,TableTime[[Activity]:[Activity]],N$1)=0,"",SUMIFS(TableTime[[Duration]:[Duration]],TableTime[[Date]:[Date]],$B344,TableTime[[Activity]:[Activity]],N$1))</f>
        <v/>
      </c>
      <c r="O344" s="62" t="str">
        <f>IF(SUMIFS(TableTime[[Duration]:[Duration]],TableTime[[Date]:[Date]],$B344,TableTime[[Activity]:[Activity]],O$1)=0,"",SUMIFS(TableTime[[Duration]:[Duration]],TableTime[[Date]:[Date]],$B344,TableTime[[Activity]:[Activity]],O$1))</f>
        <v/>
      </c>
      <c r="P344" s="62" t="str">
        <f>IF(SUMIFS(TableTime[[Duration]:[Duration]],TableTime[[Date]:[Date]],$B344,TableTime[[Activity]:[Activity]],P$1)=0,"",SUMIFS(TableTime[[Duration]:[Duration]],TableTime[[Date]:[Date]],$B344,TableTime[[Activity]:[Activity]],P$1))</f>
        <v/>
      </c>
      <c r="Q344" s="62" t="str">
        <f>IF(SUMIFS(TableTime[[Duration]:[Duration]],TableTime[[Date]:[Date]],$B344,TableTime[[Activity]:[Activity]],Q$1)=0,"",SUMIFS(TableTime[[Duration]:[Duration]],TableTime[[Date]:[Date]],$B344,TableTime[[Activity]:[Activity]],Q$1))</f>
        <v/>
      </c>
      <c r="R344" s="62" t="str">
        <f>IF(SUMIFS(TableTime[[Duration]:[Duration]],TableTime[[Date]:[Date]],$B344,TableTime[[Activity]:[Activity]],R$1)=0,"",SUMIFS(TableTime[[Duration]:[Duration]],TableTime[[Date]:[Date]],$B344,TableTime[[Activity]:[Activity]],R$1))</f>
        <v/>
      </c>
      <c r="S344" s="131" t="str">
        <f>IF(SUMIFS(TableTime[[Duration]:[Duration]],TableTime[[Date]:[Date]],$B344,TableTime[[Activity]:[Activity]],S$1)=0,"",SUMIFS(TableTime[[Duration]:[Duration]],TableTime[[Date]:[Date]],$B344,TableTime[[Activity]:[Activity]],S$1))</f>
        <v/>
      </c>
      <c r="T344" s="62" t="str">
        <f>IF(SUMIFS(TableTime[[Duration]:[Duration]],TableTime[[Date]:[Date]],$B344,TableTime[[Activity]:[Activity]],T$1)=0,"",SUMIFS(TableTime[[Duration]:[Duration]],TableTime[[Date]:[Date]],$B344,TableTime[[Activity]:[Activity]],T$1))</f>
        <v/>
      </c>
      <c r="U344" s="64" t="str">
        <f>IF(SUMIFS(TableTime[[Duration]:[Duration]],TableTime[[Date]:[Date]],$B344,TableTime[[Activity]:[Activity]],U$1)=0,"",SUMIFS(TableTime[[Duration]:[Duration]],TableTime[[Date]:[Date]],$B344,TableTime[[Activity]:[Activity]],U$1))</f>
        <v/>
      </c>
    </row>
    <row r="345" spans="1:21" x14ac:dyDescent="0.35">
      <c r="A345" s="35" t="str">
        <f t="shared" si="30"/>
        <v>Sun</v>
      </c>
      <c r="B345" s="5">
        <f t="shared" si="32"/>
        <v>45270</v>
      </c>
      <c r="C345" s="1">
        <f t="shared" si="33"/>
        <v>12</v>
      </c>
      <c r="D345" s="2">
        <f t="shared" si="31"/>
        <v>49</v>
      </c>
      <c r="E345" s="102"/>
      <c r="F345" s="1" t="str">
        <f>IFERROR(IF(OR(WEEKDAY(B345,2)=6,WEEKDAY(B345,2)=7),'Month summary'!$D$11,IF(E345="",'Month summary'!$C$11,E345)),"")</f>
        <v>WE</v>
      </c>
      <c r="G345" s="4">
        <f>IF(B345&lt;Time!$B$2,"",IF(F345='Month summary'!$C$11,'Month summary'!$F$2/24,IF(F345="H/2",'Month summary'!$F$2/24/2,0)))</f>
        <v>0</v>
      </c>
      <c r="H345" s="4">
        <f t="shared" si="34"/>
        <v>0</v>
      </c>
      <c r="I345" s="4" t="str">
        <f t="shared" si="35"/>
        <v/>
      </c>
      <c r="J345" s="107"/>
      <c r="K345" s="38" t="str">
        <f>IFERROR(INDEX(TableTime[Time],MATCH(B345,TableTime[Date],0)),"")</f>
        <v/>
      </c>
      <c r="L345" s="4" t="str">
        <f>IF(SUMIFS(TableTime[Duration],TableTime[Date],B345,TableTime[Activity],Projects!$C$9)+SUMIFS(TableTime[Duration],TableTime[Date],B345,TableTime[Activity],Projects!$C$10)+SUMIFS(TableTime[Duration],TableTime[Date],B345,TableTime[Activity],Projects!$C$11)=0,"",SUMIFS(TableTime[Duration],TableTime[Date],B345,TableTime[Activity],Projects!$C$9)+SUMIFS(TableTime[Duration],TableTime[Date],B345,TableTime[Activity],Projects!$C$10)+SUMIFS(TableTime[Duration],TableTime[Date],B345,TableTime[Activity],Projects!$C$11))</f>
        <v/>
      </c>
      <c r="M345" s="4" t="str" cm="1">
        <f t="array" ref="M345">IFERROR(LOOKUP(2,1/(TableTime[Date]=B345),TableTime[Time]),"")</f>
        <v/>
      </c>
      <c r="N345" s="38" t="str">
        <f>IF(SUMIFS(TableTime[[Duration]:[Duration]],TableTime[[Date]:[Date]],$B345,TableTime[[Activity]:[Activity]],N$1)=0,"",SUMIFS(TableTime[[Duration]:[Duration]],TableTime[[Date]:[Date]],$B345,TableTime[[Activity]:[Activity]],N$1))</f>
        <v/>
      </c>
      <c r="O345" s="4" t="str">
        <f>IF(SUMIFS(TableTime[[Duration]:[Duration]],TableTime[[Date]:[Date]],$B345,TableTime[[Activity]:[Activity]],O$1)=0,"",SUMIFS(TableTime[[Duration]:[Duration]],TableTime[[Date]:[Date]],$B345,TableTime[[Activity]:[Activity]],O$1))</f>
        <v/>
      </c>
      <c r="P345" s="4" t="str">
        <f>IF(SUMIFS(TableTime[[Duration]:[Duration]],TableTime[[Date]:[Date]],$B345,TableTime[[Activity]:[Activity]],P$1)=0,"",SUMIFS(TableTime[[Duration]:[Duration]],TableTime[[Date]:[Date]],$B345,TableTime[[Activity]:[Activity]],P$1))</f>
        <v/>
      </c>
      <c r="Q345" s="4" t="str">
        <f>IF(SUMIFS(TableTime[[Duration]:[Duration]],TableTime[[Date]:[Date]],$B345,TableTime[[Activity]:[Activity]],Q$1)=0,"",SUMIFS(TableTime[[Duration]:[Duration]],TableTime[[Date]:[Date]],$B345,TableTime[[Activity]:[Activity]],Q$1))</f>
        <v/>
      </c>
      <c r="R345" s="4" t="str">
        <f>IF(SUMIFS(TableTime[[Duration]:[Duration]],TableTime[[Date]:[Date]],$B345,TableTime[[Activity]:[Activity]],R$1)=0,"",SUMIFS(TableTime[[Duration]:[Duration]],TableTime[[Date]:[Date]],$B345,TableTime[[Activity]:[Activity]],R$1))</f>
        <v/>
      </c>
      <c r="S345" s="130" t="str">
        <f>IF(SUMIFS(TableTime[[Duration]:[Duration]],TableTime[[Date]:[Date]],$B345,TableTime[[Activity]:[Activity]],S$1)=0,"",SUMIFS(TableTime[[Duration]:[Duration]],TableTime[[Date]:[Date]],$B345,TableTime[[Activity]:[Activity]],S$1))</f>
        <v/>
      </c>
      <c r="T345" s="4" t="str">
        <f>IF(SUMIFS(TableTime[[Duration]:[Duration]],TableTime[[Date]:[Date]],$B345,TableTime[[Activity]:[Activity]],T$1)=0,"",SUMIFS(TableTime[[Duration]:[Duration]],TableTime[[Date]:[Date]],$B345,TableTime[[Activity]:[Activity]],T$1))</f>
        <v/>
      </c>
      <c r="U345" s="39" t="str">
        <f>IF(SUMIFS(TableTime[[Duration]:[Duration]],TableTime[[Date]:[Date]],$B345,TableTime[[Activity]:[Activity]],U$1)=0,"",SUMIFS(TableTime[[Duration]:[Duration]],TableTime[[Date]:[Date]],$B345,TableTime[[Activity]:[Activity]],U$1))</f>
        <v/>
      </c>
    </row>
    <row r="346" spans="1:21" x14ac:dyDescent="0.35">
      <c r="A346" s="59" t="str">
        <f t="shared" si="30"/>
        <v>Mon</v>
      </c>
      <c r="B346" s="91">
        <f t="shared" si="32"/>
        <v>45271</v>
      </c>
      <c r="C346" s="60">
        <f t="shared" si="33"/>
        <v>12</v>
      </c>
      <c r="D346" s="61">
        <f t="shared" si="31"/>
        <v>50</v>
      </c>
      <c r="E346" s="103"/>
      <c r="F346" s="60" t="str">
        <f>IFERROR(IF(OR(WEEKDAY(B346,2)=6,WEEKDAY(B346,2)=7),'Month summary'!$D$11,IF(E346="",'Month summary'!$C$11,E346)),"")</f>
        <v>W</v>
      </c>
      <c r="G346" s="62">
        <f>IF(B346&lt;Time!$B$2,"",IF(F346='Month summary'!$C$11,'Month summary'!$F$2/24,IF(F346="H/2",'Month summary'!$F$2/24/2,0)))</f>
        <v>0.33333333333333331</v>
      </c>
      <c r="H346" s="62">
        <f t="shared" si="34"/>
        <v>0</v>
      </c>
      <c r="I346" s="62" t="str">
        <f t="shared" si="35"/>
        <v/>
      </c>
      <c r="J346" s="108"/>
      <c r="K346" s="63" t="str">
        <f>IFERROR(INDEX(TableTime[Time],MATCH(B346,TableTime[Date],0)),"")</f>
        <v/>
      </c>
      <c r="L346" s="62" t="str">
        <f>IF(SUMIFS(TableTime[Duration],TableTime[Date],B346,TableTime[Activity],Projects!$C$9)+SUMIFS(TableTime[Duration],TableTime[Date],B346,TableTime[Activity],Projects!$C$10)+SUMIFS(TableTime[Duration],TableTime[Date],B346,TableTime[Activity],Projects!$C$11)=0,"",SUMIFS(TableTime[Duration],TableTime[Date],B346,TableTime[Activity],Projects!$C$9)+SUMIFS(TableTime[Duration],TableTime[Date],B346,TableTime[Activity],Projects!$C$10)+SUMIFS(TableTime[Duration],TableTime[Date],B346,TableTime[Activity],Projects!$C$11))</f>
        <v/>
      </c>
      <c r="M346" s="62" t="str" cm="1">
        <f t="array" ref="M346">IFERROR(LOOKUP(2,1/(TableTime[Date]=B346),TableTime[Time]),"")</f>
        <v/>
      </c>
      <c r="N346" s="63" t="str">
        <f>IF(SUMIFS(TableTime[[Duration]:[Duration]],TableTime[[Date]:[Date]],$B346,TableTime[[Activity]:[Activity]],N$1)=0,"",SUMIFS(TableTime[[Duration]:[Duration]],TableTime[[Date]:[Date]],$B346,TableTime[[Activity]:[Activity]],N$1))</f>
        <v/>
      </c>
      <c r="O346" s="62" t="str">
        <f>IF(SUMIFS(TableTime[[Duration]:[Duration]],TableTime[[Date]:[Date]],$B346,TableTime[[Activity]:[Activity]],O$1)=0,"",SUMIFS(TableTime[[Duration]:[Duration]],TableTime[[Date]:[Date]],$B346,TableTime[[Activity]:[Activity]],O$1))</f>
        <v/>
      </c>
      <c r="P346" s="62" t="str">
        <f>IF(SUMIFS(TableTime[[Duration]:[Duration]],TableTime[[Date]:[Date]],$B346,TableTime[[Activity]:[Activity]],P$1)=0,"",SUMIFS(TableTime[[Duration]:[Duration]],TableTime[[Date]:[Date]],$B346,TableTime[[Activity]:[Activity]],P$1))</f>
        <v/>
      </c>
      <c r="Q346" s="62" t="str">
        <f>IF(SUMIFS(TableTime[[Duration]:[Duration]],TableTime[[Date]:[Date]],$B346,TableTime[[Activity]:[Activity]],Q$1)=0,"",SUMIFS(TableTime[[Duration]:[Duration]],TableTime[[Date]:[Date]],$B346,TableTime[[Activity]:[Activity]],Q$1))</f>
        <v/>
      </c>
      <c r="R346" s="62" t="str">
        <f>IF(SUMIFS(TableTime[[Duration]:[Duration]],TableTime[[Date]:[Date]],$B346,TableTime[[Activity]:[Activity]],R$1)=0,"",SUMIFS(TableTime[[Duration]:[Duration]],TableTime[[Date]:[Date]],$B346,TableTime[[Activity]:[Activity]],R$1))</f>
        <v/>
      </c>
      <c r="S346" s="131" t="str">
        <f>IF(SUMIFS(TableTime[[Duration]:[Duration]],TableTime[[Date]:[Date]],$B346,TableTime[[Activity]:[Activity]],S$1)=0,"",SUMIFS(TableTime[[Duration]:[Duration]],TableTime[[Date]:[Date]],$B346,TableTime[[Activity]:[Activity]],S$1))</f>
        <v/>
      </c>
      <c r="T346" s="62" t="str">
        <f>IF(SUMIFS(TableTime[[Duration]:[Duration]],TableTime[[Date]:[Date]],$B346,TableTime[[Activity]:[Activity]],T$1)=0,"",SUMIFS(TableTime[[Duration]:[Duration]],TableTime[[Date]:[Date]],$B346,TableTime[[Activity]:[Activity]],T$1))</f>
        <v/>
      </c>
      <c r="U346" s="64" t="str">
        <f>IF(SUMIFS(TableTime[[Duration]:[Duration]],TableTime[[Date]:[Date]],$B346,TableTime[[Activity]:[Activity]],U$1)=0,"",SUMIFS(TableTime[[Duration]:[Duration]],TableTime[[Date]:[Date]],$B346,TableTime[[Activity]:[Activity]],U$1))</f>
        <v/>
      </c>
    </row>
    <row r="347" spans="1:21" x14ac:dyDescent="0.35">
      <c r="A347" s="35" t="str">
        <f t="shared" si="30"/>
        <v>Tue</v>
      </c>
      <c r="B347" s="5">
        <f t="shared" si="32"/>
        <v>45272</v>
      </c>
      <c r="C347" s="1">
        <f t="shared" si="33"/>
        <v>12</v>
      </c>
      <c r="D347" s="2">
        <f t="shared" si="31"/>
        <v>50</v>
      </c>
      <c r="E347" s="102"/>
      <c r="F347" s="1" t="str">
        <f>IFERROR(IF(OR(WEEKDAY(B347,2)=6,WEEKDAY(B347,2)=7),'Month summary'!$D$11,IF(E347="",'Month summary'!$C$11,E347)),"")</f>
        <v>W</v>
      </c>
      <c r="G347" s="4">
        <f>IF(B347&lt;Time!$B$2,"",IF(F347='Month summary'!$C$11,'Month summary'!$F$2/24,IF(F347="H/2",'Month summary'!$F$2/24/2,0)))</f>
        <v>0.33333333333333331</v>
      </c>
      <c r="H347" s="4">
        <f t="shared" si="34"/>
        <v>0</v>
      </c>
      <c r="I347" s="4" t="str">
        <f t="shared" si="35"/>
        <v/>
      </c>
      <c r="J347" s="107"/>
      <c r="K347" s="38" t="str">
        <f>IFERROR(INDEX(TableTime[Time],MATCH(B347,TableTime[Date],0)),"")</f>
        <v/>
      </c>
      <c r="L347" s="4" t="str">
        <f>IF(SUMIFS(TableTime[Duration],TableTime[Date],B347,TableTime[Activity],Projects!$C$9)+SUMIFS(TableTime[Duration],TableTime[Date],B347,TableTime[Activity],Projects!$C$10)+SUMIFS(TableTime[Duration],TableTime[Date],B347,TableTime[Activity],Projects!$C$11)=0,"",SUMIFS(TableTime[Duration],TableTime[Date],B347,TableTime[Activity],Projects!$C$9)+SUMIFS(TableTime[Duration],TableTime[Date],B347,TableTime[Activity],Projects!$C$10)+SUMIFS(TableTime[Duration],TableTime[Date],B347,TableTime[Activity],Projects!$C$11))</f>
        <v/>
      </c>
      <c r="M347" s="4" t="str" cm="1">
        <f t="array" ref="M347">IFERROR(LOOKUP(2,1/(TableTime[Date]=B347),TableTime[Time]),"")</f>
        <v/>
      </c>
      <c r="N347" s="38" t="str">
        <f>IF(SUMIFS(TableTime[[Duration]:[Duration]],TableTime[[Date]:[Date]],$B347,TableTime[[Activity]:[Activity]],N$1)=0,"",SUMIFS(TableTime[[Duration]:[Duration]],TableTime[[Date]:[Date]],$B347,TableTime[[Activity]:[Activity]],N$1))</f>
        <v/>
      </c>
      <c r="O347" s="4" t="str">
        <f>IF(SUMIFS(TableTime[[Duration]:[Duration]],TableTime[[Date]:[Date]],$B347,TableTime[[Activity]:[Activity]],O$1)=0,"",SUMIFS(TableTime[[Duration]:[Duration]],TableTime[[Date]:[Date]],$B347,TableTime[[Activity]:[Activity]],O$1))</f>
        <v/>
      </c>
      <c r="P347" s="4" t="str">
        <f>IF(SUMIFS(TableTime[[Duration]:[Duration]],TableTime[[Date]:[Date]],$B347,TableTime[[Activity]:[Activity]],P$1)=0,"",SUMIFS(TableTime[[Duration]:[Duration]],TableTime[[Date]:[Date]],$B347,TableTime[[Activity]:[Activity]],P$1))</f>
        <v/>
      </c>
      <c r="Q347" s="4" t="str">
        <f>IF(SUMIFS(TableTime[[Duration]:[Duration]],TableTime[[Date]:[Date]],$B347,TableTime[[Activity]:[Activity]],Q$1)=0,"",SUMIFS(TableTime[[Duration]:[Duration]],TableTime[[Date]:[Date]],$B347,TableTime[[Activity]:[Activity]],Q$1))</f>
        <v/>
      </c>
      <c r="R347" s="4" t="str">
        <f>IF(SUMIFS(TableTime[[Duration]:[Duration]],TableTime[[Date]:[Date]],$B347,TableTime[[Activity]:[Activity]],R$1)=0,"",SUMIFS(TableTime[[Duration]:[Duration]],TableTime[[Date]:[Date]],$B347,TableTime[[Activity]:[Activity]],R$1))</f>
        <v/>
      </c>
      <c r="S347" s="130" t="str">
        <f>IF(SUMIFS(TableTime[[Duration]:[Duration]],TableTime[[Date]:[Date]],$B347,TableTime[[Activity]:[Activity]],S$1)=0,"",SUMIFS(TableTime[[Duration]:[Duration]],TableTime[[Date]:[Date]],$B347,TableTime[[Activity]:[Activity]],S$1))</f>
        <v/>
      </c>
      <c r="T347" s="4" t="str">
        <f>IF(SUMIFS(TableTime[[Duration]:[Duration]],TableTime[[Date]:[Date]],$B347,TableTime[[Activity]:[Activity]],T$1)=0,"",SUMIFS(TableTime[[Duration]:[Duration]],TableTime[[Date]:[Date]],$B347,TableTime[[Activity]:[Activity]],T$1))</f>
        <v/>
      </c>
      <c r="U347" s="39" t="str">
        <f>IF(SUMIFS(TableTime[[Duration]:[Duration]],TableTime[[Date]:[Date]],$B347,TableTime[[Activity]:[Activity]],U$1)=0,"",SUMIFS(TableTime[[Duration]:[Duration]],TableTime[[Date]:[Date]],$B347,TableTime[[Activity]:[Activity]],U$1))</f>
        <v/>
      </c>
    </row>
    <row r="348" spans="1:21" x14ac:dyDescent="0.35">
      <c r="A348" s="59" t="str">
        <f t="shared" si="30"/>
        <v>Wed</v>
      </c>
      <c r="B348" s="91">
        <f t="shared" si="32"/>
        <v>45273</v>
      </c>
      <c r="C348" s="60">
        <f t="shared" si="33"/>
        <v>12</v>
      </c>
      <c r="D348" s="61">
        <f t="shared" si="31"/>
        <v>50</v>
      </c>
      <c r="E348" s="103"/>
      <c r="F348" s="60" t="str">
        <f>IFERROR(IF(OR(WEEKDAY(B348,2)=6,WEEKDAY(B348,2)=7),'Month summary'!$D$11,IF(E348="",'Month summary'!$C$11,E348)),"")</f>
        <v>W</v>
      </c>
      <c r="G348" s="62">
        <f>IF(B348&lt;Time!$B$2,"",IF(F348='Month summary'!$C$11,'Month summary'!$F$2/24,IF(F348="H/2",'Month summary'!$F$2/24/2,0)))</f>
        <v>0.33333333333333331</v>
      </c>
      <c r="H348" s="62">
        <f t="shared" si="34"/>
        <v>0</v>
      </c>
      <c r="I348" s="62" t="str">
        <f t="shared" si="35"/>
        <v/>
      </c>
      <c r="J348" s="108"/>
      <c r="K348" s="63" t="str">
        <f>IFERROR(INDEX(TableTime[Time],MATCH(B348,TableTime[Date],0)),"")</f>
        <v/>
      </c>
      <c r="L348" s="62" t="str">
        <f>IF(SUMIFS(TableTime[Duration],TableTime[Date],B348,TableTime[Activity],Projects!$C$9)+SUMIFS(TableTime[Duration],TableTime[Date],B348,TableTime[Activity],Projects!$C$10)+SUMIFS(TableTime[Duration],TableTime[Date],B348,TableTime[Activity],Projects!$C$11)=0,"",SUMIFS(TableTime[Duration],TableTime[Date],B348,TableTime[Activity],Projects!$C$9)+SUMIFS(TableTime[Duration],TableTime[Date],B348,TableTime[Activity],Projects!$C$10)+SUMIFS(TableTime[Duration],TableTime[Date],B348,TableTime[Activity],Projects!$C$11))</f>
        <v/>
      </c>
      <c r="M348" s="62" t="str" cm="1">
        <f t="array" ref="M348">IFERROR(LOOKUP(2,1/(TableTime[Date]=B348),TableTime[Time]),"")</f>
        <v/>
      </c>
      <c r="N348" s="63" t="str">
        <f>IF(SUMIFS(TableTime[[Duration]:[Duration]],TableTime[[Date]:[Date]],$B348,TableTime[[Activity]:[Activity]],N$1)=0,"",SUMIFS(TableTime[[Duration]:[Duration]],TableTime[[Date]:[Date]],$B348,TableTime[[Activity]:[Activity]],N$1))</f>
        <v/>
      </c>
      <c r="O348" s="62" t="str">
        <f>IF(SUMIFS(TableTime[[Duration]:[Duration]],TableTime[[Date]:[Date]],$B348,TableTime[[Activity]:[Activity]],O$1)=0,"",SUMIFS(TableTime[[Duration]:[Duration]],TableTime[[Date]:[Date]],$B348,TableTime[[Activity]:[Activity]],O$1))</f>
        <v/>
      </c>
      <c r="P348" s="62" t="str">
        <f>IF(SUMIFS(TableTime[[Duration]:[Duration]],TableTime[[Date]:[Date]],$B348,TableTime[[Activity]:[Activity]],P$1)=0,"",SUMIFS(TableTime[[Duration]:[Duration]],TableTime[[Date]:[Date]],$B348,TableTime[[Activity]:[Activity]],P$1))</f>
        <v/>
      </c>
      <c r="Q348" s="62" t="str">
        <f>IF(SUMIFS(TableTime[[Duration]:[Duration]],TableTime[[Date]:[Date]],$B348,TableTime[[Activity]:[Activity]],Q$1)=0,"",SUMIFS(TableTime[[Duration]:[Duration]],TableTime[[Date]:[Date]],$B348,TableTime[[Activity]:[Activity]],Q$1))</f>
        <v/>
      </c>
      <c r="R348" s="62" t="str">
        <f>IF(SUMIFS(TableTime[[Duration]:[Duration]],TableTime[[Date]:[Date]],$B348,TableTime[[Activity]:[Activity]],R$1)=0,"",SUMIFS(TableTime[[Duration]:[Duration]],TableTime[[Date]:[Date]],$B348,TableTime[[Activity]:[Activity]],R$1))</f>
        <v/>
      </c>
      <c r="S348" s="131" t="str">
        <f>IF(SUMIFS(TableTime[[Duration]:[Duration]],TableTime[[Date]:[Date]],$B348,TableTime[[Activity]:[Activity]],S$1)=0,"",SUMIFS(TableTime[[Duration]:[Duration]],TableTime[[Date]:[Date]],$B348,TableTime[[Activity]:[Activity]],S$1))</f>
        <v/>
      </c>
      <c r="T348" s="62" t="str">
        <f>IF(SUMIFS(TableTime[[Duration]:[Duration]],TableTime[[Date]:[Date]],$B348,TableTime[[Activity]:[Activity]],T$1)=0,"",SUMIFS(TableTime[[Duration]:[Duration]],TableTime[[Date]:[Date]],$B348,TableTime[[Activity]:[Activity]],T$1))</f>
        <v/>
      </c>
      <c r="U348" s="64" t="str">
        <f>IF(SUMIFS(TableTime[[Duration]:[Duration]],TableTime[[Date]:[Date]],$B348,TableTime[[Activity]:[Activity]],U$1)=0,"",SUMIFS(TableTime[[Duration]:[Duration]],TableTime[[Date]:[Date]],$B348,TableTime[[Activity]:[Activity]],U$1))</f>
        <v/>
      </c>
    </row>
    <row r="349" spans="1:21" x14ac:dyDescent="0.35">
      <c r="A349" s="35" t="str">
        <f t="shared" si="30"/>
        <v>Thr</v>
      </c>
      <c r="B349" s="5">
        <f t="shared" si="32"/>
        <v>45274</v>
      </c>
      <c r="C349" s="1">
        <f t="shared" si="33"/>
        <v>12</v>
      </c>
      <c r="D349" s="2">
        <f t="shared" si="31"/>
        <v>50</v>
      </c>
      <c r="E349" s="102"/>
      <c r="F349" s="1" t="str">
        <f>IFERROR(IF(OR(WEEKDAY(B349,2)=6,WEEKDAY(B349,2)=7),'Month summary'!$D$11,IF(E349="",'Month summary'!$C$11,E349)),"")</f>
        <v>W</v>
      </c>
      <c r="G349" s="4">
        <f>IF(B349&lt;Time!$B$2,"",IF(F349='Month summary'!$C$11,'Month summary'!$F$2/24,IF(F349="H/2",'Month summary'!$F$2/24/2,0)))</f>
        <v>0.33333333333333331</v>
      </c>
      <c r="H349" s="4">
        <f t="shared" si="34"/>
        <v>0</v>
      </c>
      <c r="I349" s="4" t="str">
        <f t="shared" si="35"/>
        <v/>
      </c>
      <c r="J349" s="107"/>
      <c r="K349" s="38" t="str">
        <f>IFERROR(INDEX(TableTime[Time],MATCH(B349,TableTime[Date],0)),"")</f>
        <v/>
      </c>
      <c r="L349" s="4" t="str">
        <f>IF(SUMIFS(TableTime[Duration],TableTime[Date],B349,TableTime[Activity],Projects!$C$9)+SUMIFS(TableTime[Duration],TableTime[Date],B349,TableTime[Activity],Projects!$C$10)+SUMIFS(TableTime[Duration],TableTime[Date],B349,TableTime[Activity],Projects!$C$11)=0,"",SUMIFS(TableTime[Duration],TableTime[Date],B349,TableTime[Activity],Projects!$C$9)+SUMIFS(TableTime[Duration],TableTime[Date],B349,TableTime[Activity],Projects!$C$10)+SUMIFS(TableTime[Duration],TableTime[Date],B349,TableTime[Activity],Projects!$C$11))</f>
        <v/>
      </c>
      <c r="M349" s="4" t="str" cm="1">
        <f t="array" ref="M349">IFERROR(LOOKUP(2,1/(TableTime[Date]=B349),TableTime[Time]),"")</f>
        <v/>
      </c>
      <c r="N349" s="38" t="str">
        <f>IF(SUMIFS(TableTime[[Duration]:[Duration]],TableTime[[Date]:[Date]],$B349,TableTime[[Activity]:[Activity]],N$1)=0,"",SUMIFS(TableTime[[Duration]:[Duration]],TableTime[[Date]:[Date]],$B349,TableTime[[Activity]:[Activity]],N$1))</f>
        <v/>
      </c>
      <c r="O349" s="4" t="str">
        <f>IF(SUMIFS(TableTime[[Duration]:[Duration]],TableTime[[Date]:[Date]],$B349,TableTime[[Activity]:[Activity]],O$1)=0,"",SUMIFS(TableTime[[Duration]:[Duration]],TableTime[[Date]:[Date]],$B349,TableTime[[Activity]:[Activity]],O$1))</f>
        <v/>
      </c>
      <c r="P349" s="4" t="str">
        <f>IF(SUMIFS(TableTime[[Duration]:[Duration]],TableTime[[Date]:[Date]],$B349,TableTime[[Activity]:[Activity]],P$1)=0,"",SUMIFS(TableTime[[Duration]:[Duration]],TableTime[[Date]:[Date]],$B349,TableTime[[Activity]:[Activity]],P$1))</f>
        <v/>
      </c>
      <c r="Q349" s="4" t="str">
        <f>IF(SUMIFS(TableTime[[Duration]:[Duration]],TableTime[[Date]:[Date]],$B349,TableTime[[Activity]:[Activity]],Q$1)=0,"",SUMIFS(TableTime[[Duration]:[Duration]],TableTime[[Date]:[Date]],$B349,TableTime[[Activity]:[Activity]],Q$1))</f>
        <v/>
      </c>
      <c r="R349" s="4" t="str">
        <f>IF(SUMIFS(TableTime[[Duration]:[Duration]],TableTime[[Date]:[Date]],$B349,TableTime[[Activity]:[Activity]],R$1)=0,"",SUMIFS(TableTime[[Duration]:[Duration]],TableTime[[Date]:[Date]],$B349,TableTime[[Activity]:[Activity]],R$1))</f>
        <v/>
      </c>
      <c r="S349" s="130" t="str">
        <f>IF(SUMIFS(TableTime[[Duration]:[Duration]],TableTime[[Date]:[Date]],$B349,TableTime[[Activity]:[Activity]],S$1)=0,"",SUMIFS(TableTime[[Duration]:[Duration]],TableTime[[Date]:[Date]],$B349,TableTime[[Activity]:[Activity]],S$1))</f>
        <v/>
      </c>
      <c r="T349" s="4" t="str">
        <f>IF(SUMIFS(TableTime[[Duration]:[Duration]],TableTime[[Date]:[Date]],$B349,TableTime[[Activity]:[Activity]],T$1)=0,"",SUMIFS(TableTime[[Duration]:[Duration]],TableTime[[Date]:[Date]],$B349,TableTime[[Activity]:[Activity]],T$1))</f>
        <v/>
      </c>
      <c r="U349" s="39" t="str">
        <f>IF(SUMIFS(TableTime[[Duration]:[Duration]],TableTime[[Date]:[Date]],$B349,TableTime[[Activity]:[Activity]],U$1)=0,"",SUMIFS(TableTime[[Duration]:[Duration]],TableTime[[Date]:[Date]],$B349,TableTime[[Activity]:[Activity]],U$1))</f>
        <v/>
      </c>
    </row>
    <row r="350" spans="1:21" x14ac:dyDescent="0.35">
      <c r="A350" s="59" t="str">
        <f t="shared" si="30"/>
        <v>Fri</v>
      </c>
      <c r="B350" s="91">
        <f t="shared" si="32"/>
        <v>45275</v>
      </c>
      <c r="C350" s="60">
        <f t="shared" si="33"/>
        <v>12</v>
      </c>
      <c r="D350" s="61">
        <f t="shared" si="31"/>
        <v>50</v>
      </c>
      <c r="E350" s="103"/>
      <c r="F350" s="60" t="str">
        <f>IFERROR(IF(OR(WEEKDAY(B350,2)=6,WEEKDAY(B350,2)=7),'Month summary'!$D$11,IF(E350="",'Month summary'!$C$11,E350)),"")</f>
        <v>W</v>
      </c>
      <c r="G350" s="62">
        <f>IF(B350&lt;Time!$B$2,"",IF(F350='Month summary'!$C$11,'Month summary'!$F$2/24,IF(F350="H/2",'Month summary'!$F$2/24/2,0)))</f>
        <v>0.33333333333333331</v>
      </c>
      <c r="H350" s="62">
        <f t="shared" si="34"/>
        <v>0</v>
      </c>
      <c r="I350" s="62" t="str">
        <f t="shared" si="35"/>
        <v/>
      </c>
      <c r="J350" s="108"/>
      <c r="K350" s="63" t="str">
        <f>IFERROR(INDEX(TableTime[Time],MATCH(B350,TableTime[Date],0)),"")</f>
        <v/>
      </c>
      <c r="L350" s="62" t="str">
        <f>IF(SUMIFS(TableTime[Duration],TableTime[Date],B350,TableTime[Activity],Projects!$C$9)+SUMIFS(TableTime[Duration],TableTime[Date],B350,TableTime[Activity],Projects!$C$10)+SUMIFS(TableTime[Duration],TableTime[Date],B350,TableTime[Activity],Projects!$C$11)=0,"",SUMIFS(TableTime[Duration],TableTime[Date],B350,TableTime[Activity],Projects!$C$9)+SUMIFS(TableTime[Duration],TableTime[Date],B350,TableTime[Activity],Projects!$C$10)+SUMIFS(TableTime[Duration],TableTime[Date],B350,TableTime[Activity],Projects!$C$11))</f>
        <v/>
      </c>
      <c r="M350" s="62" t="str" cm="1">
        <f t="array" ref="M350">IFERROR(LOOKUP(2,1/(TableTime[Date]=B350),TableTime[Time]),"")</f>
        <v/>
      </c>
      <c r="N350" s="63" t="str">
        <f>IF(SUMIFS(TableTime[[Duration]:[Duration]],TableTime[[Date]:[Date]],$B350,TableTime[[Activity]:[Activity]],N$1)=0,"",SUMIFS(TableTime[[Duration]:[Duration]],TableTime[[Date]:[Date]],$B350,TableTime[[Activity]:[Activity]],N$1))</f>
        <v/>
      </c>
      <c r="O350" s="62" t="str">
        <f>IF(SUMIFS(TableTime[[Duration]:[Duration]],TableTime[[Date]:[Date]],$B350,TableTime[[Activity]:[Activity]],O$1)=0,"",SUMIFS(TableTime[[Duration]:[Duration]],TableTime[[Date]:[Date]],$B350,TableTime[[Activity]:[Activity]],O$1))</f>
        <v/>
      </c>
      <c r="P350" s="62" t="str">
        <f>IF(SUMIFS(TableTime[[Duration]:[Duration]],TableTime[[Date]:[Date]],$B350,TableTime[[Activity]:[Activity]],P$1)=0,"",SUMIFS(TableTime[[Duration]:[Duration]],TableTime[[Date]:[Date]],$B350,TableTime[[Activity]:[Activity]],P$1))</f>
        <v/>
      </c>
      <c r="Q350" s="62" t="str">
        <f>IF(SUMIFS(TableTime[[Duration]:[Duration]],TableTime[[Date]:[Date]],$B350,TableTime[[Activity]:[Activity]],Q$1)=0,"",SUMIFS(TableTime[[Duration]:[Duration]],TableTime[[Date]:[Date]],$B350,TableTime[[Activity]:[Activity]],Q$1))</f>
        <v/>
      </c>
      <c r="R350" s="62" t="str">
        <f>IF(SUMIFS(TableTime[[Duration]:[Duration]],TableTime[[Date]:[Date]],$B350,TableTime[[Activity]:[Activity]],R$1)=0,"",SUMIFS(TableTime[[Duration]:[Duration]],TableTime[[Date]:[Date]],$B350,TableTime[[Activity]:[Activity]],R$1))</f>
        <v/>
      </c>
      <c r="S350" s="131" t="str">
        <f>IF(SUMIFS(TableTime[[Duration]:[Duration]],TableTime[[Date]:[Date]],$B350,TableTime[[Activity]:[Activity]],S$1)=0,"",SUMIFS(TableTime[[Duration]:[Duration]],TableTime[[Date]:[Date]],$B350,TableTime[[Activity]:[Activity]],S$1))</f>
        <v/>
      </c>
      <c r="T350" s="62" t="str">
        <f>IF(SUMIFS(TableTime[[Duration]:[Duration]],TableTime[[Date]:[Date]],$B350,TableTime[[Activity]:[Activity]],T$1)=0,"",SUMIFS(TableTime[[Duration]:[Duration]],TableTime[[Date]:[Date]],$B350,TableTime[[Activity]:[Activity]],T$1))</f>
        <v/>
      </c>
      <c r="U350" s="64" t="str">
        <f>IF(SUMIFS(TableTime[[Duration]:[Duration]],TableTime[[Date]:[Date]],$B350,TableTime[[Activity]:[Activity]],U$1)=0,"",SUMIFS(TableTime[[Duration]:[Duration]],TableTime[[Date]:[Date]],$B350,TableTime[[Activity]:[Activity]],U$1))</f>
        <v/>
      </c>
    </row>
    <row r="351" spans="1:21" x14ac:dyDescent="0.35">
      <c r="A351" s="35" t="str">
        <f t="shared" si="30"/>
        <v>Sat</v>
      </c>
      <c r="B351" s="5">
        <f t="shared" si="32"/>
        <v>45276</v>
      </c>
      <c r="C351" s="1">
        <f t="shared" si="33"/>
        <v>12</v>
      </c>
      <c r="D351" s="2">
        <f t="shared" si="31"/>
        <v>50</v>
      </c>
      <c r="E351" s="102"/>
      <c r="F351" s="1" t="str">
        <f>IFERROR(IF(OR(WEEKDAY(B351,2)=6,WEEKDAY(B351,2)=7),'Month summary'!$D$11,IF(E351="",'Month summary'!$C$11,E351)),"")</f>
        <v>WE</v>
      </c>
      <c r="G351" s="4">
        <f>IF(B351&lt;Time!$B$2,"",IF(F351='Month summary'!$C$11,'Month summary'!$F$2/24,IF(F351="H/2",'Month summary'!$F$2/24/2,0)))</f>
        <v>0</v>
      </c>
      <c r="H351" s="4">
        <f t="shared" si="34"/>
        <v>0</v>
      </c>
      <c r="I351" s="4" t="str">
        <f t="shared" si="35"/>
        <v/>
      </c>
      <c r="J351" s="107"/>
      <c r="K351" s="38" t="str">
        <f>IFERROR(INDEX(TableTime[Time],MATCH(B351,TableTime[Date],0)),"")</f>
        <v/>
      </c>
      <c r="L351" s="4" t="str">
        <f>IF(SUMIFS(TableTime[Duration],TableTime[Date],B351,TableTime[Activity],Projects!$C$9)+SUMIFS(TableTime[Duration],TableTime[Date],B351,TableTime[Activity],Projects!$C$10)+SUMIFS(TableTime[Duration],TableTime[Date],B351,TableTime[Activity],Projects!$C$11)=0,"",SUMIFS(TableTime[Duration],TableTime[Date],B351,TableTime[Activity],Projects!$C$9)+SUMIFS(TableTime[Duration],TableTime[Date],B351,TableTime[Activity],Projects!$C$10)+SUMIFS(TableTime[Duration],TableTime[Date],B351,TableTime[Activity],Projects!$C$11))</f>
        <v/>
      </c>
      <c r="M351" s="4" t="str" cm="1">
        <f t="array" ref="M351">IFERROR(LOOKUP(2,1/(TableTime[Date]=B351),TableTime[Time]),"")</f>
        <v/>
      </c>
      <c r="N351" s="38" t="str">
        <f>IF(SUMIFS(TableTime[[Duration]:[Duration]],TableTime[[Date]:[Date]],$B351,TableTime[[Activity]:[Activity]],N$1)=0,"",SUMIFS(TableTime[[Duration]:[Duration]],TableTime[[Date]:[Date]],$B351,TableTime[[Activity]:[Activity]],N$1))</f>
        <v/>
      </c>
      <c r="O351" s="4" t="str">
        <f>IF(SUMIFS(TableTime[[Duration]:[Duration]],TableTime[[Date]:[Date]],$B351,TableTime[[Activity]:[Activity]],O$1)=0,"",SUMIFS(TableTime[[Duration]:[Duration]],TableTime[[Date]:[Date]],$B351,TableTime[[Activity]:[Activity]],O$1))</f>
        <v/>
      </c>
      <c r="P351" s="4" t="str">
        <f>IF(SUMIFS(TableTime[[Duration]:[Duration]],TableTime[[Date]:[Date]],$B351,TableTime[[Activity]:[Activity]],P$1)=0,"",SUMIFS(TableTime[[Duration]:[Duration]],TableTime[[Date]:[Date]],$B351,TableTime[[Activity]:[Activity]],P$1))</f>
        <v/>
      </c>
      <c r="Q351" s="4" t="str">
        <f>IF(SUMIFS(TableTime[[Duration]:[Duration]],TableTime[[Date]:[Date]],$B351,TableTime[[Activity]:[Activity]],Q$1)=0,"",SUMIFS(TableTime[[Duration]:[Duration]],TableTime[[Date]:[Date]],$B351,TableTime[[Activity]:[Activity]],Q$1))</f>
        <v/>
      </c>
      <c r="R351" s="4" t="str">
        <f>IF(SUMIFS(TableTime[[Duration]:[Duration]],TableTime[[Date]:[Date]],$B351,TableTime[[Activity]:[Activity]],R$1)=0,"",SUMIFS(TableTime[[Duration]:[Duration]],TableTime[[Date]:[Date]],$B351,TableTime[[Activity]:[Activity]],R$1))</f>
        <v/>
      </c>
      <c r="S351" s="130" t="str">
        <f>IF(SUMIFS(TableTime[[Duration]:[Duration]],TableTime[[Date]:[Date]],$B351,TableTime[[Activity]:[Activity]],S$1)=0,"",SUMIFS(TableTime[[Duration]:[Duration]],TableTime[[Date]:[Date]],$B351,TableTime[[Activity]:[Activity]],S$1))</f>
        <v/>
      </c>
      <c r="T351" s="4" t="str">
        <f>IF(SUMIFS(TableTime[[Duration]:[Duration]],TableTime[[Date]:[Date]],$B351,TableTime[[Activity]:[Activity]],T$1)=0,"",SUMIFS(TableTime[[Duration]:[Duration]],TableTime[[Date]:[Date]],$B351,TableTime[[Activity]:[Activity]],T$1))</f>
        <v/>
      </c>
      <c r="U351" s="39" t="str">
        <f>IF(SUMIFS(TableTime[[Duration]:[Duration]],TableTime[[Date]:[Date]],$B351,TableTime[[Activity]:[Activity]],U$1)=0,"",SUMIFS(TableTime[[Duration]:[Duration]],TableTime[[Date]:[Date]],$B351,TableTime[[Activity]:[Activity]],U$1))</f>
        <v/>
      </c>
    </row>
    <row r="352" spans="1:21" x14ac:dyDescent="0.35">
      <c r="A352" s="59" t="str">
        <f t="shared" si="30"/>
        <v>Sun</v>
      </c>
      <c r="B352" s="91">
        <f t="shared" si="32"/>
        <v>45277</v>
      </c>
      <c r="C352" s="60">
        <f t="shared" si="33"/>
        <v>12</v>
      </c>
      <c r="D352" s="61">
        <f t="shared" si="31"/>
        <v>50</v>
      </c>
      <c r="E352" s="103"/>
      <c r="F352" s="60" t="str">
        <f>IFERROR(IF(OR(WEEKDAY(B352,2)=6,WEEKDAY(B352,2)=7),'Month summary'!$D$11,IF(E352="",'Month summary'!$C$11,E352)),"")</f>
        <v>WE</v>
      </c>
      <c r="G352" s="62">
        <f>IF(B352&lt;Time!$B$2,"",IF(F352='Month summary'!$C$11,'Month summary'!$F$2/24,IF(F352="H/2",'Month summary'!$F$2/24/2,0)))</f>
        <v>0</v>
      </c>
      <c r="H352" s="62">
        <f t="shared" si="34"/>
        <v>0</v>
      </c>
      <c r="I352" s="62" t="str">
        <f t="shared" si="35"/>
        <v/>
      </c>
      <c r="J352" s="108"/>
      <c r="K352" s="63" t="str">
        <f>IFERROR(INDEX(TableTime[Time],MATCH(B352,TableTime[Date],0)),"")</f>
        <v/>
      </c>
      <c r="L352" s="62" t="str">
        <f>IF(SUMIFS(TableTime[Duration],TableTime[Date],B352,TableTime[Activity],Projects!$C$9)+SUMIFS(TableTime[Duration],TableTime[Date],B352,TableTime[Activity],Projects!$C$10)+SUMIFS(TableTime[Duration],TableTime[Date],B352,TableTime[Activity],Projects!$C$11)=0,"",SUMIFS(TableTime[Duration],TableTime[Date],B352,TableTime[Activity],Projects!$C$9)+SUMIFS(TableTime[Duration],TableTime[Date],B352,TableTime[Activity],Projects!$C$10)+SUMIFS(TableTime[Duration],TableTime[Date],B352,TableTime[Activity],Projects!$C$11))</f>
        <v/>
      </c>
      <c r="M352" s="62" t="str" cm="1">
        <f t="array" ref="M352">IFERROR(LOOKUP(2,1/(TableTime[Date]=B352),TableTime[Time]),"")</f>
        <v/>
      </c>
      <c r="N352" s="63" t="str">
        <f>IF(SUMIFS(TableTime[[Duration]:[Duration]],TableTime[[Date]:[Date]],$B352,TableTime[[Activity]:[Activity]],N$1)=0,"",SUMIFS(TableTime[[Duration]:[Duration]],TableTime[[Date]:[Date]],$B352,TableTime[[Activity]:[Activity]],N$1))</f>
        <v/>
      </c>
      <c r="O352" s="62" t="str">
        <f>IF(SUMIFS(TableTime[[Duration]:[Duration]],TableTime[[Date]:[Date]],$B352,TableTime[[Activity]:[Activity]],O$1)=0,"",SUMIFS(TableTime[[Duration]:[Duration]],TableTime[[Date]:[Date]],$B352,TableTime[[Activity]:[Activity]],O$1))</f>
        <v/>
      </c>
      <c r="P352" s="62" t="str">
        <f>IF(SUMIFS(TableTime[[Duration]:[Duration]],TableTime[[Date]:[Date]],$B352,TableTime[[Activity]:[Activity]],P$1)=0,"",SUMIFS(TableTime[[Duration]:[Duration]],TableTime[[Date]:[Date]],$B352,TableTime[[Activity]:[Activity]],P$1))</f>
        <v/>
      </c>
      <c r="Q352" s="62" t="str">
        <f>IF(SUMIFS(TableTime[[Duration]:[Duration]],TableTime[[Date]:[Date]],$B352,TableTime[[Activity]:[Activity]],Q$1)=0,"",SUMIFS(TableTime[[Duration]:[Duration]],TableTime[[Date]:[Date]],$B352,TableTime[[Activity]:[Activity]],Q$1))</f>
        <v/>
      </c>
      <c r="R352" s="62" t="str">
        <f>IF(SUMIFS(TableTime[[Duration]:[Duration]],TableTime[[Date]:[Date]],$B352,TableTime[[Activity]:[Activity]],R$1)=0,"",SUMIFS(TableTime[[Duration]:[Duration]],TableTime[[Date]:[Date]],$B352,TableTime[[Activity]:[Activity]],R$1))</f>
        <v/>
      </c>
      <c r="S352" s="131" t="str">
        <f>IF(SUMIFS(TableTime[[Duration]:[Duration]],TableTime[[Date]:[Date]],$B352,TableTime[[Activity]:[Activity]],S$1)=0,"",SUMIFS(TableTime[[Duration]:[Duration]],TableTime[[Date]:[Date]],$B352,TableTime[[Activity]:[Activity]],S$1))</f>
        <v/>
      </c>
      <c r="T352" s="62" t="str">
        <f>IF(SUMIFS(TableTime[[Duration]:[Duration]],TableTime[[Date]:[Date]],$B352,TableTime[[Activity]:[Activity]],T$1)=0,"",SUMIFS(TableTime[[Duration]:[Duration]],TableTime[[Date]:[Date]],$B352,TableTime[[Activity]:[Activity]],T$1))</f>
        <v/>
      </c>
      <c r="U352" s="64" t="str">
        <f>IF(SUMIFS(TableTime[[Duration]:[Duration]],TableTime[[Date]:[Date]],$B352,TableTime[[Activity]:[Activity]],U$1)=0,"",SUMIFS(TableTime[[Duration]:[Duration]],TableTime[[Date]:[Date]],$B352,TableTime[[Activity]:[Activity]],U$1))</f>
        <v/>
      </c>
    </row>
    <row r="353" spans="1:21" x14ac:dyDescent="0.35">
      <c r="A353" s="35" t="str">
        <f t="shared" si="30"/>
        <v>Mon</v>
      </c>
      <c r="B353" s="5">
        <f t="shared" si="32"/>
        <v>45278</v>
      </c>
      <c r="C353" s="1">
        <f t="shared" si="33"/>
        <v>12</v>
      </c>
      <c r="D353" s="2">
        <f t="shared" si="31"/>
        <v>51</v>
      </c>
      <c r="E353" s="102"/>
      <c r="F353" s="1" t="str">
        <f>IFERROR(IF(OR(WEEKDAY(B353,2)=6,WEEKDAY(B353,2)=7),'Month summary'!$D$11,IF(E353="",'Month summary'!$C$11,E353)),"")</f>
        <v>W</v>
      </c>
      <c r="G353" s="4">
        <f>IF(B353&lt;Time!$B$2,"",IF(F353='Month summary'!$C$11,'Month summary'!$F$2/24,IF(F353="H/2",'Month summary'!$F$2/24/2,0)))</f>
        <v>0.33333333333333331</v>
      </c>
      <c r="H353" s="4">
        <f t="shared" si="34"/>
        <v>0</v>
      </c>
      <c r="I353" s="4" t="str">
        <f t="shared" si="35"/>
        <v/>
      </c>
      <c r="J353" s="107"/>
      <c r="K353" s="38" t="str">
        <f>IFERROR(INDEX(TableTime[Time],MATCH(B353,TableTime[Date],0)),"")</f>
        <v/>
      </c>
      <c r="L353" s="4" t="str">
        <f>IF(SUMIFS(TableTime[Duration],TableTime[Date],B353,TableTime[Activity],Projects!$C$9)+SUMIFS(TableTime[Duration],TableTime[Date],B353,TableTime[Activity],Projects!$C$10)+SUMIFS(TableTime[Duration],TableTime[Date],B353,TableTime[Activity],Projects!$C$11)=0,"",SUMIFS(TableTime[Duration],TableTime[Date],B353,TableTime[Activity],Projects!$C$9)+SUMIFS(TableTime[Duration],TableTime[Date],B353,TableTime[Activity],Projects!$C$10)+SUMIFS(TableTime[Duration],TableTime[Date],B353,TableTime[Activity],Projects!$C$11))</f>
        <v/>
      </c>
      <c r="M353" s="4" t="str" cm="1">
        <f t="array" ref="M353">IFERROR(LOOKUP(2,1/(TableTime[Date]=B353),TableTime[Time]),"")</f>
        <v/>
      </c>
      <c r="N353" s="38" t="str">
        <f>IF(SUMIFS(TableTime[[Duration]:[Duration]],TableTime[[Date]:[Date]],$B353,TableTime[[Activity]:[Activity]],N$1)=0,"",SUMIFS(TableTime[[Duration]:[Duration]],TableTime[[Date]:[Date]],$B353,TableTime[[Activity]:[Activity]],N$1))</f>
        <v/>
      </c>
      <c r="O353" s="4" t="str">
        <f>IF(SUMIFS(TableTime[[Duration]:[Duration]],TableTime[[Date]:[Date]],$B353,TableTime[[Activity]:[Activity]],O$1)=0,"",SUMIFS(TableTime[[Duration]:[Duration]],TableTime[[Date]:[Date]],$B353,TableTime[[Activity]:[Activity]],O$1))</f>
        <v/>
      </c>
      <c r="P353" s="4" t="str">
        <f>IF(SUMIFS(TableTime[[Duration]:[Duration]],TableTime[[Date]:[Date]],$B353,TableTime[[Activity]:[Activity]],P$1)=0,"",SUMIFS(TableTime[[Duration]:[Duration]],TableTime[[Date]:[Date]],$B353,TableTime[[Activity]:[Activity]],P$1))</f>
        <v/>
      </c>
      <c r="Q353" s="4" t="str">
        <f>IF(SUMIFS(TableTime[[Duration]:[Duration]],TableTime[[Date]:[Date]],$B353,TableTime[[Activity]:[Activity]],Q$1)=0,"",SUMIFS(TableTime[[Duration]:[Duration]],TableTime[[Date]:[Date]],$B353,TableTime[[Activity]:[Activity]],Q$1))</f>
        <v/>
      </c>
      <c r="R353" s="4" t="str">
        <f>IF(SUMIFS(TableTime[[Duration]:[Duration]],TableTime[[Date]:[Date]],$B353,TableTime[[Activity]:[Activity]],R$1)=0,"",SUMIFS(TableTime[[Duration]:[Duration]],TableTime[[Date]:[Date]],$B353,TableTime[[Activity]:[Activity]],R$1))</f>
        <v/>
      </c>
      <c r="S353" s="130" t="str">
        <f>IF(SUMIFS(TableTime[[Duration]:[Duration]],TableTime[[Date]:[Date]],$B353,TableTime[[Activity]:[Activity]],S$1)=0,"",SUMIFS(TableTime[[Duration]:[Duration]],TableTime[[Date]:[Date]],$B353,TableTime[[Activity]:[Activity]],S$1))</f>
        <v/>
      </c>
      <c r="T353" s="4" t="str">
        <f>IF(SUMIFS(TableTime[[Duration]:[Duration]],TableTime[[Date]:[Date]],$B353,TableTime[[Activity]:[Activity]],T$1)=0,"",SUMIFS(TableTime[[Duration]:[Duration]],TableTime[[Date]:[Date]],$B353,TableTime[[Activity]:[Activity]],T$1))</f>
        <v/>
      </c>
      <c r="U353" s="39" t="str">
        <f>IF(SUMIFS(TableTime[[Duration]:[Duration]],TableTime[[Date]:[Date]],$B353,TableTime[[Activity]:[Activity]],U$1)=0,"",SUMIFS(TableTime[[Duration]:[Duration]],TableTime[[Date]:[Date]],$B353,TableTime[[Activity]:[Activity]],U$1))</f>
        <v/>
      </c>
    </row>
    <row r="354" spans="1:21" x14ac:dyDescent="0.35">
      <c r="A354" s="59" t="str">
        <f t="shared" si="30"/>
        <v>Tue</v>
      </c>
      <c r="B354" s="91">
        <f t="shared" si="32"/>
        <v>45279</v>
      </c>
      <c r="C354" s="60">
        <f t="shared" si="33"/>
        <v>12</v>
      </c>
      <c r="D354" s="61">
        <f t="shared" si="31"/>
        <v>51</v>
      </c>
      <c r="E354" s="103"/>
      <c r="F354" s="60" t="str">
        <f>IFERROR(IF(OR(WEEKDAY(B354,2)=6,WEEKDAY(B354,2)=7),'Month summary'!$D$11,IF(E354="",'Month summary'!$C$11,E354)),"")</f>
        <v>W</v>
      </c>
      <c r="G354" s="62">
        <f>IF(B354&lt;Time!$B$2,"",IF(F354='Month summary'!$C$11,'Month summary'!$F$2/24,IF(F354="H/2",'Month summary'!$F$2/24/2,0)))</f>
        <v>0.33333333333333331</v>
      </c>
      <c r="H354" s="62">
        <f t="shared" si="34"/>
        <v>0</v>
      </c>
      <c r="I354" s="62" t="str">
        <f t="shared" si="35"/>
        <v/>
      </c>
      <c r="J354" s="108"/>
      <c r="K354" s="63" t="str">
        <f>IFERROR(INDEX(TableTime[Time],MATCH(B354,TableTime[Date],0)),"")</f>
        <v/>
      </c>
      <c r="L354" s="62" t="str">
        <f>IF(SUMIFS(TableTime[Duration],TableTime[Date],B354,TableTime[Activity],Projects!$C$9)+SUMIFS(TableTime[Duration],TableTime[Date],B354,TableTime[Activity],Projects!$C$10)+SUMIFS(TableTime[Duration],TableTime[Date],B354,TableTime[Activity],Projects!$C$11)=0,"",SUMIFS(TableTime[Duration],TableTime[Date],B354,TableTime[Activity],Projects!$C$9)+SUMIFS(TableTime[Duration],TableTime[Date],B354,TableTime[Activity],Projects!$C$10)+SUMIFS(TableTime[Duration],TableTime[Date],B354,TableTime[Activity],Projects!$C$11))</f>
        <v/>
      </c>
      <c r="M354" s="62" t="str" cm="1">
        <f t="array" ref="M354">IFERROR(LOOKUP(2,1/(TableTime[Date]=B354),TableTime[Time]),"")</f>
        <v/>
      </c>
      <c r="N354" s="63" t="str">
        <f>IF(SUMIFS(TableTime[[Duration]:[Duration]],TableTime[[Date]:[Date]],$B354,TableTime[[Activity]:[Activity]],N$1)=0,"",SUMIFS(TableTime[[Duration]:[Duration]],TableTime[[Date]:[Date]],$B354,TableTime[[Activity]:[Activity]],N$1))</f>
        <v/>
      </c>
      <c r="O354" s="62" t="str">
        <f>IF(SUMIFS(TableTime[[Duration]:[Duration]],TableTime[[Date]:[Date]],$B354,TableTime[[Activity]:[Activity]],O$1)=0,"",SUMIFS(TableTime[[Duration]:[Duration]],TableTime[[Date]:[Date]],$B354,TableTime[[Activity]:[Activity]],O$1))</f>
        <v/>
      </c>
      <c r="P354" s="62" t="str">
        <f>IF(SUMIFS(TableTime[[Duration]:[Duration]],TableTime[[Date]:[Date]],$B354,TableTime[[Activity]:[Activity]],P$1)=0,"",SUMIFS(TableTime[[Duration]:[Duration]],TableTime[[Date]:[Date]],$B354,TableTime[[Activity]:[Activity]],P$1))</f>
        <v/>
      </c>
      <c r="Q354" s="62" t="str">
        <f>IF(SUMIFS(TableTime[[Duration]:[Duration]],TableTime[[Date]:[Date]],$B354,TableTime[[Activity]:[Activity]],Q$1)=0,"",SUMIFS(TableTime[[Duration]:[Duration]],TableTime[[Date]:[Date]],$B354,TableTime[[Activity]:[Activity]],Q$1))</f>
        <v/>
      </c>
      <c r="R354" s="62" t="str">
        <f>IF(SUMIFS(TableTime[[Duration]:[Duration]],TableTime[[Date]:[Date]],$B354,TableTime[[Activity]:[Activity]],R$1)=0,"",SUMIFS(TableTime[[Duration]:[Duration]],TableTime[[Date]:[Date]],$B354,TableTime[[Activity]:[Activity]],R$1))</f>
        <v/>
      </c>
      <c r="S354" s="131" t="str">
        <f>IF(SUMIFS(TableTime[[Duration]:[Duration]],TableTime[[Date]:[Date]],$B354,TableTime[[Activity]:[Activity]],S$1)=0,"",SUMIFS(TableTime[[Duration]:[Duration]],TableTime[[Date]:[Date]],$B354,TableTime[[Activity]:[Activity]],S$1))</f>
        <v/>
      </c>
      <c r="T354" s="62" t="str">
        <f>IF(SUMIFS(TableTime[[Duration]:[Duration]],TableTime[[Date]:[Date]],$B354,TableTime[[Activity]:[Activity]],T$1)=0,"",SUMIFS(TableTime[[Duration]:[Duration]],TableTime[[Date]:[Date]],$B354,TableTime[[Activity]:[Activity]],T$1))</f>
        <v/>
      </c>
      <c r="U354" s="64" t="str">
        <f>IF(SUMIFS(TableTime[[Duration]:[Duration]],TableTime[[Date]:[Date]],$B354,TableTime[[Activity]:[Activity]],U$1)=0,"",SUMIFS(TableTime[[Duration]:[Duration]],TableTime[[Date]:[Date]],$B354,TableTime[[Activity]:[Activity]],U$1))</f>
        <v/>
      </c>
    </row>
    <row r="355" spans="1:21" x14ac:dyDescent="0.35">
      <c r="A355" s="35" t="str">
        <f t="shared" si="30"/>
        <v>Wed</v>
      </c>
      <c r="B355" s="5">
        <f t="shared" si="32"/>
        <v>45280</v>
      </c>
      <c r="C355" s="1">
        <f t="shared" si="33"/>
        <v>12</v>
      </c>
      <c r="D355" s="2">
        <f t="shared" si="31"/>
        <v>51</v>
      </c>
      <c r="E355" s="102"/>
      <c r="F355" s="1" t="str">
        <f>IFERROR(IF(OR(WEEKDAY(B355,2)=6,WEEKDAY(B355,2)=7),'Month summary'!$D$11,IF(E355="",'Month summary'!$C$11,E355)),"")</f>
        <v>W</v>
      </c>
      <c r="G355" s="4">
        <f>IF(B355&lt;Time!$B$2,"",IF(F355='Month summary'!$C$11,'Month summary'!$F$2/24,IF(F355="H/2",'Month summary'!$F$2/24/2,0)))</f>
        <v>0.33333333333333331</v>
      </c>
      <c r="H355" s="4">
        <f t="shared" si="34"/>
        <v>0</v>
      </c>
      <c r="I355" s="4" t="str">
        <f t="shared" si="35"/>
        <v/>
      </c>
      <c r="J355" s="107"/>
      <c r="K355" s="38" t="str">
        <f>IFERROR(INDEX(TableTime[Time],MATCH(B355,TableTime[Date],0)),"")</f>
        <v/>
      </c>
      <c r="L355" s="4" t="str">
        <f>IF(SUMIFS(TableTime[Duration],TableTime[Date],B355,TableTime[Activity],Projects!$C$9)+SUMIFS(TableTime[Duration],TableTime[Date],B355,TableTime[Activity],Projects!$C$10)+SUMIFS(TableTime[Duration],TableTime[Date],B355,TableTime[Activity],Projects!$C$11)=0,"",SUMIFS(TableTime[Duration],TableTime[Date],B355,TableTime[Activity],Projects!$C$9)+SUMIFS(TableTime[Duration],TableTime[Date],B355,TableTime[Activity],Projects!$C$10)+SUMIFS(TableTime[Duration],TableTime[Date],B355,TableTime[Activity],Projects!$C$11))</f>
        <v/>
      </c>
      <c r="M355" s="4" t="str" cm="1">
        <f t="array" ref="M355">IFERROR(LOOKUP(2,1/(TableTime[Date]=B355),TableTime[Time]),"")</f>
        <v/>
      </c>
      <c r="N355" s="38" t="str">
        <f>IF(SUMIFS(TableTime[[Duration]:[Duration]],TableTime[[Date]:[Date]],$B355,TableTime[[Activity]:[Activity]],N$1)=0,"",SUMIFS(TableTime[[Duration]:[Duration]],TableTime[[Date]:[Date]],$B355,TableTime[[Activity]:[Activity]],N$1))</f>
        <v/>
      </c>
      <c r="O355" s="4" t="str">
        <f>IF(SUMIFS(TableTime[[Duration]:[Duration]],TableTime[[Date]:[Date]],$B355,TableTime[[Activity]:[Activity]],O$1)=0,"",SUMIFS(TableTime[[Duration]:[Duration]],TableTime[[Date]:[Date]],$B355,TableTime[[Activity]:[Activity]],O$1))</f>
        <v/>
      </c>
      <c r="P355" s="4" t="str">
        <f>IF(SUMIFS(TableTime[[Duration]:[Duration]],TableTime[[Date]:[Date]],$B355,TableTime[[Activity]:[Activity]],P$1)=0,"",SUMIFS(TableTime[[Duration]:[Duration]],TableTime[[Date]:[Date]],$B355,TableTime[[Activity]:[Activity]],P$1))</f>
        <v/>
      </c>
      <c r="Q355" s="4" t="str">
        <f>IF(SUMIFS(TableTime[[Duration]:[Duration]],TableTime[[Date]:[Date]],$B355,TableTime[[Activity]:[Activity]],Q$1)=0,"",SUMIFS(TableTime[[Duration]:[Duration]],TableTime[[Date]:[Date]],$B355,TableTime[[Activity]:[Activity]],Q$1))</f>
        <v/>
      </c>
      <c r="R355" s="4" t="str">
        <f>IF(SUMIFS(TableTime[[Duration]:[Duration]],TableTime[[Date]:[Date]],$B355,TableTime[[Activity]:[Activity]],R$1)=0,"",SUMIFS(TableTime[[Duration]:[Duration]],TableTime[[Date]:[Date]],$B355,TableTime[[Activity]:[Activity]],R$1))</f>
        <v/>
      </c>
      <c r="S355" s="130" t="str">
        <f>IF(SUMIFS(TableTime[[Duration]:[Duration]],TableTime[[Date]:[Date]],$B355,TableTime[[Activity]:[Activity]],S$1)=0,"",SUMIFS(TableTime[[Duration]:[Duration]],TableTime[[Date]:[Date]],$B355,TableTime[[Activity]:[Activity]],S$1))</f>
        <v/>
      </c>
      <c r="T355" s="4" t="str">
        <f>IF(SUMIFS(TableTime[[Duration]:[Duration]],TableTime[[Date]:[Date]],$B355,TableTime[[Activity]:[Activity]],T$1)=0,"",SUMIFS(TableTime[[Duration]:[Duration]],TableTime[[Date]:[Date]],$B355,TableTime[[Activity]:[Activity]],T$1))</f>
        <v/>
      </c>
      <c r="U355" s="39" t="str">
        <f>IF(SUMIFS(TableTime[[Duration]:[Duration]],TableTime[[Date]:[Date]],$B355,TableTime[[Activity]:[Activity]],U$1)=0,"",SUMIFS(TableTime[[Duration]:[Duration]],TableTime[[Date]:[Date]],$B355,TableTime[[Activity]:[Activity]],U$1))</f>
        <v/>
      </c>
    </row>
    <row r="356" spans="1:21" x14ac:dyDescent="0.35">
      <c r="A356" s="59" t="str">
        <f t="shared" si="30"/>
        <v>Thr</v>
      </c>
      <c r="B356" s="91">
        <f t="shared" si="32"/>
        <v>45281</v>
      </c>
      <c r="C356" s="60">
        <f t="shared" si="33"/>
        <v>12</v>
      </c>
      <c r="D356" s="61">
        <f t="shared" si="31"/>
        <v>51</v>
      </c>
      <c r="E356" s="103"/>
      <c r="F356" s="60" t="str">
        <f>IFERROR(IF(OR(WEEKDAY(B356,2)=6,WEEKDAY(B356,2)=7),'Month summary'!$D$11,IF(E356="",'Month summary'!$C$11,E356)),"")</f>
        <v>W</v>
      </c>
      <c r="G356" s="62">
        <f>IF(B356&lt;Time!$B$2,"",IF(F356='Month summary'!$C$11,'Month summary'!$F$2/24,IF(F356="H/2",'Month summary'!$F$2/24/2,0)))</f>
        <v>0.33333333333333331</v>
      </c>
      <c r="H356" s="62">
        <f t="shared" si="34"/>
        <v>0</v>
      </c>
      <c r="I356" s="62" t="str">
        <f t="shared" si="35"/>
        <v/>
      </c>
      <c r="J356" s="108"/>
      <c r="K356" s="63" t="str">
        <f>IFERROR(INDEX(TableTime[Time],MATCH(B356,TableTime[Date],0)),"")</f>
        <v/>
      </c>
      <c r="L356" s="62" t="str">
        <f>IF(SUMIFS(TableTime[Duration],TableTime[Date],B356,TableTime[Activity],Projects!$C$9)+SUMIFS(TableTime[Duration],TableTime[Date],B356,TableTime[Activity],Projects!$C$10)+SUMIFS(TableTime[Duration],TableTime[Date],B356,TableTime[Activity],Projects!$C$11)=0,"",SUMIFS(TableTime[Duration],TableTime[Date],B356,TableTime[Activity],Projects!$C$9)+SUMIFS(TableTime[Duration],TableTime[Date],B356,TableTime[Activity],Projects!$C$10)+SUMIFS(TableTime[Duration],TableTime[Date],B356,TableTime[Activity],Projects!$C$11))</f>
        <v/>
      </c>
      <c r="M356" s="62" t="str" cm="1">
        <f t="array" ref="M356">IFERROR(LOOKUP(2,1/(TableTime[Date]=B356),TableTime[Time]),"")</f>
        <v/>
      </c>
      <c r="N356" s="63" t="str">
        <f>IF(SUMIFS(TableTime[[Duration]:[Duration]],TableTime[[Date]:[Date]],$B356,TableTime[[Activity]:[Activity]],N$1)=0,"",SUMIFS(TableTime[[Duration]:[Duration]],TableTime[[Date]:[Date]],$B356,TableTime[[Activity]:[Activity]],N$1))</f>
        <v/>
      </c>
      <c r="O356" s="62" t="str">
        <f>IF(SUMIFS(TableTime[[Duration]:[Duration]],TableTime[[Date]:[Date]],$B356,TableTime[[Activity]:[Activity]],O$1)=0,"",SUMIFS(TableTime[[Duration]:[Duration]],TableTime[[Date]:[Date]],$B356,TableTime[[Activity]:[Activity]],O$1))</f>
        <v/>
      </c>
      <c r="P356" s="62" t="str">
        <f>IF(SUMIFS(TableTime[[Duration]:[Duration]],TableTime[[Date]:[Date]],$B356,TableTime[[Activity]:[Activity]],P$1)=0,"",SUMIFS(TableTime[[Duration]:[Duration]],TableTime[[Date]:[Date]],$B356,TableTime[[Activity]:[Activity]],P$1))</f>
        <v/>
      </c>
      <c r="Q356" s="62" t="str">
        <f>IF(SUMIFS(TableTime[[Duration]:[Duration]],TableTime[[Date]:[Date]],$B356,TableTime[[Activity]:[Activity]],Q$1)=0,"",SUMIFS(TableTime[[Duration]:[Duration]],TableTime[[Date]:[Date]],$B356,TableTime[[Activity]:[Activity]],Q$1))</f>
        <v/>
      </c>
      <c r="R356" s="62" t="str">
        <f>IF(SUMIFS(TableTime[[Duration]:[Duration]],TableTime[[Date]:[Date]],$B356,TableTime[[Activity]:[Activity]],R$1)=0,"",SUMIFS(TableTime[[Duration]:[Duration]],TableTime[[Date]:[Date]],$B356,TableTime[[Activity]:[Activity]],R$1))</f>
        <v/>
      </c>
      <c r="S356" s="131" t="str">
        <f>IF(SUMIFS(TableTime[[Duration]:[Duration]],TableTime[[Date]:[Date]],$B356,TableTime[[Activity]:[Activity]],S$1)=0,"",SUMIFS(TableTime[[Duration]:[Duration]],TableTime[[Date]:[Date]],$B356,TableTime[[Activity]:[Activity]],S$1))</f>
        <v/>
      </c>
      <c r="T356" s="62" t="str">
        <f>IF(SUMIFS(TableTime[[Duration]:[Duration]],TableTime[[Date]:[Date]],$B356,TableTime[[Activity]:[Activity]],T$1)=0,"",SUMIFS(TableTime[[Duration]:[Duration]],TableTime[[Date]:[Date]],$B356,TableTime[[Activity]:[Activity]],T$1))</f>
        <v/>
      </c>
      <c r="U356" s="64" t="str">
        <f>IF(SUMIFS(TableTime[[Duration]:[Duration]],TableTime[[Date]:[Date]],$B356,TableTime[[Activity]:[Activity]],U$1)=0,"",SUMIFS(TableTime[[Duration]:[Duration]],TableTime[[Date]:[Date]],$B356,TableTime[[Activity]:[Activity]],U$1))</f>
        <v/>
      </c>
    </row>
    <row r="357" spans="1:21" x14ac:dyDescent="0.35">
      <c r="A357" s="35" t="str">
        <f t="shared" si="30"/>
        <v>Fri</v>
      </c>
      <c r="B357" s="5">
        <f t="shared" si="32"/>
        <v>45282</v>
      </c>
      <c r="C357" s="1">
        <f t="shared" si="33"/>
        <v>12</v>
      </c>
      <c r="D357" s="2">
        <f t="shared" si="31"/>
        <v>51</v>
      </c>
      <c r="E357" s="102"/>
      <c r="F357" s="1" t="str">
        <f>IFERROR(IF(OR(WEEKDAY(B357,2)=6,WEEKDAY(B357,2)=7),'Month summary'!$D$11,IF(E357="",'Month summary'!$C$11,E357)),"")</f>
        <v>W</v>
      </c>
      <c r="G357" s="4">
        <f>IF(B357&lt;Time!$B$2,"",IF(F357='Month summary'!$C$11,'Month summary'!$F$2/24,IF(F357="H/2",'Month summary'!$F$2/24/2,0)))</f>
        <v>0.33333333333333331</v>
      </c>
      <c r="H357" s="4">
        <f t="shared" si="34"/>
        <v>0</v>
      </c>
      <c r="I357" s="4" t="str">
        <f t="shared" si="35"/>
        <v/>
      </c>
      <c r="J357" s="107"/>
      <c r="K357" s="38" t="str">
        <f>IFERROR(INDEX(TableTime[Time],MATCH(B357,TableTime[Date],0)),"")</f>
        <v/>
      </c>
      <c r="L357" s="4" t="str">
        <f>IF(SUMIFS(TableTime[Duration],TableTime[Date],B357,TableTime[Activity],Projects!$C$9)+SUMIFS(TableTime[Duration],TableTime[Date],B357,TableTime[Activity],Projects!$C$10)+SUMIFS(TableTime[Duration],TableTime[Date],B357,TableTime[Activity],Projects!$C$11)=0,"",SUMIFS(TableTime[Duration],TableTime[Date],B357,TableTime[Activity],Projects!$C$9)+SUMIFS(TableTime[Duration],TableTime[Date],B357,TableTime[Activity],Projects!$C$10)+SUMIFS(TableTime[Duration],TableTime[Date],B357,TableTime[Activity],Projects!$C$11))</f>
        <v/>
      </c>
      <c r="M357" s="4" t="str" cm="1">
        <f t="array" ref="M357">IFERROR(LOOKUP(2,1/(TableTime[Date]=B357),TableTime[Time]),"")</f>
        <v/>
      </c>
      <c r="N357" s="38" t="str">
        <f>IF(SUMIFS(TableTime[[Duration]:[Duration]],TableTime[[Date]:[Date]],$B357,TableTime[[Activity]:[Activity]],N$1)=0,"",SUMIFS(TableTime[[Duration]:[Duration]],TableTime[[Date]:[Date]],$B357,TableTime[[Activity]:[Activity]],N$1))</f>
        <v/>
      </c>
      <c r="O357" s="4" t="str">
        <f>IF(SUMIFS(TableTime[[Duration]:[Duration]],TableTime[[Date]:[Date]],$B357,TableTime[[Activity]:[Activity]],O$1)=0,"",SUMIFS(TableTime[[Duration]:[Duration]],TableTime[[Date]:[Date]],$B357,TableTime[[Activity]:[Activity]],O$1))</f>
        <v/>
      </c>
      <c r="P357" s="4" t="str">
        <f>IF(SUMIFS(TableTime[[Duration]:[Duration]],TableTime[[Date]:[Date]],$B357,TableTime[[Activity]:[Activity]],P$1)=0,"",SUMIFS(TableTime[[Duration]:[Duration]],TableTime[[Date]:[Date]],$B357,TableTime[[Activity]:[Activity]],P$1))</f>
        <v/>
      </c>
      <c r="Q357" s="4" t="str">
        <f>IF(SUMIFS(TableTime[[Duration]:[Duration]],TableTime[[Date]:[Date]],$B357,TableTime[[Activity]:[Activity]],Q$1)=0,"",SUMIFS(TableTime[[Duration]:[Duration]],TableTime[[Date]:[Date]],$B357,TableTime[[Activity]:[Activity]],Q$1))</f>
        <v/>
      </c>
      <c r="R357" s="4" t="str">
        <f>IF(SUMIFS(TableTime[[Duration]:[Duration]],TableTime[[Date]:[Date]],$B357,TableTime[[Activity]:[Activity]],R$1)=0,"",SUMIFS(TableTime[[Duration]:[Duration]],TableTime[[Date]:[Date]],$B357,TableTime[[Activity]:[Activity]],R$1))</f>
        <v/>
      </c>
      <c r="S357" s="130" t="str">
        <f>IF(SUMIFS(TableTime[[Duration]:[Duration]],TableTime[[Date]:[Date]],$B357,TableTime[[Activity]:[Activity]],S$1)=0,"",SUMIFS(TableTime[[Duration]:[Duration]],TableTime[[Date]:[Date]],$B357,TableTime[[Activity]:[Activity]],S$1))</f>
        <v/>
      </c>
      <c r="T357" s="4" t="str">
        <f>IF(SUMIFS(TableTime[[Duration]:[Duration]],TableTime[[Date]:[Date]],$B357,TableTime[[Activity]:[Activity]],T$1)=0,"",SUMIFS(TableTime[[Duration]:[Duration]],TableTime[[Date]:[Date]],$B357,TableTime[[Activity]:[Activity]],T$1))</f>
        <v/>
      </c>
      <c r="U357" s="39" t="str">
        <f>IF(SUMIFS(TableTime[[Duration]:[Duration]],TableTime[[Date]:[Date]],$B357,TableTime[[Activity]:[Activity]],U$1)=0,"",SUMIFS(TableTime[[Duration]:[Duration]],TableTime[[Date]:[Date]],$B357,TableTime[[Activity]:[Activity]],U$1))</f>
        <v/>
      </c>
    </row>
    <row r="358" spans="1:21" x14ac:dyDescent="0.35">
      <c r="A358" s="59" t="str">
        <f t="shared" si="30"/>
        <v>Sat</v>
      </c>
      <c r="B358" s="91">
        <f t="shared" si="32"/>
        <v>45283</v>
      </c>
      <c r="C358" s="60">
        <f t="shared" si="33"/>
        <v>12</v>
      </c>
      <c r="D358" s="61">
        <f t="shared" si="31"/>
        <v>51</v>
      </c>
      <c r="E358" s="103"/>
      <c r="F358" s="60" t="str">
        <f>IFERROR(IF(OR(WEEKDAY(B358,2)=6,WEEKDAY(B358,2)=7),'Month summary'!$D$11,IF(E358="",'Month summary'!$C$11,E358)),"")</f>
        <v>WE</v>
      </c>
      <c r="G358" s="62">
        <f>IF(B358&lt;Time!$B$2,"",IF(F358='Month summary'!$C$11,'Month summary'!$F$2/24,IF(F358="H/2",'Month summary'!$F$2/24/2,0)))</f>
        <v>0</v>
      </c>
      <c r="H358" s="62">
        <f t="shared" si="34"/>
        <v>0</v>
      </c>
      <c r="I358" s="62" t="str">
        <f t="shared" si="35"/>
        <v/>
      </c>
      <c r="J358" s="108"/>
      <c r="K358" s="63" t="str">
        <f>IFERROR(INDEX(TableTime[Time],MATCH(B358,TableTime[Date],0)),"")</f>
        <v/>
      </c>
      <c r="L358" s="62" t="str">
        <f>IF(SUMIFS(TableTime[Duration],TableTime[Date],B358,TableTime[Activity],Projects!$C$9)+SUMIFS(TableTime[Duration],TableTime[Date],B358,TableTime[Activity],Projects!$C$10)+SUMIFS(TableTime[Duration],TableTime[Date],B358,TableTime[Activity],Projects!$C$11)=0,"",SUMIFS(TableTime[Duration],TableTime[Date],B358,TableTime[Activity],Projects!$C$9)+SUMIFS(TableTime[Duration],TableTime[Date],B358,TableTime[Activity],Projects!$C$10)+SUMIFS(TableTime[Duration],TableTime[Date],B358,TableTime[Activity],Projects!$C$11))</f>
        <v/>
      </c>
      <c r="M358" s="62" t="str" cm="1">
        <f t="array" ref="M358">IFERROR(LOOKUP(2,1/(TableTime[Date]=B358),TableTime[Time]),"")</f>
        <v/>
      </c>
      <c r="N358" s="63" t="str">
        <f>IF(SUMIFS(TableTime[[Duration]:[Duration]],TableTime[[Date]:[Date]],$B358,TableTime[[Activity]:[Activity]],N$1)=0,"",SUMIFS(TableTime[[Duration]:[Duration]],TableTime[[Date]:[Date]],$B358,TableTime[[Activity]:[Activity]],N$1))</f>
        <v/>
      </c>
      <c r="O358" s="62" t="str">
        <f>IF(SUMIFS(TableTime[[Duration]:[Duration]],TableTime[[Date]:[Date]],$B358,TableTime[[Activity]:[Activity]],O$1)=0,"",SUMIFS(TableTime[[Duration]:[Duration]],TableTime[[Date]:[Date]],$B358,TableTime[[Activity]:[Activity]],O$1))</f>
        <v/>
      </c>
      <c r="P358" s="62" t="str">
        <f>IF(SUMIFS(TableTime[[Duration]:[Duration]],TableTime[[Date]:[Date]],$B358,TableTime[[Activity]:[Activity]],P$1)=0,"",SUMIFS(TableTime[[Duration]:[Duration]],TableTime[[Date]:[Date]],$B358,TableTime[[Activity]:[Activity]],P$1))</f>
        <v/>
      </c>
      <c r="Q358" s="62" t="str">
        <f>IF(SUMIFS(TableTime[[Duration]:[Duration]],TableTime[[Date]:[Date]],$B358,TableTime[[Activity]:[Activity]],Q$1)=0,"",SUMIFS(TableTime[[Duration]:[Duration]],TableTime[[Date]:[Date]],$B358,TableTime[[Activity]:[Activity]],Q$1))</f>
        <v/>
      </c>
      <c r="R358" s="62" t="str">
        <f>IF(SUMIFS(TableTime[[Duration]:[Duration]],TableTime[[Date]:[Date]],$B358,TableTime[[Activity]:[Activity]],R$1)=0,"",SUMIFS(TableTime[[Duration]:[Duration]],TableTime[[Date]:[Date]],$B358,TableTime[[Activity]:[Activity]],R$1))</f>
        <v/>
      </c>
      <c r="S358" s="131" t="str">
        <f>IF(SUMIFS(TableTime[[Duration]:[Duration]],TableTime[[Date]:[Date]],$B358,TableTime[[Activity]:[Activity]],S$1)=0,"",SUMIFS(TableTime[[Duration]:[Duration]],TableTime[[Date]:[Date]],$B358,TableTime[[Activity]:[Activity]],S$1))</f>
        <v/>
      </c>
      <c r="T358" s="62" t="str">
        <f>IF(SUMIFS(TableTime[[Duration]:[Duration]],TableTime[[Date]:[Date]],$B358,TableTime[[Activity]:[Activity]],T$1)=0,"",SUMIFS(TableTime[[Duration]:[Duration]],TableTime[[Date]:[Date]],$B358,TableTime[[Activity]:[Activity]],T$1))</f>
        <v/>
      </c>
      <c r="U358" s="64" t="str">
        <f>IF(SUMIFS(TableTime[[Duration]:[Duration]],TableTime[[Date]:[Date]],$B358,TableTime[[Activity]:[Activity]],U$1)=0,"",SUMIFS(TableTime[[Duration]:[Duration]],TableTime[[Date]:[Date]],$B358,TableTime[[Activity]:[Activity]],U$1))</f>
        <v/>
      </c>
    </row>
    <row r="359" spans="1:21" x14ac:dyDescent="0.35">
      <c r="A359" s="35" t="str">
        <f t="shared" si="30"/>
        <v>Sun</v>
      </c>
      <c r="B359" s="5">
        <f t="shared" si="32"/>
        <v>45284</v>
      </c>
      <c r="C359" s="1">
        <f t="shared" si="33"/>
        <v>12</v>
      </c>
      <c r="D359" s="2">
        <f t="shared" si="31"/>
        <v>51</v>
      </c>
      <c r="E359" s="102"/>
      <c r="F359" s="1" t="str">
        <f>IFERROR(IF(OR(WEEKDAY(B359,2)=6,WEEKDAY(B359,2)=7),'Month summary'!$D$11,IF(E359="",'Month summary'!$C$11,E359)),"")</f>
        <v>WE</v>
      </c>
      <c r="G359" s="4">
        <f>IF(B359&lt;Time!$B$2,"",IF(F359='Month summary'!$C$11,'Month summary'!$F$2/24,IF(F359="H/2",'Month summary'!$F$2/24/2,0)))</f>
        <v>0</v>
      </c>
      <c r="H359" s="4">
        <f t="shared" si="34"/>
        <v>0</v>
      </c>
      <c r="I359" s="4" t="str">
        <f t="shared" si="35"/>
        <v/>
      </c>
      <c r="J359" s="107"/>
      <c r="K359" s="38" t="str">
        <f>IFERROR(INDEX(TableTime[Time],MATCH(B359,TableTime[Date],0)),"")</f>
        <v/>
      </c>
      <c r="L359" s="4" t="str">
        <f>IF(SUMIFS(TableTime[Duration],TableTime[Date],B359,TableTime[Activity],Projects!$C$9)+SUMIFS(TableTime[Duration],TableTime[Date],B359,TableTime[Activity],Projects!$C$10)+SUMIFS(TableTime[Duration],TableTime[Date],B359,TableTime[Activity],Projects!$C$11)=0,"",SUMIFS(TableTime[Duration],TableTime[Date],B359,TableTime[Activity],Projects!$C$9)+SUMIFS(TableTime[Duration],TableTime[Date],B359,TableTime[Activity],Projects!$C$10)+SUMIFS(TableTime[Duration],TableTime[Date],B359,TableTime[Activity],Projects!$C$11))</f>
        <v/>
      </c>
      <c r="M359" s="4" t="str" cm="1">
        <f t="array" ref="M359">IFERROR(LOOKUP(2,1/(TableTime[Date]=B359),TableTime[Time]),"")</f>
        <v/>
      </c>
      <c r="N359" s="38" t="str">
        <f>IF(SUMIFS(TableTime[[Duration]:[Duration]],TableTime[[Date]:[Date]],$B359,TableTime[[Activity]:[Activity]],N$1)=0,"",SUMIFS(TableTime[[Duration]:[Duration]],TableTime[[Date]:[Date]],$B359,TableTime[[Activity]:[Activity]],N$1))</f>
        <v/>
      </c>
      <c r="O359" s="4" t="str">
        <f>IF(SUMIFS(TableTime[[Duration]:[Duration]],TableTime[[Date]:[Date]],$B359,TableTime[[Activity]:[Activity]],O$1)=0,"",SUMIFS(TableTime[[Duration]:[Duration]],TableTime[[Date]:[Date]],$B359,TableTime[[Activity]:[Activity]],O$1))</f>
        <v/>
      </c>
      <c r="P359" s="4" t="str">
        <f>IF(SUMIFS(TableTime[[Duration]:[Duration]],TableTime[[Date]:[Date]],$B359,TableTime[[Activity]:[Activity]],P$1)=0,"",SUMIFS(TableTime[[Duration]:[Duration]],TableTime[[Date]:[Date]],$B359,TableTime[[Activity]:[Activity]],P$1))</f>
        <v/>
      </c>
      <c r="Q359" s="4" t="str">
        <f>IF(SUMIFS(TableTime[[Duration]:[Duration]],TableTime[[Date]:[Date]],$B359,TableTime[[Activity]:[Activity]],Q$1)=0,"",SUMIFS(TableTime[[Duration]:[Duration]],TableTime[[Date]:[Date]],$B359,TableTime[[Activity]:[Activity]],Q$1))</f>
        <v/>
      </c>
      <c r="R359" s="4" t="str">
        <f>IF(SUMIFS(TableTime[[Duration]:[Duration]],TableTime[[Date]:[Date]],$B359,TableTime[[Activity]:[Activity]],R$1)=0,"",SUMIFS(TableTime[[Duration]:[Duration]],TableTime[[Date]:[Date]],$B359,TableTime[[Activity]:[Activity]],R$1))</f>
        <v/>
      </c>
      <c r="S359" s="130" t="str">
        <f>IF(SUMIFS(TableTime[[Duration]:[Duration]],TableTime[[Date]:[Date]],$B359,TableTime[[Activity]:[Activity]],S$1)=0,"",SUMIFS(TableTime[[Duration]:[Duration]],TableTime[[Date]:[Date]],$B359,TableTime[[Activity]:[Activity]],S$1))</f>
        <v/>
      </c>
      <c r="T359" s="4" t="str">
        <f>IF(SUMIFS(TableTime[[Duration]:[Duration]],TableTime[[Date]:[Date]],$B359,TableTime[[Activity]:[Activity]],T$1)=0,"",SUMIFS(TableTime[[Duration]:[Duration]],TableTime[[Date]:[Date]],$B359,TableTime[[Activity]:[Activity]],T$1))</f>
        <v/>
      </c>
      <c r="U359" s="39" t="str">
        <f>IF(SUMIFS(TableTime[[Duration]:[Duration]],TableTime[[Date]:[Date]],$B359,TableTime[[Activity]:[Activity]],U$1)=0,"",SUMIFS(TableTime[[Duration]:[Duration]],TableTime[[Date]:[Date]],$B359,TableTime[[Activity]:[Activity]],U$1))</f>
        <v/>
      </c>
    </row>
    <row r="360" spans="1:21" x14ac:dyDescent="0.35">
      <c r="A360" s="59" t="str">
        <f t="shared" si="30"/>
        <v>Mon</v>
      </c>
      <c r="B360" s="91">
        <f t="shared" si="32"/>
        <v>45285</v>
      </c>
      <c r="C360" s="60">
        <f t="shared" si="33"/>
        <v>12</v>
      </c>
      <c r="D360" s="61">
        <f t="shared" si="31"/>
        <v>52</v>
      </c>
      <c r="E360" s="103" t="s">
        <v>19</v>
      </c>
      <c r="F360" s="60" t="str">
        <f>IFERROR(IF(OR(WEEKDAY(B360,2)=6,WEEKDAY(B360,2)=7),'Month summary'!$D$11,IF(E360="",'Month summary'!$C$11,E360)),"")</f>
        <v>PH</v>
      </c>
      <c r="G360" s="62">
        <f>IF(B360&lt;Time!$B$2,"",IF(F360='Month summary'!$C$11,'Month summary'!$F$2/24,IF(F360="H/2",'Month summary'!$F$2/24/2,0)))</f>
        <v>0</v>
      </c>
      <c r="H360" s="62">
        <f t="shared" si="34"/>
        <v>0</v>
      </c>
      <c r="I360" s="62" t="str">
        <f t="shared" si="35"/>
        <v/>
      </c>
      <c r="J360" s="108" t="s">
        <v>20</v>
      </c>
      <c r="K360" s="63" t="str">
        <f>IFERROR(INDEX(TableTime[Time],MATCH(B360,TableTime[Date],0)),"")</f>
        <v/>
      </c>
      <c r="L360" s="62" t="str">
        <f>IF(SUMIFS(TableTime[Duration],TableTime[Date],B360,TableTime[Activity],Projects!$C$9)+SUMIFS(TableTime[Duration],TableTime[Date],B360,TableTime[Activity],Projects!$C$10)+SUMIFS(TableTime[Duration],TableTime[Date],B360,TableTime[Activity],Projects!$C$11)=0,"",SUMIFS(TableTime[Duration],TableTime[Date],B360,TableTime[Activity],Projects!$C$9)+SUMIFS(TableTime[Duration],TableTime[Date],B360,TableTime[Activity],Projects!$C$10)+SUMIFS(TableTime[Duration],TableTime[Date],B360,TableTime[Activity],Projects!$C$11))</f>
        <v/>
      </c>
      <c r="M360" s="62" t="str" cm="1">
        <f t="array" ref="M360">IFERROR(LOOKUP(2,1/(TableTime[Date]=B360),TableTime[Time]),"")</f>
        <v/>
      </c>
      <c r="N360" s="63" t="str">
        <f>IF(SUMIFS(TableTime[[Duration]:[Duration]],TableTime[[Date]:[Date]],$B360,TableTime[[Activity]:[Activity]],N$1)=0,"",SUMIFS(TableTime[[Duration]:[Duration]],TableTime[[Date]:[Date]],$B360,TableTime[[Activity]:[Activity]],N$1))</f>
        <v/>
      </c>
      <c r="O360" s="62" t="str">
        <f>IF(SUMIFS(TableTime[[Duration]:[Duration]],TableTime[[Date]:[Date]],$B360,TableTime[[Activity]:[Activity]],O$1)=0,"",SUMIFS(TableTime[[Duration]:[Duration]],TableTime[[Date]:[Date]],$B360,TableTime[[Activity]:[Activity]],O$1))</f>
        <v/>
      </c>
      <c r="P360" s="62" t="str">
        <f>IF(SUMIFS(TableTime[[Duration]:[Duration]],TableTime[[Date]:[Date]],$B360,TableTime[[Activity]:[Activity]],P$1)=0,"",SUMIFS(TableTime[[Duration]:[Duration]],TableTime[[Date]:[Date]],$B360,TableTime[[Activity]:[Activity]],P$1))</f>
        <v/>
      </c>
      <c r="Q360" s="62" t="str">
        <f>IF(SUMIFS(TableTime[[Duration]:[Duration]],TableTime[[Date]:[Date]],$B360,TableTime[[Activity]:[Activity]],Q$1)=0,"",SUMIFS(TableTime[[Duration]:[Duration]],TableTime[[Date]:[Date]],$B360,TableTime[[Activity]:[Activity]],Q$1))</f>
        <v/>
      </c>
      <c r="R360" s="62" t="str">
        <f>IF(SUMIFS(TableTime[[Duration]:[Duration]],TableTime[[Date]:[Date]],$B360,TableTime[[Activity]:[Activity]],R$1)=0,"",SUMIFS(TableTime[[Duration]:[Duration]],TableTime[[Date]:[Date]],$B360,TableTime[[Activity]:[Activity]],R$1))</f>
        <v/>
      </c>
      <c r="S360" s="131" t="str">
        <f>IF(SUMIFS(TableTime[[Duration]:[Duration]],TableTime[[Date]:[Date]],$B360,TableTime[[Activity]:[Activity]],S$1)=0,"",SUMIFS(TableTime[[Duration]:[Duration]],TableTime[[Date]:[Date]],$B360,TableTime[[Activity]:[Activity]],S$1))</f>
        <v/>
      </c>
      <c r="T360" s="62" t="str">
        <f>IF(SUMIFS(TableTime[[Duration]:[Duration]],TableTime[[Date]:[Date]],$B360,TableTime[[Activity]:[Activity]],T$1)=0,"",SUMIFS(TableTime[[Duration]:[Duration]],TableTime[[Date]:[Date]],$B360,TableTime[[Activity]:[Activity]],T$1))</f>
        <v/>
      </c>
      <c r="U360" s="64" t="str">
        <f>IF(SUMIFS(TableTime[[Duration]:[Duration]],TableTime[[Date]:[Date]],$B360,TableTime[[Activity]:[Activity]],U$1)=0,"",SUMIFS(TableTime[[Duration]:[Duration]],TableTime[[Date]:[Date]],$B360,TableTime[[Activity]:[Activity]],U$1))</f>
        <v/>
      </c>
    </row>
    <row r="361" spans="1:21" x14ac:dyDescent="0.35">
      <c r="A361" s="35" t="str">
        <f t="shared" si="30"/>
        <v>Tue</v>
      </c>
      <c r="B361" s="5">
        <f t="shared" si="32"/>
        <v>45286</v>
      </c>
      <c r="C361" s="1">
        <f t="shared" si="33"/>
        <v>12</v>
      </c>
      <c r="D361" s="2">
        <f t="shared" si="31"/>
        <v>52</v>
      </c>
      <c r="E361" s="102" t="s">
        <v>19</v>
      </c>
      <c r="F361" s="1" t="str">
        <f>IFERROR(IF(OR(WEEKDAY(B361,2)=6,WEEKDAY(B361,2)=7),'Month summary'!$D$11,IF(E361="",'Month summary'!$C$11,E361)),"")</f>
        <v>PH</v>
      </c>
      <c r="G361" s="4">
        <f>IF(B361&lt;Time!$B$2,"",IF(F361='Month summary'!$C$11,'Month summary'!$F$2/24,IF(F361="H/2",'Month summary'!$F$2/24/2,0)))</f>
        <v>0</v>
      </c>
      <c r="H361" s="4">
        <f t="shared" si="34"/>
        <v>0</v>
      </c>
      <c r="I361" s="4" t="str">
        <f t="shared" si="35"/>
        <v/>
      </c>
      <c r="J361" s="107" t="s">
        <v>20</v>
      </c>
      <c r="K361" s="38" t="str">
        <f>IFERROR(INDEX(TableTime[Time],MATCH(B361,TableTime[Date],0)),"")</f>
        <v/>
      </c>
      <c r="L361" s="4" t="str">
        <f>IF(SUMIFS(TableTime[Duration],TableTime[Date],B361,TableTime[Activity],Projects!$C$9)+SUMIFS(TableTime[Duration],TableTime[Date],B361,TableTime[Activity],Projects!$C$10)+SUMIFS(TableTime[Duration],TableTime[Date],B361,TableTime[Activity],Projects!$C$11)=0,"",SUMIFS(TableTime[Duration],TableTime[Date],B361,TableTime[Activity],Projects!$C$9)+SUMIFS(TableTime[Duration],TableTime[Date],B361,TableTime[Activity],Projects!$C$10)+SUMIFS(TableTime[Duration],TableTime[Date],B361,TableTime[Activity],Projects!$C$11))</f>
        <v/>
      </c>
      <c r="M361" s="4" t="str" cm="1">
        <f t="array" ref="M361">IFERROR(LOOKUP(2,1/(TableTime[Date]=B361),TableTime[Time]),"")</f>
        <v/>
      </c>
      <c r="N361" s="38" t="str">
        <f>IF(SUMIFS(TableTime[[Duration]:[Duration]],TableTime[[Date]:[Date]],$B361,TableTime[[Activity]:[Activity]],N$1)=0,"",SUMIFS(TableTime[[Duration]:[Duration]],TableTime[[Date]:[Date]],$B361,TableTime[[Activity]:[Activity]],N$1))</f>
        <v/>
      </c>
      <c r="O361" s="4" t="str">
        <f>IF(SUMIFS(TableTime[[Duration]:[Duration]],TableTime[[Date]:[Date]],$B361,TableTime[[Activity]:[Activity]],O$1)=0,"",SUMIFS(TableTime[[Duration]:[Duration]],TableTime[[Date]:[Date]],$B361,TableTime[[Activity]:[Activity]],O$1))</f>
        <v/>
      </c>
      <c r="P361" s="4" t="str">
        <f>IF(SUMIFS(TableTime[[Duration]:[Duration]],TableTime[[Date]:[Date]],$B361,TableTime[[Activity]:[Activity]],P$1)=0,"",SUMIFS(TableTime[[Duration]:[Duration]],TableTime[[Date]:[Date]],$B361,TableTime[[Activity]:[Activity]],P$1))</f>
        <v/>
      </c>
      <c r="Q361" s="4" t="str">
        <f>IF(SUMIFS(TableTime[[Duration]:[Duration]],TableTime[[Date]:[Date]],$B361,TableTime[[Activity]:[Activity]],Q$1)=0,"",SUMIFS(TableTime[[Duration]:[Duration]],TableTime[[Date]:[Date]],$B361,TableTime[[Activity]:[Activity]],Q$1))</f>
        <v/>
      </c>
      <c r="R361" s="4" t="str">
        <f>IF(SUMIFS(TableTime[[Duration]:[Duration]],TableTime[[Date]:[Date]],$B361,TableTime[[Activity]:[Activity]],R$1)=0,"",SUMIFS(TableTime[[Duration]:[Duration]],TableTime[[Date]:[Date]],$B361,TableTime[[Activity]:[Activity]],R$1))</f>
        <v/>
      </c>
      <c r="S361" s="130" t="str">
        <f>IF(SUMIFS(TableTime[[Duration]:[Duration]],TableTime[[Date]:[Date]],$B361,TableTime[[Activity]:[Activity]],S$1)=0,"",SUMIFS(TableTime[[Duration]:[Duration]],TableTime[[Date]:[Date]],$B361,TableTime[[Activity]:[Activity]],S$1))</f>
        <v/>
      </c>
      <c r="T361" s="4" t="str">
        <f>IF(SUMIFS(TableTime[[Duration]:[Duration]],TableTime[[Date]:[Date]],$B361,TableTime[[Activity]:[Activity]],T$1)=0,"",SUMIFS(TableTime[[Duration]:[Duration]],TableTime[[Date]:[Date]],$B361,TableTime[[Activity]:[Activity]],T$1))</f>
        <v/>
      </c>
      <c r="U361" s="39" t="str">
        <f>IF(SUMIFS(TableTime[[Duration]:[Duration]],TableTime[[Date]:[Date]],$B361,TableTime[[Activity]:[Activity]],U$1)=0,"",SUMIFS(TableTime[[Duration]:[Duration]],TableTime[[Date]:[Date]],$B361,TableTime[[Activity]:[Activity]],U$1))</f>
        <v/>
      </c>
    </row>
    <row r="362" spans="1:21" x14ac:dyDescent="0.35">
      <c r="A362" s="59" t="str">
        <f t="shared" si="30"/>
        <v>Wed</v>
      </c>
      <c r="B362" s="91">
        <f t="shared" si="32"/>
        <v>45287</v>
      </c>
      <c r="C362" s="60">
        <f t="shared" si="33"/>
        <v>12</v>
      </c>
      <c r="D362" s="61">
        <f t="shared" si="31"/>
        <v>52</v>
      </c>
      <c r="E362" s="103" t="s">
        <v>19</v>
      </c>
      <c r="F362" s="60" t="str">
        <f>IFERROR(IF(OR(WEEKDAY(B362,2)=6,WEEKDAY(B362,2)=7),'Month summary'!$D$11,IF(E362="",'Month summary'!$C$11,E362)),"")</f>
        <v>PH</v>
      </c>
      <c r="G362" s="62">
        <f>IF(B362&lt;Time!$B$2,"",IF(F362='Month summary'!$C$11,'Month summary'!$F$2/24,IF(F362="H/2",'Month summary'!$F$2/24/2,0)))</f>
        <v>0</v>
      </c>
      <c r="H362" s="62">
        <f t="shared" si="34"/>
        <v>0</v>
      </c>
      <c r="I362" s="62" t="str">
        <f t="shared" si="35"/>
        <v/>
      </c>
      <c r="J362" s="108" t="s">
        <v>20</v>
      </c>
      <c r="K362" s="63" t="str">
        <f>IFERROR(INDEX(TableTime[Time],MATCH(B362,TableTime[Date],0)),"")</f>
        <v/>
      </c>
      <c r="L362" s="62" t="str">
        <f>IF(SUMIFS(TableTime[Duration],TableTime[Date],B362,TableTime[Activity],Projects!$C$9)+SUMIFS(TableTime[Duration],TableTime[Date],B362,TableTime[Activity],Projects!$C$10)+SUMIFS(TableTime[Duration],TableTime[Date],B362,TableTime[Activity],Projects!$C$11)=0,"",SUMIFS(TableTime[Duration],TableTime[Date],B362,TableTime[Activity],Projects!$C$9)+SUMIFS(TableTime[Duration],TableTime[Date],B362,TableTime[Activity],Projects!$C$10)+SUMIFS(TableTime[Duration],TableTime[Date],B362,TableTime[Activity],Projects!$C$11))</f>
        <v/>
      </c>
      <c r="M362" s="62" t="str" cm="1">
        <f t="array" ref="M362">IFERROR(LOOKUP(2,1/(TableTime[Date]=B362),TableTime[Time]),"")</f>
        <v/>
      </c>
      <c r="N362" s="63" t="str">
        <f>IF(SUMIFS(TableTime[[Duration]:[Duration]],TableTime[[Date]:[Date]],$B362,TableTime[[Activity]:[Activity]],N$1)=0,"",SUMIFS(TableTime[[Duration]:[Duration]],TableTime[[Date]:[Date]],$B362,TableTime[[Activity]:[Activity]],N$1))</f>
        <v/>
      </c>
      <c r="O362" s="62" t="str">
        <f>IF(SUMIFS(TableTime[[Duration]:[Duration]],TableTime[[Date]:[Date]],$B362,TableTime[[Activity]:[Activity]],O$1)=0,"",SUMIFS(TableTime[[Duration]:[Duration]],TableTime[[Date]:[Date]],$B362,TableTime[[Activity]:[Activity]],O$1))</f>
        <v/>
      </c>
      <c r="P362" s="62" t="str">
        <f>IF(SUMIFS(TableTime[[Duration]:[Duration]],TableTime[[Date]:[Date]],$B362,TableTime[[Activity]:[Activity]],P$1)=0,"",SUMIFS(TableTime[[Duration]:[Duration]],TableTime[[Date]:[Date]],$B362,TableTime[[Activity]:[Activity]],P$1))</f>
        <v/>
      </c>
      <c r="Q362" s="62" t="str">
        <f>IF(SUMIFS(TableTime[[Duration]:[Duration]],TableTime[[Date]:[Date]],$B362,TableTime[[Activity]:[Activity]],Q$1)=0,"",SUMIFS(TableTime[[Duration]:[Duration]],TableTime[[Date]:[Date]],$B362,TableTime[[Activity]:[Activity]],Q$1))</f>
        <v/>
      </c>
      <c r="R362" s="62" t="str">
        <f>IF(SUMIFS(TableTime[[Duration]:[Duration]],TableTime[[Date]:[Date]],$B362,TableTime[[Activity]:[Activity]],R$1)=0,"",SUMIFS(TableTime[[Duration]:[Duration]],TableTime[[Date]:[Date]],$B362,TableTime[[Activity]:[Activity]],R$1))</f>
        <v/>
      </c>
      <c r="S362" s="131" t="str">
        <f>IF(SUMIFS(TableTime[[Duration]:[Duration]],TableTime[[Date]:[Date]],$B362,TableTime[[Activity]:[Activity]],S$1)=0,"",SUMIFS(TableTime[[Duration]:[Duration]],TableTime[[Date]:[Date]],$B362,TableTime[[Activity]:[Activity]],S$1))</f>
        <v/>
      </c>
      <c r="T362" s="62" t="str">
        <f>IF(SUMIFS(TableTime[[Duration]:[Duration]],TableTime[[Date]:[Date]],$B362,TableTime[[Activity]:[Activity]],T$1)=0,"",SUMIFS(TableTime[[Duration]:[Duration]],TableTime[[Date]:[Date]],$B362,TableTime[[Activity]:[Activity]],T$1))</f>
        <v/>
      </c>
      <c r="U362" s="64" t="str">
        <f>IF(SUMIFS(TableTime[[Duration]:[Duration]],TableTime[[Date]:[Date]],$B362,TableTime[[Activity]:[Activity]],U$1)=0,"",SUMIFS(TableTime[[Duration]:[Duration]],TableTime[[Date]:[Date]],$B362,TableTime[[Activity]:[Activity]],U$1))</f>
        <v/>
      </c>
    </row>
    <row r="363" spans="1:21" x14ac:dyDescent="0.35">
      <c r="A363" s="35" t="str">
        <f t="shared" si="30"/>
        <v>Thr</v>
      </c>
      <c r="B363" s="5">
        <f t="shared" si="32"/>
        <v>45288</v>
      </c>
      <c r="C363" s="1">
        <f t="shared" si="33"/>
        <v>12</v>
      </c>
      <c r="D363" s="2">
        <f t="shared" si="31"/>
        <v>52</v>
      </c>
      <c r="E363" s="102" t="s">
        <v>19</v>
      </c>
      <c r="F363" s="1" t="str">
        <f>IFERROR(IF(OR(WEEKDAY(B363,2)=6,WEEKDAY(B363,2)=7),'Month summary'!$D$11,IF(E363="",'Month summary'!$C$11,E363)),"")</f>
        <v>PH</v>
      </c>
      <c r="G363" s="4">
        <f>IF(B363&lt;Time!$B$2,"",IF(F363='Month summary'!$C$11,'Month summary'!$F$2/24,IF(F363="H/2",'Month summary'!$F$2/24/2,0)))</f>
        <v>0</v>
      </c>
      <c r="H363" s="4">
        <f t="shared" si="34"/>
        <v>0</v>
      </c>
      <c r="I363" s="4" t="str">
        <f t="shared" si="35"/>
        <v/>
      </c>
      <c r="J363" s="107" t="s">
        <v>20</v>
      </c>
      <c r="K363" s="38" t="str">
        <f>IFERROR(INDEX(TableTime[Time],MATCH(B363,TableTime[Date],0)),"")</f>
        <v/>
      </c>
      <c r="L363" s="4" t="str">
        <f>IF(SUMIFS(TableTime[Duration],TableTime[Date],B363,TableTime[Activity],Projects!$C$9)+SUMIFS(TableTime[Duration],TableTime[Date],B363,TableTime[Activity],Projects!$C$10)+SUMIFS(TableTime[Duration],TableTime[Date],B363,TableTime[Activity],Projects!$C$11)=0,"",SUMIFS(TableTime[Duration],TableTime[Date],B363,TableTime[Activity],Projects!$C$9)+SUMIFS(TableTime[Duration],TableTime[Date],B363,TableTime[Activity],Projects!$C$10)+SUMIFS(TableTime[Duration],TableTime[Date],B363,TableTime[Activity],Projects!$C$11))</f>
        <v/>
      </c>
      <c r="M363" s="4" t="str" cm="1">
        <f t="array" ref="M363">IFERROR(LOOKUP(2,1/(TableTime[Date]=B363),TableTime[Time]),"")</f>
        <v/>
      </c>
      <c r="N363" s="38" t="str">
        <f>IF(SUMIFS(TableTime[[Duration]:[Duration]],TableTime[[Date]:[Date]],$B363,TableTime[[Activity]:[Activity]],N$1)=0,"",SUMIFS(TableTime[[Duration]:[Duration]],TableTime[[Date]:[Date]],$B363,TableTime[[Activity]:[Activity]],N$1))</f>
        <v/>
      </c>
      <c r="O363" s="4" t="str">
        <f>IF(SUMIFS(TableTime[[Duration]:[Duration]],TableTime[[Date]:[Date]],$B363,TableTime[[Activity]:[Activity]],O$1)=0,"",SUMIFS(TableTime[[Duration]:[Duration]],TableTime[[Date]:[Date]],$B363,TableTime[[Activity]:[Activity]],O$1))</f>
        <v/>
      </c>
      <c r="P363" s="4" t="str">
        <f>IF(SUMIFS(TableTime[[Duration]:[Duration]],TableTime[[Date]:[Date]],$B363,TableTime[[Activity]:[Activity]],P$1)=0,"",SUMIFS(TableTime[[Duration]:[Duration]],TableTime[[Date]:[Date]],$B363,TableTime[[Activity]:[Activity]],P$1))</f>
        <v/>
      </c>
      <c r="Q363" s="4" t="str">
        <f>IF(SUMIFS(TableTime[[Duration]:[Duration]],TableTime[[Date]:[Date]],$B363,TableTime[[Activity]:[Activity]],Q$1)=0,"",SUMIFS(TableTime[[Duration]:[Duration]],TableTime[[Date]:[Date]],$B363,TableTime[[Activity]:[Activity]],Q$1))</f>
        <v/>
      </c>
      <c r="R363" s="4" t="str">
        <f>IF(SUMIFS(TableTime[[Duration]:[Duration]],TableTime[[Date]:[Date]],$B363,TableTime[[Activity]:[Activity]],R$1)=0,"",SUMIFS(TableTime[[Duration]:[Duration]],TableTime[[Date]:[Date]],$B363,TableTime[[Activity]:[Activity]],R$1))</f>
        <v/>
      </c>
      <c r="S363" s="130" t="str">
        <f>IF(SUMIFS(TableTime[[Duration]:[Duration]],TableTime[[Date]:[Date]],$B363,TableTime[[Activity]:[Activity]],S$1)=0,"",SUMIFS(TableTime[[Duration]:[Duration]],TableTime[[Date]:[Date]],$B363,TableTime[[Activity]:[Activity]],S$1))</f>
        <v/>
      </c>
      <c r="T363" s="4" t="str">
        <f>IF(SUMIFS(TableTime[[Duration]:[Duration]],TableTime[[Date]:[Date]],$B363,TableTime[[Activity]:[Activity]],T$1)=0,"",SUMIFS(TableTime[[Duration]:[Duration]],TableTime[[Date]:[Date]],$B363,TableTime[[Activity]:[Activity]],T$1))</f>
        <v/>
      </c>
      <c r="U363" s="39" t="str">
        <f>IF(SUMIFS(TableTime[[Duration]:[Duration]],TableTime[[Date]:[Date]],$B363,TableTime[[Activity]:[Activity]],U$1)=0,"",SUMIFS(TableTime[[Duration]:[Duration]],TableTime[[Date]:[Date]],$B363,TableTime[[Activity]:[Activity]],U$1))</f>
        <v/>
      </c>
    </row>
    <row r="364" spans="1:21" x14ac:dyDescent="0.35">
      <c r="A364" s="59" t="str">
        <f t="shared" si="30"/>
        <v>Fri</v>
      </c>
      <c r="B364" s="91">
        <f t="shared" si="32"/>
        <v>45289</v>
      </c>
      <c r="C364" s="60">
        <f t="shared" si="33"/>
        <v>12</v>
      </c>
      <c r="D364" s="61">
        <f t="shared" si="31"/>
        <v>52</v>
      </c>
      <c r="E364" s="103" t="s">
        <v>19</v>
      </c>
      <c r="F364" s="60" t="str">
        <f>IFERROR(IF(OR(WEEKDAY(B364,2)=6,WEEKDAY(B364,2)=7),'Month summary'!$D$11,IF(E364="",'Month summary'!$C$11,E364)),"")</f>
        <v>PH</v>
      </c>
      <c r="G364" s="62">
        <f>IF(B364&lt;Time!$B$2,"",IF(F364='Month summary'!$C$11,'Month summary'!$F$2/24,IF(F364="H/2",'Month summary'!$F$2/24/2,0)))</f>
        <v>0</v>
      </c>
      <c r="H364" s="62">
        <f t="shared" si="34"/>
        <v>0</v>
      </c>
      <c r="I364" s="62" t="str">
        <f t="shared" si="35"/>
        <v/>
      </c>
      <c r="J364" s="108" t="s">
        <v>20</v>
      </c>
      <c r="K364" s="63" t="str">
        <f>IFERROR(INDEX(TableTime[Time],MATCH(B364,TableTime[Date],0)),"")</f>
        <v/>
      </c>
      <c r="L364" s="62" t="str">
        <f>IF(SUMIFS(TableTime[Duration],TableTime[Date],B364,TableTime[Activity],Projects!$C$9)+SUMIFS(TableTime[Duration],TableTime[Date],B364,TableTime[Activity],Projects!$C$10)+SUMIFS(TableTime[Duration],TableTime[Date],B364,TableTime[Activity],Projects!$C$11)=0,"",SUMIFS(TableTime[Duration],TableTime[Date],B364,TableTime[Activity],Projects!$C$9)+SUMIFS(TableTime[Duration],TableTime[Date],B364,TableTime[Activity],Projects!$C$10)+SUMIFS(TableTime[Duration],TableTime[Date],B364,TableTime[Activity],Projects!$C$11))</f>
        <v/>
      </c>
      <c r="M364" s="62" t="str" cm="1">
        <f t="array" ref="M364">IFERROR(LOOKUP(2,1/(TableTime[Date]=B364),TableTime[Time]),"")</f>
        <v/>
      </c>
      <c r="N364" s="63" t="str">
        <f>IF(SUMIFS(TableTime[[Duration]:[Duration]],TableTime[[Date]:[Date]],$B364,TableTime[[Activity]:[Activity]],N$1)=0,"",SUMIFS(TableTime[[Duration]:[Duration]],TableTime[[Date]:[Date]],$B364,TableTime[[Activity]:[Activity]],N$1))</f>
        <v/>
      </c>
      <c r="O364" s="62" t="str">
        <f>IF(SUMIFS(TableTime[[Duration]:[Duration]],TableTime[[Date]:[Date]],$B364,TableTime[[Activity]:[Activity]],O$1)=0,"",SUMIFS(TableTime[[Duration]:[Duration]],TableTime[[Date]:[Date]],$B364,TableTime[[Activity]:[Activity]],O$1))</f>
        <v/>
      </c>
      <c r="P364" s="62" t="str">
        <f>IF(SUMIFS(TableTime[[Duration]:[Duration]],TableTime[[Date]:[Date]],$B364,TableTime[[Activity]:[Activity]],P$1)=0,"",SUMIFS(TableTime[[Duration]:[Duration]],TableTime[[Date]:[Date]],$B364,TableTime[[Activity]:[Activity]],P$1))</f>
        <v/>
      </c>
      <c r="Q364" s="62" t="str">
        <f>IF(SUMIFS(TableTime[[Duration]:[Duration]],TableTime[[Date]:[Date]],$B364,TableTime[[Activity]:[Activity]],Q$1)=0,"",SUMIFS(TableTime[[Duration]:[Duration]],TableTime[[Date]:[Date]],$B364,TableTime[[Activity]:[Activity]],Q$1))</f>
        <v/>
      </c>
      <c r="R364" s="62" t="str">
        <f>IF(SUMIFS(TableTime[[Duration]:[Duration]],TableTime[[Date]:[Date]],$B364,TableTime[[Activity]:[Activity]],R$1)=0,"",SUMIFS(TableTime[[Duration]:[Duration]],TableTime[[Date]:[Date]],$B364,TableTime[[Activity]:[Activity]],R$1))</f>
        <v/>
      </c>
      <c r="S364" s="131" t="str">
        <f>IF(SUMIFS(TableTime[[Duration]:[Duration]],TableTime[[Date]:[Date]],$B364,TableTime[[Activity]:[Activity]],S$1)=0,"",SUMIFS(TableTime[[Duration]:[Duration]],TableTime[[Date]:[Date]],$B364,TableTime[[Activity]:[Activity]],S$1))</f>
        <v/>
      </c>
      <c r="T364" s="62" t="str">
        <f>IF(SUMIFS(TableTime[[Duration]:[Duration]],TableTime[[Date]:[Date]],$B364,TableTime[[Activity]:[Activity]],T$1)=0,"",SUMIFS(TableTime[[Duration]:[Duration]],TableTime[[Date]:[Date]],$B364,TableTime[[Activity]:[Activity]],T$1))</f>
        <v/>
      </c>
      <c r="U364" s="64" t="str">
        <f>IF(SUMIFS(TableTime[[Duration]:[Duration]],TableTime[[Date]:[Date]],$B364,TableTime[[Activity]:[Activity]],U$1)=0,"",SUMIFS(TableTime[[Duration]:[Duration]],TableTime[[Date]:[Date]],$B364,TableTime[[Activity]:[Activity]],U$1))</f>
        <v/>
      </c>
    </row>
    <row r="365" spans="1:21" x14ac:dyDescent="0.35">
      <c r="A365" s="35" t="str">
        <f t="shared" si="30"/>
        <v>Sat</v>
      </c>
      <c r="B365" s="5">
        <f t="shared" si="32"/>
        <v>45290</v>
      </c>
      <c r="C365" s="1">
        <f t="shared" si="33"/>
        <v>12</v>
      </c>
      <c r="D365" s="2">
        <f t="shared" si="31"/>
        <v>52</v>
      </c>
      <c r="E365" s="102"/>
      <c r="F365" s="1" t="str">
        <f>IFERROR(IF(OR(WEEKDAY(B365,2)=6,WEEKDAY(B365,2)=7),'Month summary'!$D$11,IF(E365="",'Month summary'!$C$11,E365)),"")</f>
        <v>WE</v>
      </c>
      <c r="G365" s="4">
        <f>IF(B365&lt;Time!$B$2,"",IF(F365='Month summary'!$C$11,'Month summary'!$F$2/24,IF(F365="H/2",'Month summary'!$F$2/24/2,0)))</f>
        <v>0</v>
      </c>
      <c r="H365" s="4">
        <f t="shared" si="34"/>
        <v>0</v>
      </c>
      <c r="I365" s="4" t="str">
        <f t="shared" si="35"/>
        <v/>
      </c>
      <c r="J365" s="107"/>
      <c r="K365" s="38" t="str">
        <f>IFERROR(INDEX(TableTime[Time],MATCH(B365,TableTime[Date],0)),"")</f>
        <v/>
      </c>
      <c r="L365" s="4" t="str">
        <f>IF(SUMIFS(TableTime[Duration],TableTime[Date],B365,TableTime[Activity],Projects!$C$9)+SUMIFS(TableTime[Duration],TableTime[Date],B365,TableTime[Activity],Projects!$C$10)+SUMIFS(TableTime[Duration],TableTime[Date],B365,TableTime[Activity],Projects!$C$11)=0,"",SUMIFS(TableTime[Duration],TableTime[Date],B365,TableTime[Activity],Projects!$C$9)+SUMIFS(TableTime[Duration],TableTime[Date],B365,TableTime[Activity],Projects!$C$10)+SUMIFS(TableTime[Duration],TableTime[Date],B365,TableTime[Activity],Projects!$C$11))</f>
        <v/>
      </c>
      <c r="M365" s="4" t="str" cm="1">
        <f t="array" ref="M365">IFERROR(LOOKUP(2,1/(TableTime[Date]=B365),TableTime[Time]),"")</f>
        <v/>
      </c>
      <c r="N365" s="38" t="str">
        <f>IF(SUMIFS(TableTime[[Duration]:[Duration]],TableTime[[Date]:[Date]],$B365,TableTime[[Activity]:[Activity]],N$1)=0,"",SUMIFS(TableTime[[Duration]:[Duration]],TableTime[[Date]:[Date]],$B365,TableTime[[Activity]:[Activity]],N$1))</f>
        <v/>
      </c>
      <c r="O365" s="4" t="str">
        <f>IF(SUMIFS(TableTime[[Duration]:[Duration]],TableTime[[Date]:[Date]],$B365,TableTime[[Activity]:[Activity]],O$1)=0,"",SUMIFS(TableTime[[Duration]:[Duration]],TableTime[[Date]:[Date]],$B365,TableTime[[Activity]:[Activity]],O$1))</f>
        <v/>
      </c>
      <c r="P365" s="4" t="str">
        <f>IF(SUMIFS(TableTime[[Duration]:[Duration]],TableTime[[Date]:[Date]],$B365,TableTime[[Activity]:[Activity]],P$1)=0,"",SUMIFS(TableTime[[Duration]:[Duration]],TableTime[[Date]:[Date]],$B365,TableTime[[Activity]:[Activity]],P$1))</f>
        <v/>
      </c>
      <c r="Q365" s="4" t="str">
        <f>IF(SUMIFS(TableTime[[Duration]:[Duration]],TableTime[[Date]:[Date]],$B365,TableTime[[Activity]:[Activity]],Q$1)=0,"",SUMIFS(TableTime[[Duration]:[Duration]],TableTime[[Date]:[Date]],$B365,TableTime[[Activity]:[Activity]],Q$1))</f>
        <v/>
      </c>
      <c r="R365" s="4" t="str">
        <f>IF(SUMIFS(TableTime[[Duration]:[Duration]],TableTime[[Date]:[Date]],$B365,TableTime[[Activity]:[Activity]],R$1)=0,"",SUMIFS(TableTime[[Duration]:[Duration]],TableTime[[Date]:[Date]],$B365,TableTime[[Activity]:[Activity]],R$1))</f>
        <v/>
      </c>
      <c r="S365" s="130" t="str">
        <f>IF(SUMIFS(TableTime[[Duration]:[Duration]],TableTime[[Date]:[Date]],$B365,TableTime[[Activity]:[Activity]],S$1)=0,"",SUMIFS(TableTime[[Duration]:[Duration]],TableTime[[Date]:[Date]],$B365,TableTime[[Activity]:[Activity]],S$1))</f>
        <v/>
      </c>
      <c r="T365" s="4" t="str">
        <f>IF(SUMIFS(TableTime[[Duration]:[Duration]],TableTime[[Date]:[Date]],$B365,TableTime[[Activity]:[Activity]],T$1)=0,"",SUMIFS(TableTime[[Duration]:[Duration]],TableTime[[Date]:[Date]],$B365,TableTime[[Activity]:[Activity]],T$1))</f>
        <v/>
      </c>
      <c r="U365" s="39" t="str">
        <f>IF(SUMIFS(TableTime[[Duration]:[Duration]],TableTime[[Date]:[Date]],$B365,TableTime[[Activity]:[Activity]],U$1)=0,"",SUMIFS(TableTime[[Duration]:[Duration]],TableTime[[Date]:[Date]],$B365,TableTime[[Activity]:[Activity]],U$1))</f>
        <v/>
      </c>
    </row>
    <row r="366" spans="1:21" x14ac:dyDescent="0.35">
      <c r="A366" s="65" t="str">
        <f t="shared" ref="A366:A367" si="36">IFERROR(CHOOSE(WEEKDAY(B366,2),"Mon","Tue","Wed","Thr","Fri","Sat","Sun"),"")</f>
        <v>Sun</v>
      </c>
      <c r="B366" s="92">
        <f t="shared" si="32"/>
        <v>45291</v>
      </c>
      <c r="C366" s="66">
        <f t="shared" si="33"/>
        <v>12</v>
      </c>
      <c r="D366" s="67">
        <f t="shared" ref="D366:D367" si="37">IFERROR(WEEKNUM(B366,21),"")</f>
        <v>52</v>
      </c>
      <c r="E366" s="104"/>
      <c r="F366" s="66" t="str">
        <f>IFERROR(IF(OR(WEEKDAY(B366,2)=6,WEEKDAY(B366,2)=7),'Month summary'!$D$11,IF(E366="",'Month summary'!$C$11,E366)),"")</f>
        <v>WE</v>
      </c>
      <c r="G366" s="68">
        <f>IF(B366&lt;Time!$B$2,"",IF(F366='Month summary'!$C$11,'Month summary'!$F$2/24,IF(F366="H/2",'Month summary'!$F$2/24/2,0)))</f>
        <v>0</v>
      </c>
      <c r="H366" s="68">
        <f t="shared" si="34"/>
        <v>0</v>
      </c>
      <c r="I366" s="68" t="str">
        <f t="shared" si="35"/>
        <v/>
      </c>
      <c r="J366" s="109"/>
      <c r="K366" s="69" t="str">
        <f>IFERROR(INDEX(TableTime[Time],MATCH(B366,TableTime[Date],0)),"")</f>
        <v/>
      </c>
      <c r="L366" s="68" t="str">
        <f>IF(SUMIFS(TableTime[Duration],TableTime[Date],B366,TableTime[Activity],Projects!$C$9)+SUMIFS(TableTime[Duration],TableTime[Date],B366,TableTime[Activity],Projects!$C$10)+SUMIFS(TableTime[Duration],TableTime[Date],B366,TableTime[Activity],Projects!$C$11)=0,"",SUMIFS(TableTime[Duration],TableTime[Date],B366,TableTime[Activity],Projects!$C$9)+SUMIFS(TableTime[Duration],TableTime[Date],B366,TableTime[Activity],Projects!$C$10)+SUMIFS(TableTime[Duration],TableTime[Date],B366,TableTime[Activity],Projects!$C$11))</f>
        <v/>
      </c>
      <c r="M366" s="68" t="str" cm="1">
        <f t="array" ref="M366">IFERROR(LOOKUP(2,1/(TableTime[Date]=B366),TableTime[Time]),"")</f>
        <v/>
      </c>
      <c r="N366" s="69" t="str">
        <f>IF(SUMIFS(TableTime[[Duration]:[Duration]],TableTime[[Date]:[Date]],$B366,TableTime[[Activity]:[Activity]],N$1)=0,"",SUMIFS(TableTime[[Duration]:[Duration]],TableTime[[Date]:[Date]],$B366,TableTime[[Activity]:[Activity]],N$1))</f>
        <v/>
      </c>
      <c r="O366" s="68" t="str">
        <f>IF(SUMIFS(TableTime[[Duration]:[Duration]],TableTime[[Date]:[Date]],$B366,TableTime[[Activity]:[Activity]],O$1)=0,"",SUMIFS(TableTime[[Duration]:[Duration]],TableTime[[Date]:[Date]],$B366,TableTime[[Activity]:[Activity]],O$1))</f>
        <v/>
      </c>
      <c r="P366" s="68" t="str">
        <f>IF(SUMIFS(TableTime[[Duration]:[Duration]],TableTime[[Date]:[Date]],$B366,TableTime[[Activity]:[Activity]],P$1)=0,"",SUMIFS(TableTime[[Duration]:[Duration]],TableTime[[Date]:[Date]],$B366,TableTime[[Activity]:[Activity]],P$1))</f>
        <v/>
      </c>
      <c r="Q366" s="68" t="str">
        <f>IF(SUMIFS(TableTime[[Duration]:[Duration]],TableTime[[Date]:[Date]],$B366,TableTime[[Activity]:[Activity]],Q$1)=0,"",SUMIFS(TableTime[[Duration]:[Duration]],TableTime[[Date]:[Date]],$B366,TableTime[[Activity]:[Activity]],Q$1))</f>
        <v/>
      </c>
      <c r="R366" s="68" t="str">
        <f>IF(SUMIFS(TableTime[[Duration]:[Duration]],TableTime[[Date]:[Date]],$B366,TableTime[[Activity]:[Activity]],R$1)=0,"",SUMIFS(TableTime[[Duration]:[Duration]],TableTime[[Date]:[Date]],$B366,TableTime[[Activity]:[Activity]],R$1))</f>
        <v/>
      </c>
      <c r="S366" s="132" t="str">
        <f>IF(SUMIFS(TableTime[[Duration]:[Duration]],TableTime[[Date]:[Date]],$B366,TableTime[[Activity]:[Activity]],S$1)=0,"",SUMIFS(TableTime[[Duration]:[Duration]],TableTime[[Date]:[Date]],$B366,TableTime[[Activity]:[Activity]],S$1))</f>
        <v/>
      </c>
      <c r="T366" s="68" t="str">
        <f>IF(SUMIFS(TableTime[[Duration]:[Duration]],TableTime[[Date]:[Date]],$B366,TableTime[[Activity]:[Activity]],T$1)=0,"",SUMIFS(TableTime[[Duration]:[Duration]],TableTime[[Date]:[Date]],$B366,TableTime[[Activity]:[Activity]],T$1))</f>
        <v/>
      </c>
      <c r="U366" s="70" t="str">
        <f>IF(SUMIFS(TableTime[[Duration]:[Duration]],TableTime[[Date]:[Date]],$B366,TableTime[[Activity]:[Activity]],U$1)=0,"",SUMIFS(TableTime[[Duration]:[Duration]],TableTime[[Date]:[Date]],$B366,TableTime[[Activity]:[Activity]],U$1))</f>
        <v/>
      </c>
    </row>
    <row r="367" spans="1:21" ht="15" thickBot="1" x14ac:dyDescent="0.4">
      <c r="A367" s="71" t="str">
        <f t="shared" si="36"/>
        <v/>
      </c>
      <c r="B367" s="93" t="str">
        <f t="shared" si="32"/>
        <v/>
      </c>
      <c r="C367" s="72" t="e">
        <f t="shared" si="33"/>
        <v>#VALUE!</v>
      </c>
      <c r="D367" s="73" t="str">
        <f t="shared" si="37"/>
        <v/>
      </c>
      <c r="E367" s="105"/>
      <c r="F367" s="72" t="str">
        <f>IFERROR(IF(OR(WEEKDAY(B367,2)=6,WEEKDAY(B367,2)=7),'Month summary'!$D$11,IF(E367="",'Month summary'!$C$11,E367)),"")</f>
        <v/>
      </c>
      <c r="G367" s="74">
        <f>IF(B367&lt;Time!$B$2,"",IF(F367='Month summary'!$C$11,'Month summary'!$F$2/24,IF(F367="H/2",'Month summary'!$F$2/24/2,0)))</f>
        <v>0</v>
      </c>
      <c r="H367" s="74">
        <f t="shared" si="34"/>
        <v>0</v>
      </c>
      <c r="I367" s="74" t="str">
        <f t="shared" si="35"/>
        <v/>
      </c>
      <c r="J367" s="110"/>
      <c r="K367" s="75" t="str">
        <f>IFERROR(INDEX(TableTime[Time],MATCH(B367,TableTime[Date],0)),"")</f>
        <v/>
      </c>
      <c r="L367" s="74" t="str">
        <f>IF(SUMIFS(TableTime[Duration],TableTime[Date],B367,TableTime[Activity],Projects!$C$9)+SUMIFS(TableTime[Duration],TableTime[Date],B367,TableTime[Activity],Projects!$C$10)+SUMIFS(TableTime[Duration],TableTime[Date],B367,TableTime[Activity],Projects!$C$11)=0,"",SUMIFS(TableTime[Duration],TableTime[Date],B367,TableTime[Activity],Projects!$C$9)+SUMIFS(TableTime[Duration],TableTime[Date],B367,TableTime[Activity],Projects!$C$10)+SUMIFS(TableTime[Duration],TableTime[Date],B367,TableTime[Activity],Projects!$C$11))</f>
        <v/>
      </c>
      <c r="M367" s="74" t="str" cm="1">
        <f t="array" ref="M367">IFERROR(LOOKUP(2,1/(TableTime[Date]=B367),TableTime[Time]),"")</f>
        <v/>
      </c>
      <c r="N367" s="75" t="str">
        <f>IF(SUMIFS(TableTime[[Duration]:[Duration]],TableTime[[Date]:[Date]],$B367,TableTime[[Activity]:[Activity]],N$1)=0,"",SUMIFS(TableTime[[Duration]:[Duration]],TableTime[[Date]:[Date]],$B367,TableTime[[Activity]:[Activity]],N$1))</f>
        <v/>
      </c>
      <c r="O367" s="74" t="str">
        <f>IF(SUMIFS(TableTime[[Duration]:[Duration]],TableTime[[Date]:[Date]],$B367,TableTime[[Activity]:[Activity]],O$1)=0,"",SUMIFS(TableTime[[Duration]:[Duration]],TableTime[[Date]:[Date]],$B367,TableTime[[Activity]:[Activity]],O$1))</f>
        <v/>
      </c>
      <c r="P367" s="74" t="str">
        <f>IF(SUMIFS(TableTime[[Duration]:[Duration]],TableTime[[Date]:[Date]],$B367,TableTime[[Activity]:[Activity]],P$1)=0,"",SUMIFS(TableTime[[Duration]:[Duration]],TableTime[[Date]:[Date]],$B367,TableTime[[Activity]:[Activity]],P$1))</f>
        <v/>
      </c>
      <c r="Q367" s="74" t="str">
        <f>IF(SUMIFS(TableTime[[Duration]:[Duration]],TableTime[[Date]:[Date]],$B367,TableTime[[Activity]:[Activity]],Q$1)=0,"",SUMIFS(TableTime[[Duration]:[Duration]],TableTime[[Date]:[Date]],$B367,TableTime[[Activity]:[Activity]],Q$1))</f>
        <v/>
      </c>
      <c r="R367" s="74" t="str">
        <f>IF(SUMIFS(TableTime[[Duration]:[Duration]],TableTime[[Date]:[Date]],$B367,TableTime[[Activity]:[Activity]],R$1)=0,"",SUMIFS(TableTime[[Duration]:[Duration]],TableTime[[Date]:[Date]],$B367,TableTime[[Activity]:[Activity]],R$1))</f>
        <v/>
      </c>
      <c r="S367" s="133" t="str">
        <f>IF(SUMIFS(TableTime[[Duration]:[Duration]],TableTime[[Date]:[Date]],$B367,TableTime[[Activity]:[Activity]],S$1)=0,"",SUMIFS(TableTime[[Duration]:[Duration]],TableTime[[Date]:[Date]],$B367,TableTime[[Activity]:[Activity]],S$1))</f>
        <v/>
      </c>
      <c r="T367" s="74" t="str">
        <f>IF(SUMIFS(TableTime[[Duration]:[Duration]],TableTime[[Date]:[Date]],$B367,TableTime[[Activity]:[Activity]],T$1)=0,"",SUMIFS(TableTime[[Duration]:[Duration]],TableTime[[Date]:[Date]],$B367,TableTime[[Activity]:[Activity]],T$1))</f>
        <v/>
      </c>
      <c r="U367" s="76" t="str">
        <f>IF(SUMIFS(TableTime[[Duration]:[Duration]],TableTime[[Date]:[Date]],$B367,TableTime[[Activity]:[Activity]],U$1)=0,"",SUMIFS(TableTime[[Duration]:[Duration]],TableTime[[Date]:[Date]],$B367,TableTime[[Activity]:[Activity]],U$1))</f>
        <v/>
      </c>
    </row>
  </sheetData>
  <sheetProtection sheet="1" objects="1" scenarios="1" selectLockedCells="1"/>
  <conditionalFormatting sqref="E2:E367">
    <cfRule type="cellIs" dxfId="37" priority="30" operator="equal">
      <formula>"H"</formula>
    </cfRule>
    <cfRule type="cellIs" dxfId="36" priority="32" operator="equal">
      <formula>"H/2"</formula>
    </cfRule>
    <cfRule type="cellIs" dxfId="35" priority="33" operator="equal">
      <formula>"PH"</formula>
    </cfRule>
    <cfRule type="cellIs" dxfId="34" priority="34" operator="equal">
      <formula>"DO"</formula>
    </cfRule>
    <cfRule type="cellIs" dxfId="33" priority="35" operator="equal">
      <formula>"FT"</formula>
    </cfRule>
    <cfRule type="cellIs" dxfId="32" priority="36" operator="equal">
      <formula>"S"</formula>
    </cfRule>
  </conditionalFormatting>
  <conditionalFormatting sqref="B2:B367">
    <cfRule type="timePeriod" dxfId="31" priority="5" timePeriod="today">
      <formula>FLOOR(B2,1)=TODAY()</formula>
    </cfRule>
    <cfRule type="cellIs" dxfId="30" priority="18" operator="between">
      <formula>DATE(Year,12,1)</formula>
      <formula>DATE(Year,12,31)</formula>
    </cfRule>
    <cfRule type="cellIs" dxfId="29" priority="19" operator="between">
      <formula>DATE(Year,11,1)</formula>
      <formula>DATE(Year,11,30)</formula>
    </cfRule>
    <cfRule type="cellIs" dxfId="28" priority="20" operator="between">
      <formula>DATE(Year,10,1)</formula>
      <formula>DATE(Year,10,31)</formula>
    </cfRule>
    <cfRule type="cellIs" dxfId="27" priority="21" operator="between">
      <formula>DATE(Year,9,1)</formula>
      <formula>DATE(Year,9,30)</formula>
    </cfRule>
    <cfRule type="cellIs" dxfId="26" priority="22" operator="between">
      <formula>DATE(Year,8,1)</formula>
      <formula>DATE(Year,8,31)</formula>
    </cfRule>
    <cfRule type="cellIs" dxfId="25" priority="23" operator="between">
      <formula>DATE(Year,7,1)</formula>
      <formula>DATE(Year,7,31)</formula>
    </cfRule>
    <cfRule type="cellIs" dxfId="24" priority="24" operator="between">
      <formula>DATE(Year,6,1)</formula>
      <formula>DATE(Year,6,30)</formula>
    </cfRule>
    <cfRule type="cellIs" dxfId="23" priority="25" operator="between">
      <formula>DATE(Year,5,1)</formula>
      <formula>DATE(Year,5,31)</formula>
    </cfRule>
    <cfRule type="cellIs" dxfId="22" priority="26" operator="between">
      <formula>DATE(Year,4,1)</formula>
      <formula>DATE(Year,4,30)</formula>
    </cfRule>
    <cfRule type="cellIs" dxfId="21" priority="27" operator="between">
      <formula>DATE(Year,3,1)</formula>
      <formula>DATE(Year,3,31)</formula>
    </cfRule>
    <cfRule type="cellIs" dxfId="20" priority="28" operator="between">
      <formula>DATE(Year,2,1)</formula>
      <formula>DATE(Year,2,29)</formula>
    </cfRule>
    <cfRule type="cellIs" dxfId="19" priority="29" operator="between">
      <formula>DATE(Year,1,1)</formula>
      <formula>DATE(Year,1,31)</formula>
    </cfRule>
  </conditionalFormatting>
  <conditionalFormatting sqref="I2:I367">
    <cfRule type="dataBar" priority="4">
      <dataBar>
        <cfvo type="num" val="0"/>
        <cfvo type="max"/>
        <color theme="9" tint="0.59999389629810485"/>
      </dataBar>
      <extLst>
        <ext xmlns:x14="http://schemas.microsoft.com/office/spreadsheetml/2009/9/main" uri="{B025F937-C7B1-47D3-B67F-A62EFF666E3E}">
          <x14:id>{00000000-000E-0000-0100-000001000000}</x14:id>
        </ext>
      </extLst>
    </cfRule>
  </conditionalFormatting>
  <conditionalFormatting sqref="N2:U367">
    <cfRule type="dataBar" priority="1">
      <dataBar>
        <cfvo type="min"/>
        <cfvo type="max"/>
        <color theme="3" tint="0.79998168889431442"/>
      </dataBar>
      <extLst>
        <ext xmlns:x14="http://schemas.microsoft.com/office/spreadsheetml/2009/9/main" uri="{B025F937-C7B1-47D3-B67F-A62EFF666E3E}">
          <x14:id>{93ED4B82-DB36-4E79-A16D-BA81181846E3}</x14:id>
        </ext>
      </extLst>
    </cfRule>
  </conditionalFormatting>
  <conditionalFormatting sqref="K2:K367">
    <cfRule type="dataBar" priority="3">
      <dataBar>
        <cfvo type="num" val="8/24"/>
        <cfvo type="num" val="9.5/24"/>
        <color theme="7" tint="0.59999389629810485"/>
      </dataBar>
      <extLst>
        <ext xmlns:x14="http://schemas.microsoft.com/office/spreadsheetml/2009/9/main" uri="{B025F937-C7B1-47D3-B67F-A62EFF666E3E}">
          <x14:id>{C465EB09-EE91-4A9A-A568-D2C9882E7E69}</x14:id>
        </ext>
      </extLst>
    </cfRule>
  </conditionalFormatting>
  <conditionalFormatting sqref="M2:M367">
    <cfRule type="dataBar" priority="2">
      <dataBar>
        <cfvo type="num" val="17/24"/>
        <cfvo type="num" val="19/24"/>
        <color theme="7" tint="0.59999389629810485"/>
      </dataBar>
      <extLst>
        <ext xmlns:x14="http://schemas.microsoft.com/office/spreadsheetml/2009/9/main" uri="{B025F937-C7B1-47D3-B67F-A62EFF666E3E}">
          <x14:id>{1185E79C-A8CC-4B01-9B37-AE3E76604F46}</x14:id>
        </ext>
      </extLst>
    </cfRule>
  </conditionalFormatting>
  <dataValidations count="1">
    <dataValidation type="list" allowBlank="1" showInputMessage="1" showErrorMessage="1" sqref="E2:E367" xr:uid="{00000000-0002-0000-0100-000000000000}">
      <formula1>"PH,H,H/2,DO,S,N/A"</formula1>
    </dataValidation>
  </dataValidations>
  <pageMargins left="0.7" right="0.7" top="0.75" bottom="0.75" header="0.3" footer="0.3"/>
  <pageSetup paperSize="9" orientation="portrait" horizont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100-000001000000}">
            <x14:dataBar border="1" direction="rightToLeft" negativeBarColorSameAsPositive="1" axisPosition="none">
              <x14:cfvo type="num">
                <xm:f>0</xm:f>
              </x14:cfvo>
              <x14:cfvo type="max"/>
              <x14:borderColor theme="9" tint="0.59999389629810485"/>
            </x14:dataBar>
          </x14:cfRule>
          <xm:sqref>I2:I367</xm:sqref>
        </x14:conditionalFormatting>
        <x14:conditionalFormatting xmlns:xm="http://schemas.microsoft.com/office/excel/2006/main">
          <x14:cfRule type="dataBar" id="{93ED4B82-DB36-4E79-A16D-BA81181846E3}">
            <x14:dataBar minLength="0" maxLength="100" border="1" direction="rightToLeft" negativeBarBorderColorSameAsPositive="0">
              <x14:cfvo type="autoMin"/>
              <x14:cfvo type="autoMax"/>
              <x14:borderColor theme="3" tint="0.79998168889431442"/>
              <x14:negativeFillColor rgb="FFFF0000"/>
              <x14:negativeBorderColor rgb="FFFF0000"/>
              <x14:axisColor rgb="FF000000"/>
            </x14:dataBar>
          </x14:cfRule>
          <xm:sqref>N2:U367</xm:sqref>
        </x14:conditionalFormatting>
        <x14:conditionalFormatting xmlns:xm="http://schemas.microsoft.com/office/excel/2006/main">
          <x14:cfRule type="dataBar" id="{C465EB09-EE91-4A9A-A568-D2C9882E7E69}">
            <x14:dataBar minLength="0" maxLength="100" border="1" direction="rightToLeft" negativeBarBorderColorSameAsPositive="0">
              <x14:cfvo type="num">
                <xm:f>8/24</xm:f>
              </x14:cfvo>
              <x14:cfvo type="num">
                <xm:f>9.5/24</xm:f>
              </x14:cfvo>
              <x14:borderColor theme="7" tint="0.59999389629810485"/>
              <x14:negativeFillColor rgb="FFFF0000"/>
              <x14:negativeBorderColor rgb="FFFF0000"/>
              <x14:axisColor rgb="FF000000"/>
            </x14:dataBar>
          </x14:cfRule>
          <xm:sqref>K2:K367</xm:sqref>
        </x14:conditionalFormatting>
        <x14:conditionalFormatting xmlns:xm="http://schemas.microsoft.com/office/excel/2006/main">
          <x14:cfRule type="dataBar" id="{1185E79C-A8CC-4B01-9B37-AE3E76604F46}">
            <x14:dataBar minLength="0" maxLength="100" border="1" direction="rightToLeft" negativeBarBorderColorSameAsPositive="0">
              <x14:cfvo type="num">
                <xm:f>17/24</xm:f>
              </x14:cfvo>
              <x14:cfvo type="num">
                <xm:f>19/24</xm:f>
              </x14:cfvo>
              <x14:borderColor theme="7" tint="0.59999389629810485"/>
              <x14:negativeFillColor rgb="FFFF0000"/>
              <x14:negativeBorderColor rgb="FFFF0000"/>
              <x14:axisColor rgb="FF000000"/>
            </x14:dataBar>
          </x14:cfRule>
          <xm:sqref>M2:M367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55"/>
  <sheetViews>
    <sheetView showGridLines="0" workbookViewId="0">
      <pane ySplit="1" topLeftCell="A2" activePane="bottomLeft" state="frozen"/>
      <selection pane="bottomLeft"/>
    </sheetView>
  </sheetViews>
  <sheetFormatPr defaultColWidth="10.81640625" defaultRowHeight="14.5" x14ac:dyDescent="0.35"/>
  <cols>
    <col min="9" max="9" width="6.1796875" bestFit="1" customWidth="1"/>
    <col min="21" max="29" width="10.81640625" hidden="1" customWidth="1"/>
  </cols>
  <sheetData>
    <row r="1" spans="1:29" ht="15" thickBot="1" x14ac:dyDescent="0.4">
      <c r="B1" s="19" t="s">
        <v>21</v>
      </c>
      <c r="C1" s="20" t="s">
        <v>22</v>
      </c>
      <c r="D1" s="20" t="s">
        <v>23</v>
      </c>
      <c r="E1" s="20" t="s">
        <v>24</v>
      </c>
      <c r="F1" s="24" t="s">
        <v>25</v>
      </c>
      <c r="G1" s="19" t="s">
        <v>26</v>
      </c>
      <c r="H1" s="21" t="s">
        <v>27</v>
      </c>
      <c r="I1" s="19" t="s">
        <v>2</v>
      </c>
      <c r="J1" s="24" t="s">
        <v>70</v>
      </c>
      <c r="K1" s="178" t="s">
        <v>60</v>
      </c>
      <c r="L1" s="141" t="str">
        <f>Projects!C2</f>
        <v>Project 1</v>
      </c>
      <c r="M1" s="142" t="str">
        <f>Projects!C3</f>
        <v>Project 2</v>
      </c>
      <c r="N1" s="142" t="str">
        <f>Projects!C4</f>
        <v>Project 3</v>
      </c>
      <c r="O1" s="142" t="str">
        <f>Projects!C5</f>
        <v>General</v>
      </c>
      <c r="P1" s="142" t="str">
        <f>Projects!C6</f>
        <v>Training</v>
      </c>
      <c r="Q1" s="142" t="str">
        <f>Projects!C7</f>
        <v>Issue</v>
      </c>
      <c r="R1" s="142" t="str">
        <f>Projects!C8</f>
        <v>Personal 1</v>
      </c>
      <c r="S1" s="143" t="str">
        <f>Projects!C9</f>
        <v>Personal 2</v>
      </c>
      <c r="V1" t="s">
        <v>21</v>
      </c>
      <c r="W1" t="s">
        <v>22</v>
      </c>
      <c r="X1" t="s">
        <v>23</v>
      </c>
      <c r="Y1" t="s">
        <v>28</v>
      </c>
      <c r="Z1" t="s">
        <v>25</v>
      </c>
      <c r="AA1" t="s">
        <v>26</v>
      </c>
      <c r="AB1" t="s">
        <v>27</v>
      </c>
      <c r="AC1" t="s">
        <v>2</v>
      </c>
    </row>
    <row r="2" spans="1:29" x14ac:dyDescent="0.35">
      <c r="A2" s="192" t="s">
        <v>29</v>
      </c>
      <c r="B2" s="22" t="str">
        <f>IF(V2="","",IF(VLOOKUP(V2,'Day summary'!$B$2:$E$367,4,FALSE)="",V2,CONCATENATE(DAY(V2)," (",VLOOKUP(V2,'Day summary'!$B$2:$E$367,4,FALSE),")")))</f>
        <v/>
      </c>
      <c r="C2" s="22" t="str">
        <f>IF(W2="","",IF(VLOOKUP(W2,'Day summary'!$B$2:$E$367,4,FALSE)="",W2,CONCATENATE(DAY(W2)," (",VLOOKUP(W2,'Day summary'!$B$2:$E$367,4,FALSE),")")))</f>
        <v/>
      </c>
      <c r="D2" s="22" t="str">
        <f>IF(X2="","",IF(VLOOKUP(X2,'Day summary'!$B$2:$E$367,4,FALSE)="",X2,CONCATENATE(DAY(X2)," (",VLOOKUP(X2,'Day summary'!$B$2:$E$367,4,FALSE),")")))</f>
        <v/>
      </c>
      <c r="E2" s="22" t="str">
        <f>IF(Y2="","",IF(VLOOKUP(Y2,'Day summary'!$B$2:$E$367,4,FALSE)="",Y2,CONCATENATE(DAY(Y2)," (",VLOOKUP(Y2,'Day summary'!$B$2:$E$367,4,FALSE),")")))</f>
        <v/>
      </c>
      <c r="F2" s="25" t="str">
        <f>IF(Z2="","",IF(VLOOKUP(Z2,'Day summary'!$B$2:$E$367,4,FALSE)="",Z2,CONCATENATE(DAY(Z2)," (",VLOOKUP(Z2,'Day summary'!$B$2:$E$367,4,FALSE),")")))</f>
        <v/>
      </c>
      <c r="G2" s="28" t="str">
        <f>IF(AA2="","",IF(VLOOKUP(AA2,'Day summary'!$B$2:$E$367,4,FALSE)="",AA2,CONCATENATE(DAY(AA2)," (",VLOOKUP(AA2,'Day summary'!$B$2:$E$367,4,FALSE),")")))</f>
        <v/>
      </c>
      <c r="H2" s="29">
        <f>IF(AB2="","",IF(VLOOKUP(AB2,'Day summary'!$B$2:$E$367,4,FALSE)="",AB2,CONCATENATE(DAY(AB2)," (",VLOOKUP(AB2,'Day summary'!$B$2:$E$367,4,FALSE),")")))</f>
        <v>44927</v>
      </c>
      <c r="I2" s="42">
        <f>AC2</f>
        <v>52</v>
      </c>
      <c r="J2" s="78" t="str">
        <f>IF(SUM(L2:Q2)=0,"",SUM(L2:Q2))</f>
        <v/>
      </c>
      <c r="K2" s="78" t="str">
        <f ca="1">IF(J2="","",SUMIFS('Day summary'!$I$2:$I$367,'Day summary'!$C$2:$C$367,1,'Day summary'!$D$2:$D$367,I2,'Day summary'!$B$2:$B$367,"&lt;"&amp;TODAY())*24-SUMIFS('Day summary'!$G$2:$G$367,'Day summary'!$C$2:$C$367,1,'Day summary'!$D$2:$D$367,I2,'Day summary'!$B$2:$B$367,"&lt;"&amp;TODAY())*24)</f>
        <v/>
      </c>
      <c r="L2" s="136" t="str">
        <f>IF(IF($I2&gt;51,SUMIFS(TableTime[[Duration]:[Duration]],TableTime[[Month]:[Month]],1,TableTime[[Week]:[Week]],$I2,TableTime[[Activity]:[Activity]],L$1)*24,SUMIFS(TableTime[[Duration]:[Duration]],TableTime[[Week]:[Week]],$I2,TableTime[[Activity]:[Activity]],L$1)*24)=0,"",IF($I2&gt;51,SUMIFS(TableTime[[Duration]:[Duration]],TableTime[[Month]:[Month]],1,TableTime[[Week]:[Week]],$I2,TableTime[[Activity]:[Activity]],L$1)*24,SUMIFS(TableTime[[Duration]:[Duration]],TableTime[[Week]:[Week]],$I2,TableTime[[Activity]:[Activity]],L$1)*24))</f>
        <v/>
      </c>
      <c r="M2" s="137" t="str">
        <f>IF(IF($I2&gt;51,SUMIFS(TableTime[[Duration]:[Duration]],TableTime[[Month]:[Month]],1,TableTime[[Week]:[Week]],$I2,TableTime[[Activity]:[Activity]],M$1)*24,SUMIFS(TableTime[[Duration]:[Duration]],TableTime[[Week]:[Week]],$I2,TableTime[[Activity]:[Activity]],M$1)*24)=0,"",IF($I2&gt;51,SUMIFS(TableTime[[Duration]:[Duration]],TableTime[[Month]:[Month]],1,TableTime[[Week]:[Week]],$I2,TableTime[[Activity]:[Activity]],M$1)*24,SUMIFS(TableTime[[Duration]:[Duration]],TableTime[[Week]:[Week]],$I2,TableTime[[Activity]:[Activity]],M$1)*24))</f>
        <v/>
      </c>
      <c r="N2" s="137" t="str">
        <f>IF(IF($I2&gt;51,SUMIFS(TableTime[[Duration]:[Duration]],TableTime[[Month]:[Month]],1,TableTime[[Week]:[Week]],$I2,TableTime[[Activity]:[Activity]],N$1)*24,SUMIFS(TableTime[[Duration]:[Duration]],TableTime[[Week]:[Week]],$I2,TableTime[[Activity]:[Activity]],N$1)*24)=0,"",IF($I2&gt;51,SUMIFS(TableTime[[Duration]:[Duration]],TableTime[[Month]:[Month]],1,TableTime[[Week]:[Week]],$I2,TableTime[[Activity]:[Activity]],N$1)*24,SUMIFS(TableTime[[Duration]:[Duration]],TableTime[[Week]:[Week]],$I2,TableTime[[Activity]:[Activity]],N$1)*24))</f>
        <v/>
      </c>
      <c r="O2" s="138" t="str">
        <f>IF(IF($I2&gt;51,SUMIFS(TableTime[[Duration]:[Duration]],TableTime[[Month]:[Month]],1,TableTime[[Week]:[Week]],$I2,TableTime[[Activity]:[Activity]],O$1)*24,SUMIFS(TableTime[[Duration]:[Duration]],TableTime[[Week]:[Week]],$I2,TableTime[[Activity]:[Activity]],O$1)*24)=0,"",IF($I2&gt;51,SUMIFS(TableTime[[Duration]:[Duration]],TableTime[[Month]:[Month]],1,TableTime[[Week]:[Week]],$I2,TableTime[[Activity]:[Activity]],O$1)*24,SUMIFS(TableTime[[Duration]:[Duration]],TableTime[[Week]:[Week]],$I2,TableTime[[Activity]:[Activity]],O$1)*24))</f>
        <v/>
      </c>
      <c r="P2" s="138" t="str">
        <f>IF(IF($I2&gt;51,SUMIFS(TableTime[[Duration]:[Duration]],TableTime[[Month]:[Month]],1,TableTime[[Week]:[Week]],$I2,TableTime[[Activity]:[Activity]],P$1)*24,SUMIFS(TableTime[[Duration]:[Duration]],TableTime[[Week]:[Week]],$I2,TableTime[[Activity]:[Activity]],P$1)*24)=0,"",IF($I2&gt;51,SUMIFS(TableTime[[Duration]:[Duration]],TableTime[[Month]:[Month]],1,TableTime[[Week]:[Week]],$I2,TableTime[[Activity]:[Activity]],P$1)*24,SUMIFS(TableTime[[Duration]:[Duration]],TableTime[[Week]:[Week]],$I2,TableTime[[Activity]:[Activity]],P$1)*24))</f>
        <v/>
      </c>
      <c r="Q2" s="139" t="str">
        <f>IF(IF($I2&gt;51,SUMIFS(TableTime[[Duration]:[Duration]],TableTime[[Month]:[Month]],1,TableTime[[Week]:[Week]],$I2,TableTime[[Activity]:[Activity]],Q$1)*24,SUMIFS(TableTime[[Duration]:[Duration]],TableTime[[Week]:[Week]],$I2,TableTime[[Activity]:[Activity]],Q$1)*24)=0,"",IF($I2&gt;51,SUMIFS(TableTime[[Duration]:[Duration]],TableTime[[Month]:[Month]],1,TableTime[[Week]:[Week]],$I2,TableTime[[Activity]:[Activity]],Q$1)*24,SUMIFS(TableTime[[Duration]:[Duration]],TableTime[[Week]:[Week]],$I2,TableTime[[Activity]:[Activity]],Q$1)*24))</f>
        <v/>
      </c>
      <c r="R2" s="140" t="str">
        <f>IF(IF($I2&gt;51,SUMIFS(TableTime[[Duration]:[Duration]],TableTime[[Month]:[Month]],1,TableTime[[Week]:[Week]],$I2,TableTime[[Activity]:[Activity]],R$1)*24,SUMIFS(TableTime[[Duration]:[Duration]],TableTime[[Week]:[Week]],$I2,TableTime[[Activity]:[Activity]],R$1)*24)=0,"",IF($I2&gt;51,SUMIFS(TableTime[[Duration]:[Duration]],TableTime[[Month]:[Month]],1,TableTime[[Week]:[Week]],$I2,TableTime[[Activity]:[Activity]],R$1)*24,SUMIFS(TableTime[[Duration]:[Duration]],TableTime[[Week]:[Week]],$I2,TableTime[[Activity]:[Activity]],R$1)*24))</f>
        <v/>
      </c>
      <c r="S2" s="139" t="str">
        <f>IF(IF($I2&gt;51,SUMIFS(TableTime[[Duration]:[Duration]],TableTime[[Month]:[Month]],1,TableTime[[Week]:[Week]],$I2,TableTime[[Activity]:[Activity]],S$1)*24,SUMIFS(TableTime[[Duration]:[Duration]],TableTime[[Week]:[Week]],$I2,TableTime[[Activity]:[Activity]],S$1)*24)=0,"",IF($I2&gt;51,SUMIFS(TableTime[[Duration]:[Duration]],TableTime[[Month]:[Month]],1,TableTime[[Week]:[Week]],$I2,TableTime[[Activity]:[Activity]],S$1)*24,SUMIFS(TableTime[[Duration]:[Duration]],TableTime[[Week]:[Week]],$I2,TableTime[[Activity]:[Activity]],S$1)*24))</f>
        <v/>
      </c>
      <c r="U2" s="191" t="s">
        <v>30</v>
      </c>
      <c r="V2" s="8" t="str">
        <f>IF(NOT(ISERROR(IF(WEEKDAY(DATE(Year,1,1),2)=1,DATE(Year,1,1),U2+1))),IF(WEEKDAY(DATE(Year,1,1),2)=1,DATE(Year,1,1),U2+1),"")</f>
        <v/>
      </c>
      <c r="W2" s="8" t="str">
        <f>IF(NOT(ISERROR(IF(WEEKDAY(DATE(Year,1,1),2)=2,DATE(Year,1,1),V2+1))),IF(WEEKDAY(DATE(Year,1,1),2)=2,DATE(Year,1,1),V2+1),"")</f>
        <v/>
      </c>
      <c r="X2" s="8" t="str">
        <f>IF(NOT(ISERROR(IF(WEEKDAY(DATE(Year,1,1),2)=3,DATE(Year,1,1),W2+1))),IF(WEEKDAY(DATE(Year,1,1),2)=3,DATE(Year,1,1),W2+1),"")</f>
        <v/>
      </c>
      <c r="Y2" s="8" t="str">
        <f>IF(NOT(ISERROR(IF(WEEKDAY(DATE(Year,1,1),2)=4,DATE(Year,1,1),X2+1))),IF(WEEKDAY(DATE(Year,1,1),2)=4,DATE(Year,1,1),X2+1),"")</f>
        <v/>
      </c>
      <c r="Z2" s="8" t="str">
        <f>IF(NOT(ISERROR(IF(WEEKDAY(DATE(Year,1,1),2)=5,DATE(Year,1,1),Y2+1))),IF(WEEKDAY(DATE(Year,1,1),2)=5,DATE(Year,1,1),Y2+1),"")</f>
        <v/>
      </c>
      <c r="AA2" s="8" t="str">
        <f>IF(NOT(ISERROR(IF(WEEKDAY(DATE(Year,1,1),2)=6,DATE(Year,1,1),Z2+1))),IF(WEEKDAY(DATE(Year,1,1),2)=6,DATE(Year,1,1),Z2+1),"")</f>
        <v/>
      </c>
      <c r="AB2" s="8">
        <f>IF(NOT(ISERROR(IF(WEEKDAY(DATE(Year,1,1),2)=7,DATE(Year,1,1),AA2+1))),IF(WEEKDAY(DATE(Year,1,1),2)=7,DATE(Year,1,1),AA2+1),"")</f>
        <v>44927</v>
      </c>
      <c r="AC2">
        <f>IFERROR(WEEKNUM(IF(AB2="",V2,AB2),21),"")</f>
        <v>52</v>
      </c>
    </row>
    <row r="3" spans="1:29" x14ac:dyDescent="0.35">
      <c r="A3" s="193"/>
      <c r="B3" s="18" t="str">
        <f>IF(V3="","",IF(VLOOKUP(V3,'Day summary'!$B$2:$E$367,4,FALSE)="",V3,CONCATENATE(DAY(V3)," (",VLOOKUP(V3,'Day summary'!$B$2:$E$367,4,FALSE),")")))</f>
        <v>2 (PH)</v>
      </c>
      <c r="C3" s="18">
        <f>IF(W3="","",IF(VLOOKUP(W3,'Day summary'!$B$2:$E$367,4,FALSE)="",W3,CONCATENATE(DAY(W3)," (",VLOOKUP(W3,'Day summary'!$B$2:$E$367,4,FALSE),")")))</f>
        <v>44929</v>
      </c>
      <c r="D3" s="18">
        <f>IF(X3="","",IF(VLOOKUP(X3,'Day summary'!$B$2:$E$367,4,FALSE)="",X3,CONCATENATE(DAY(X3)," (",VLOOKUP(X3,'Day summary'!$B$2:$E$367,4,FALSE),")")))</f>
        <v>44930</v>
      </c>
      <c r="E3" s="18">
        <f>IF(Y3="","",IF(VLOOKUP(Y3,'Day summary'!$B$2:$E$367,4,FALSE)="",Y3,CONCATENATE(DAY(Y3)," (",VLOOKUP(Y3,'Day summary'!$B$2:$E$367,4,FALSE),")")))</f>
        <v>44931</v>
      </c>
      <c r="F3" s="26">
        <f>IF(Z3="","",IF(VLOOKUP(Z3,'Day summary'!$B$2:$E$367,4,FALSE)="",Z3,CONCATENATE(DAY(Z3)," (",VLOOKUP(Z3,'Day summary'!$B$2:$E$367,4,FALSE),")")))</f>
        <v>44932</v>
      </c>
      <c r="G3" s="30">
        <f>IF(AA3="","",IF(VLOOKUP(AA3,'Day summary'!$B$2:$E$367,4,FALSE)="",AA3,CONCATENATE(DAY(AA3)," (",VLOOKUP(AA3,'Day summary'!$B$2:$E$367,4,FALSE),")")))</f>
        <v>44933</v>
      </c>
      <c r="H3" s="31">
        <f>IF(AB3="","",IF(VLOOKUP(AB3,'Day summary'!$B$2:$E$367,4,FALSE)="",AB3,CONCATENATE(DAY(AB3)," (",VLOOKUP(AB3,'Day summary'!$B$2:$E$367,4,FALSE),")")))</f>
        <v>44934</v>
      </c>
      <c r="I3" s="43">
        <f t="shared" ref="I3:I55" si="0">AC3</f>
        <v>1</v>
      </c>
      <c r="J3" s="79" t="str">
        <f t="shared" ref="J3:J55" si="1">IF(SUM(L3:Q3)=0,"",SUM(L3:Q3))</f>
        <v/>
      </c>
      <c r="K3" s="79" t="str">
        <f ca="1">IF(J3="","",SUMIFS('Day summary'!$I$2:$I$367,'Day summary'!$D$2:$D$367,I3,'Day summary'!$B$2:$B$367,"&lt;"&amp;TODAY())*24-SUMIFS('Day summary'!$G$2:$G$367,'Day summary'!$D$2:$D$367,I3,'Day summary'!$B$2:$B$367,"&lt;"&amp;TODAY())*24)</f>
        <v/>
      </c>
      <c r="L3" s="80" t="str">
        <f>IF(SUMIFS(TableTime[[Duration]:[Duration]],TableTime[[Week]:[Week]],$I3,TableTime[[Activity]:[Activity]],L$1)*24=0,"",SUMIFS(TableTime[[Duration]:[Duration]],TableTime[[Week]:[Week]],$I3,TableTime[[Activity]:[Activity]],L$1)*24)</f>
        <v/>
      </c>
      <c r="M3" s="81" t="str">
        <f>IF(SUMIFS(TableTime[[Duration]:[Duration]],TableTime[[Week]:[Week]],$I3,TableTime[[Activity]:[Activity]],M$1)*24=0,"",SUMIFS(TableTime[[Duration]:[Duration]],TableTime[[Week]:[Week]],$I3,TableTime[[Activity]:[Activity]],M$1)*24)</f>
        <v/>
      </c>
      <c r="N3" s="81" t="str">
        <f>IF(SUMIFS(TableTime[[Duration]:[Duration]],TableTime[[Week]:[Week]],$I3,TableTime[[Activity]:[Activity]],N$1)*24=0,"",SUMIFS(TableTime[[Duration]:[Duration]],TableTime[[Week]:[Week]],$I3,TableTime[[Activity]:[Activity]],N$1)*24)</f>
        <v/>
      </c>
      <c r="O3" s="82" t="str">
        <f>IF(SUMIFS(TableTime[[Duration]:[Duration]],TableTime[[Week]:[Week]],$I3,TableTime[[Activity]:[Activity]],O$1)*24=0,"",SUMIFS(TableTime[[Duration]:[Duration]],TableTime[[Week]:[Week]],$I3,TableTime[[Activity]:[Activity]],O$1)*24)</f>
        <v/>
      </c>
      <c r="P3" s="82" t="str">
        <f>IF(SUMIFS(TableTime[[Duration]:[Duration]],TableTime[[Week]:[Week]],$I3,TableTime[[Activity]:[Activity]],P$1)*24=0,"",SUMIFS(TableTime[[Duration]:[Duration]],TableTime[[Week]:[Week]],$I3,TableTime[[Activity]:[Activity]],P$1)*24)</f>
        <v/>
      </c>
      <c r="Q3" s="83" t="str">
        <f>IF(SUMIFS(TableTime[[Duration]:[Duration]],TableTime[[Week]:[Week]],$I3,TableTime[[Activity]:[Activity]],Q$1)*24=0,"",SUMIFS(TableTime[[Duration]:[Duration]],TableTime[[Week]:[Week]],$I3,TableTime[[Activity]:[Activity]],Q$1)*24)</f>
        <v/>
      </c>
      <c r="R3" s="134" t="str">
        <f>IF(SUMIFS(TableTime[[Duration]:[Duration]],TableTime[[Week]:[Week]],$I3,TableTime[[Activity]:[Activity]],R$1)*24=0,"",SUMIFS(TableTime[[Duration]:[Duration]],TableTime[[Week]:[Week]],$I3,TableTime[[Activity]:[Activity]],R$1)*24)</f>
        <v/>
      </c>
      <c r="S3" s="83" t="str">
        <f>IF(SUMIFS(TableTime[[Duration]:[Duration]],TableTime[[Week]:[Week]],$I3,TableTime[[Activity]:[Activity]],S$1)*24=0,"",SUMIFS(TableTime[[Duration]:[Duration]],TableTime[[Week]:[Week]],$I3,TableTime[[Activity]:[Activity]],S$1)*24)</f>
        <v/>
      </c>
      <c r="U3" s="191"/>
      <c r="V3" s="8">
        <f>AB2+1</f>
        <v>44928</v>
      </c>
      <c r="W3" s="8">
        <f t="shared" ref="W3:AB3" si="2">V3+1</f>
        <v>44929</v>
      </c>
      <c r="X3" s="8">
        <f t="shared" si="2"/>
        <v>44930</v>
      </c>
      <c r="Y3" s="8">
        <f t="shared" si="2"/>
        <v>44931</v>
      </c>
      <c r="Z3" s="8">
        <f t="shared" si="2"/>
        <v>44932</v>
      </c>
      <c r="AA3" s="8">
        <f t="shared" si="2"/>
        <v>44933</v>
      </c>
      <c r="AB3" s="8">
        <f t="shared" si="2"/>
        <v>44934</v>
      </c>
      <c r="AC3">
        <f>IFERROR(WEEKNUM(IF(AB3="",V3,AB3),21),"")</f>
        <v>1</v>
      </c>
    </row>
    <row r="4" spans="1:29" x14ac:dyDescent="0.35">
      <c r="A4" s="193"/>
      <c r="B4" s="18">
        <f>IF(V4="","",IF(VLOOKUP(V4,'Day summary'!$B$2:$E$367,4,FALSE)="",V4,CONCATENATE(DAY(V4)," (",VLOOKUP(V4,'Day summary'!$B$2:$E$367,4,FALSE),")")))</f>
        <v>44935</v>
      </c>
      <c r="C4" s="18">
        <f>IF(W4="","",IF(VLOOKUP(W4,'Day summary'!$B$2:$E$367,4,FALSE)="",W4,CONCATENATE(DAY(W4)," (",VLOOKUP(W4,'Day summary'!$B$2:$E$367,4,FALSE),")")))</f>
        <v>44936</v>
      </c>
      <c r="D4" s="18">
        <f>IF(X4="","",IF(VLOOKUP(X4,'Day summary'!$B$2:$E$367,4,FALSE)="",X4,CONCATENATE(DAY(X4)," (",VLOOKUP(X4,'Day summary'!$B$2:$E$367,4,FALSE),")")))</f>
        <v>44937</v>
      </c>
      <c r="E4" s="18">
        <f>IF(Y4="","",IF(VLOOKUP(Y4,'Day summary'!$B$2:$E$367,4,FALSE)="",Y4,CONCATENATE(DAY(Y4)," (",VLOOKUP(Y4,'Day summary'!$B$2:$E$367,4,FALSE),")")))</f>
        <v>44938</v>
      </c>
      <c r="F4" s="26">
        <f>IF(Z4="","",IF(VLOOKUP(Z4,'Day summary'!$B$2:$E$367,4,FALSE)="",Z4,CONCATENATE(DAY(Z4)," (",VLOOKUP(Z4,'Day summary'!$B$2:$E$367,4,FALSE),")")))</f>
        <v>44939</v>
      </c>
      <c r="G4" s="30">
        <f>IF(AA4="","",IF(VLOOKUP(AA4,'Day summary'!$B$2:$E$367,4,FALSE)="",AA4,CONCATENATE(DAY(AA4)," (",VLOOKUP(AA4,'Day summary'!$B$2:$E$367,4,FALSE),")")))</f>
        <v>44940</v>
      </c>
      <c r="H4" s="31">
        <f>IF(AB4="","",IF(VLOOKUP(AB4,'Day summary'!$B$2:$E$367,4,FALSE)="",AB4,CONCATENATE(DAY(AB4)," (",VLOOKUP(AB4,'Day summary'!$B$2:$E$367,4,FALSE),")")))</f>
        <v>44941</v>
      </c>
      <c r="I4" s="43">
        <f t="shared" si="0"/>
        <v>2</v>
      </c>
      <c r="J4" s="79" t="str">
        <f t="shared" si="1"/>
        <v/>
      </c>
      <c r="K4" s="79" t="str">
        <f ca="1">IF(J4="","",SUMIFS('Day summary'!$I$2:$I$367,'Day summary'!$D$2:$D$367,I4,'Day summary'!$B$2:$B$367,"&lt;"&amp;TODAY())*24-SUMIFS('Day summary'!$G$2:$G$367,'Day summary'!$D$2:$D$367,I4,'Day summary'!$B$2:$B$367,"&lt;"&amp;TODAY())*24)</f>
        <v/>
      </c>
      <c r="L4" s="80" t="str">
        <f>IF(SUMIFS(TableTime[[Duration]:[Duration]],TableTime[[Week]:[Week]],$I4,TableTime[[Activity]:[Activity]],L$1)*24=0,"",SUMIFS(TableTime[[Duration]:[Duration]],TableTime[[Week]:[Week]],$I4,TableTime[[Activity]:[Activity]],L$1)*24)</f>
        <v/>
      </c>
      <c r="M4" s="81" t="str">
        <f>IF(SUMIFS(TableTime[[Duration]:[Duration]],TableTime[[Week]:[Week]],$I4,TableTime[[Activity]:[Activity]],M$1)*24=0,"",SUMIFS(TableTime[[Duration]:[Duration]],TableTime[[Week]:[Week]],$I4,TableTime[[Activity]:[Activity]],M$1)*24)</f>
        <v/>
      </c>
      <c r="N4" s="81" t="str">
        <f>IF(SUMIFS(TableTime[[Duration]:[Duration]],TableTime[[Week]:[Week]],$I4,TableTime[[Activity]:[Activity]],N$1)*24=0,"",SUMIFS(TableTime[[Duration]:[Duration]],TableTime[[Week]:[Week]],$I4,TableTime[[Activity]:[Activity]],N$1)*24)</f>
        <v/>
      </c>
      <c r="O4" s="82" t="str">
        <f>IF(SUMIFS(TableTime[[Duration]:[Duration]],TableTime[[Week]:[Week]],$I4,TableTime[[Activity]:[Activity]],O$1)*24=0,"",SUMIFS(TableTime[[Duration]:[Duration]],TableTime[[Week]:[Week]],$I4,TableTime[[Activity]:[Activity]],O$1)*24)</f>
        <v/>
      </c>
      <c r="P4" s="82" t="str">
        <f>IF(SUMIFS(TableTime[[Duration]:[Duration]],TableTime[[Week]:[Week]],$I4,TableTime[[Activity]:[Activity]],P$1)*24=0,"",SUMIFS(TableTime[[Duration]:[Duration]],TableTime[[Week]:[Week]],$I4,TableTime[[Activity]:[Activity]],P$1)*24)</f>
        <v/>
      </c>
      <c r="Q4" s="83" t="str">
        <f>IF(SUMIFS(TableTime[[Duration]:[Duration]],TableTime[[Week]:[Week]],$I4,TableTime[[Activity]:[Activity]],Q$1)*24=0,"",SUMIFS(TableTime[[Duration]:[Duration]],TableTime[[Week]:[Week]],$I4,TableTime[[Activity]:[Activity]],Q$1)*24)</f>
        <v/>
      </c>
      <c r="R4" s="134" t="str">
        <f>IF(SUMIFS(TableTime[[Duration]:[Duration]],TableTime[[Week]:[Week]],$I4,TableTime[[Activity]:[Activity]],R$1)*24=0,"",SUMIFS(TableTime[[Duration]:[Duration]],TableTime[[Week]:[Week]],$I4,TableTime[[Activity]:[Activity]],R$1)*24)</f>
        <v/>
      </c>
      <c r="S4" s="83" t="str">
        <f>IF(SUMIFS(TableTime[[Duration]:[Duration]],TableTime[[Week]:[Week]],$I4,TableTime[[Activity]:[Activity]],S$1)*24=0,"",SUMIFS(TableTime[[Duration]:[Duration]],TableTime[[Week]:[Week]],$I4,TableTime[[Activity]:[Activity]],S$1)*24)</f>
        <v/>
      </c>
      <c r="U4" s="191"/>
      <c r="V4" s="8">
        <f t="shared" ref="V4:V54" si="3">AB3+1</f>
        <v>44935</v>
      </c>
      <c r="W4" s="8">
        <f t="shared" ref="W4:AB4" si="4">V4+1</f>
        <v>44936</v>
      </c>
      <c r="X4" s="8">
        <f t="shared" si="4"/>
        <v>44937</v>
      </c>
      <c r="Y4" s="8">
        <f t="shared" si="4"/>
        <v>44938</v>
      </c>
      <c r="Z4" s="8">
        <f t="shared" si="4"/>
        <v>44939</v>
      </c>
      <c r="AA4" s="8">
        <f t="shared" si="4"/>
        <v>44940</v>
      </c>
      <c r="AB4" s="8">
        <f t="shared" si="4"/>
        <v>44941</v>
      </c>
      <c r="AC4">
        <f t="shared" ref="AC4:AC55" si="5">IFERROR(WEEKNUM(IF(AB4="",V4,AB4),21),"")</f>
        <v>2</v>
      </c>
    </row>
    <row r="5" spans="1:29" x14ac:dyDescent="0.35">
      <c r="A5" s="193"/>
      <c r="B5" s="18">
        <f>IF(V5="","",IF(VLOOKUP(V5,'Day summary'!$B$2:$E$367,4,FALSE)="",V5,CONCATENATE(DAY(V5)," (",VLOOKUP(V5,'Day summary'!$B$2:$E$367,4,FALSE),")")))</f>
        <v>44942</v>
      </c>
      <c r="C5" s="18">
        <f>IF(W5="","",IF(VLOOKUP(W5,'Day summary'!$B$2:$E$367,4,FALSE)="",W5,CONCATENATE(DAY(W5)," (",VLOOKUP(W5,'Day summary'!$B$2:$E$367,4,FALSE),")")))</f>
        <v>44943</v>
      </c>
      <c r="D5" s="18">
        <f>IF(X5="","",IF(VLOOKUP(X5,'Day summary'!$B$2:$E$367,4,FALSE)="",X5,CONCATENATE(DAY(X5)," (",VLOOKUP(X5,'Day summary'!$B$2:$E$367,4,FALSE),")")))</f>
        <v>44944</v>
      </c>
      <c r="E5" s="18">
        <f>IF(Y5="","",IF(VLOOKUP(Y5,'Day summary'!$B$2:$E$367,4,FALSE)="",Y5,CONCATENATE(DAY(Y5)," (",VLOOKUP(Y5,'Day summary'!$B$2:$E$367,4,FALSE),")")))</f>
        <v>44945</v>
      </c>
      <c r="F5" s="26">
        <f>IF(Z5="","",IF(VLOOKUP(Z5,'Day summary'!$B$2:$E$367,4,FALSE)="",Z5,CONCATENATE(DAY(Z5)," (",VLOOKUP(Z5,'Day summary'!$B$2:$E$367,4,FALSE),")")))</f>
        <v>44946</v>
      </c>
      <c r="G5" s="30">
        <f>IF(AA5="","",IF(VLOOKUP(AA5,'Day summary'!$B$2:$E$367,4,FALSE)="",AA5,CONCATENATE(DAY(AA5)," (",VLOOKUP(AA5,'Day summary'!$B$2:$E$367,4,FALSE),")")))</f>
        <v>44947</v>
      </c>
      <c r="H5" s="31">
        <f>IF(AB5="","",IF(VLOOKUP(AB5,'Day summary'!$B$2:$E$367,4,FALSE)="",AB5,CONCATENATE(DAY(AB5)," (",VLOOKUP(AB5,'Day summary'!$B$2:$E$367,4,FALSE),")")))</f>
        <v>44948</v>
      </c>
      <c r="I5" s="43">
        <f t="shared" si="0"/>
        <v>3</v>
      </c>
      <c r="J5" s="79" t="str">
        <f t="shared" si="1"/>
        <v/>
      </c>
      <c r="K5" s="79" t="str">
        <f ca="1">IF(J5="","",SUMIFS('Day summary'!$I$2:$I$367,'Day summary'!$D$2:$D$367,I5,'Day summary'!$B$2:$B$367,"&lt;"&amp;TODAY())*24-SUMIFS('Day summary'!$G$2:$G$367,'Day summary'!$D$2:$D$367,I5,'Day summary'!$B$2:$B$367,"&lt;"&amp;TODAY())*24)</f>
        <v/>
      </c>
      <c r="L5" s="80" t="str">
        <f>IF(SUMIFS(TableTime[[Duration]:[Duration]],TableTime[[Week]:[Week]],$I5,TableTime[[Activity]:[Activity]],L$1)*24=0,"",SUMIFS(TableTime[[Duration]:[Duration]],TableTime[[Week]:[Week]],$I5,TableTime[[Activity]:[Activity]],L$1)*24)</f>
        <v/>
      </c>
      <c r="M5" s="81" t="str">
        <f>IF(SUMIFS(TableTime[[Duration]:[Duration]],TableTime[[Week]:[Week]],$I5,TableTime[[Activity]:[Activity]],M$1)*24=0,"",SUMIFS(TableTime[[Duration]:[Duration]],TableTime[[Week]:[Week]],$I5,TableTime[[Activity]:[Activity]],M$1)*24)</f>
        <v/>
      </c>
      <c r="N5" s="81" t="str">
        <f>IF(SUMIFS(TableTime[[Duration]:[Duration]],TableTime[[Week]:[Week]],$I5,TableTime[[Activity]:[Activity]],N$1)*24=0,"",SUMIFS(TableTime[[Duration]:[Duration]],TableTime[[Week]:[Week]],$I5,TableTime[[Activity]:[Activity]],N$1)*24)</f>
        <v/>
      </c>
      <c r="O5" s="82" t="str">
        <f>IF(SUMIFS(TableTime[[Duration]:[Duration]],TableTime[[Week]:[Week]],$I5,TableTime[[Activity]:[Activity]],O$1)*24=0,"",SUMIFS(TableTime[[Duration]:[Duration]],TableTime[[Week]:[Week]],$I5,TableTime[[Activity]:[Activity]],O$1)*24)</f>
        <v/>
      </c>
      <c r="P5" s="82" t="str">
        <f>IF(SUMIFS(TableTime[[Duration]:[Duration]],TableTime[[Week]:[Week]],$I5,TableTime[[Activity]:[Activity]],P$1)*24=0,"",SUMIFS(TableTime[[Duration]:[Duration]],TableTime[[Week]:[Week]],$I5,TableTime[[Activity]:[Activity]],P$1)*24)</f>
        <v/>
      </c>
      <c r="Q5" s="83" t="str">
        <f>IF(SUMIFS(TableTime[[Duration]:[Duration]],TableTime[[Week]:[Week]],$I5,TableTime[[Activity]:[Activity]],Q$1)*24=0,"",SUMIFS(TableTime[[Duration]:[Duration]],TableTime[[Week]:[Week]],$I5,TableTime[[Activity]:[Activity]],Q$1)*24)</f>
        <v/>
      </c>
      <c r="R5" s="134" t="str">
        <f>IF(SUMIFS(TableTime[[Duration]:[Duration]],TableTime[[Week]:[Week]],$I5,TableTime[[Activity]:[Activity]],R$1)*24=0,"",SUMIFS(TableTime[[Duration]:[Duration]],TableTime[[Week]:[Week]],$I5,TableTime[[Activity]:[Activity]],R$1)*24)</f>
        <v/>
      </c>
      <c r="S5" s="83" t="str">
        <f>IF(SUMIFS(TableTime[[Duration]:[Duration]],TableTime[[Week]:[Week]],$I5,TableTime[[Activity]:[Activity]],S$1)*24=0,"",SUMIFS(TableTime[[Duration]:[Duration]],TableTime[[Week]:[Week]],$I5,TableTime[[Activity]:[Activity]],S$1)*24)</f>
        <v/>
      </c>
      <c r="U5" s="191"/>
      <c r="V5" s="8">
        <f t="shared" si="3"/>
        <v>44942</v>
      </c>
      <c r="W5" s="8">
        <f t="shared" ref="W5:AB5" si="6">V5+1</f>
        <v>44943</v>
      </c>
      <c r="X5" s="8">
        <f t="shared" si="6"/>
        <v>44944</v>
      </c>
      <c r="Y5" s="8">
        <f t="shared" si="6"/>
        <v>44945</v>
      </c>
      <c r="Z5" s="8">
        <f t="shared" si="6"/>
        <v>44946</v>
      </c>
      <c r="AA5" s="8">
        <f t="shared" si="6"/>
        <v>44947</v>
      </c>
      <c r="AB5" s="8">
        <f t="shared" si="6"/>
        <v>44948</v>
      </c>
      <c r="AC5">
        <f t="shared" si="5"/>
        <v>3</v>
      </c>
    </row>
    <row r="6" spans="1:29" x14ac:dyDescent="0.35">
      <c r="A6" s="193"/>
      <c r="B6" s="18">
        <f>IF(V6="","",IF(VLOOKUP(V6,'Day summary'!$B$2:$E$367,4,FALSE)="",V6,CONCATENATE(DAY(V6)," (",VLOOKUP(V6,'Day summary'!$B$2:$E$367,4,FALSE),")")))</f>
        <v>44949</v>
      </c>
      <c r="C6" s="18">
        <f>IF(W6="","",IF(VLOOKUP(W6,'Day summary'!$B$2:$E$367,4,FALSE)="",W6,CONCATENATE(DAY(W6)," (",VLOOKUP(W6,'Day summary'!$B$2:$E$367,4,FALSE),")")))</f>
        <v>44950</v>
      </c>
      <c r="D6" s="18">
        <f>IF(X6="","",IF(VLOOKUP(X6,'Day summary'!$B$2:$E$367,4,FALSE)="",X6,CONCATENATE(DAY(X6)," (",VLOOKUP(X6,'Day summary'!$B$2:$E$367,4,FALSE),")")))</f>
        <v>44951</v>
      </c>
      <c r="E6" s="18">
        <f>IF(Y6="","",IF(VLOOKUP(Y6,'Day summary'!$B$2:$E$367,4,FALSE)="",Y6,CONCATENATE(DAY(Y6)," (",VLOOKUP(Y6,'Day summary'!$B$2:$E$367,4,FALSE),")")))</f>
        <v>44952</v>
      </c>
      <c r="F6" s="26">
        <f>IF(Z6="","",IF(VLOOKUP(Z6,'Day summary'!$B$2:$E$367,4,FALSE)="",Z6,CONCATENATE(DAY(Z6)," (",VLOOKUP(Z6,'Day summary'!$B$2:$E$367,4,FALSE),")")))</f>
        <v>44953</v>
      </c>
      <c r="G6" s="30">
        <f>IF(AA6="","",IF(VLOOKUP(AA6,'Day summary'!$B$2:$E$367,4,FALSE)="",AA6,CONCATENATE(DAY(AA6)," (",VLOOKUP(AA6,'Day summary'!$B$2:$E$367,4,FALSE),")")))</f>
        <v>44954</v>
      </c>
      <c r="H6" s="31">
        <f>IF(AB6="","",IF(VLOOKUP(AB6,'Day summary'!$B$2:$E$367,4,FALSE)="",AB6,CONCATENATE(DAY(AB6)," (",VLOOKUP(AB6,'Day summary'!$B$2:$E$367,4,FALSE),")")))</f>
        <v>44955</v>
      </c>
      <c r="I6" s="43">
        <f t="shared" si="0"/>
        <v>4</v>
      </c>
      <c r="J6" s="79" t="str">
        <f t="shared" si="1"/>
        <v/>
      </c>
      <c r="K6" s="79" t="str">
        <f ca="1">IF(J6="","",SUMIFS('Day summary'!$I$2:$I$367,'Day summary'!$D$2:$D$367,I6,'Day summary'!$B$2:$B$367,"&lt;"&amp;TODAY())*24-SUMIFS('Day summary'!$G$2:$G$367,'Day summary'!$D$2:$D$367,I6,'Day summary'!$B$2:$B$367,"&lt;"&amp;TODAY())*24)</f>
        <v/>
      </c>
      <c r="L6" s="80" t="str">
        <f>IF(SUMIFS(TableTime[[Duration]:[Duration]],TableTime[[Week]:[Week]],$I6,TableTime[[Activity]:[Activity]],L$1)*24=0,"",SUMIFS(TableTime[[Duration]:[Duration]],TableTime[[Week]:[Week]],$I6,TableTime[[Activity]:[Activity]],L$1)*24)</f>
        <v/>
      </c>
      <c r="M6" s="81" t="str">
        <f>IF(SUMIFS(TableTime[[Duration]:[Duration]],TableTime[[Week]:[Week]],$I6,TableTime[[Activity]:[Activity]],M$1)*24=0,"",SUMIFS(TableTime[[Duration]:[Duration]],TableTime[[Week]:[Week]],$I6,TableTime[[Activity]:[Activity]],M$1)*24)</f>
        <v/>
      </c>
      <c r="N6" s="81" t="str">
        <f>IF(SUMIFS(TableTime[[Duration]:[Duration]],TableTime[[Week]:[Week]],$I6,TableTime[[Activity]:[Activity]],N$1)*24=0,"",SUMIFS(TableTime[[Duration]:[Duration]],TableTime[[Week]:[Week]],$I6,TableTime[[Activity]:[Activity]],N$1)*24)</f>
        <v/>
      </c>
      <c r="O6" s="82" t="str">
        <f>IF(SUMIFS(TableTime[[Duration]:[Duration]],TableTime[[Week]:[Week]],$I6,TableTime[[Activity]:[Activity]],O$1)*24=0,"",SUMIFS(TableTime[[Duration]:[Duration]],TableTime[[Week]:[Week]],$I6,TableTime[[Activity]:[Activity]],O$1)*24)</f>
        <v/>
      </c>
      <c r="P6" s="82" t="str">
        <f>IF(SUMIFS(TableTime[[Duration]:[Duration]],TableTime[[Week]:[Week]],$I6,TableTime[[Activity]:[Activity]],P$1)*24=0,"",SUMIFS(TableTime[[Duration]:[Duration]],TableTime[[Week]:[Week]],$I6,TableTime[[Activity]:[Activity]],P$1)*24)</f>
        <v/>
      </c>
      <c r="Q6" s="83" t="str">
        <f>IF(SUMIFS(TableTime[[Duration]:[Duration]],TableTime[[Week]:[Week]],$I6,TableTime[[Activity]:[Activity]],Q$1)*24=0,"",SUMIFS(TableTime[[Duration]:[Duration]],TableTime[[Week]:[Week]],$I6,TableTime[[Activity]:[Activity]],Q$1)*24)</f>
        <v/>
      </c>
      <c r="R6" s="134" t="str">
        <f>IF(SUMIFS(TableTime[[Duration]:[Duration]],TableTime[[Week]:[Week]],$I6,TableTime[[Activity]:[Activity]],R$1)*24=0,"",SUMIFS(TableTime[[Duration]:[Duration]],TableTime[[Week]:[Week]],$I6,TableTime[[Activity]:[Activity]],R$1)*24)</f>
        <v/>
      </c>
      <c r="S6" s="83" t="str">
        <f>IF(SUMIFS(TableTime[[Duration]:[Duration]],TableTime[[Week]:[Week]],$I6,TableTime[[Activity]:[Activity]],S$1)*24=0,"",SUMIFS(TableTime[[Duration]:[Duration]],TableTime[[Week]:[Week]],$I6,TableTime[[Activity]:[Activity]],S$1)*24)</f>
        <v/>
      </c>
      <c r="U6" s="191"/>
      <c r="V6" s="8">
        <f t="shared" si="3"/>
        <v>44949</v>
      </c>
      <c r="W6" s="8">
        <f t="shared" ref="W6:AB6" si="7">V6+1</f>
        <v>44950</v>
      </c>
      <c r="X6" s="8">
        <f t="shared" si="7"/>
        <v>44951</v>
      </c>
      <c r="Y6" s="8">
        <f t="shared" si="7"/>
        <v>44952</v>
      </c>
      <c r="Z6" s="8">
        <f t="shared" si="7"/>
        <v>44953</v>
      </c>
      <c r="AA6" s="8">
        <f t="shared" si="7"/>
        <v>44954</v>
      </c>
      <c r="AB6" s="8">
        <f t="shared" si="7"/>
        <v>44955</v>
      </c>
      <c r="AC6">
        <f t="shared" si="5"/>
        <v>4</v>
      </c>
    </row>
    <row r="7" spans="1:29" x14ac:dyDescent="0.35">
      <c r="A7" s="194" t="s">
        <v>31</v>
      </c>
      <c r="B7" s="18">
        <f>IF(V7="","",IF(VLOOKUP(V7,'Day summary'!$B$2:$E$367,4,FALSE)="",V7,CONCATENATE(DAY(V7)," (",VLOOKUP(V7,'Day summary'!$B$2:$E$367,4,FALSE),")")))</f>
        <v>44956</v>
      </c>
      <c r="C7" s="18">
        <f>IF(W7="","",IF(VLOOKUP(W7,'Day summary'!$B$2:$E$367,4,FALSE)="",W7,CONCATENATE(DAY(W7)," (",VLOOKUP(W7,'Day summary'!$B$2:$E$367,4,FALSE),")")))</f>
        <v>44957</v>
      </c>
      <c r="D7" s="18">
        <f>IF(X7="","",IF(VLOOKUP(X7,'Day summary'!$B$2:$E$367,4,FALSE)="",X7,CONCATENATE(DAY(X7)," (",VLOOKUP(X7,'Day summary'!$B$2:$E$367,4,FALSE),")")))</f>
        <v>44958</v>
      </c>
      <c r="E7" s="18">
        <f>IF(Y7="","",IF(VLOOKUP(Y7,'Day summary'!$B$2:$E$367,4,FALSE)="",Y7,CONCATENATE(DAY(Y7)," (",VLOOKUP(Y7,'Day summary'!$B$2:$E$367,4,FALSE),")")))</f>
        <v>44959</v>
      </c>
      <c r="F7" s="26">
        <f>IF(Z7="","",IF(VLOOKUP(Z7,'Day summary'!$B$2:$E$367,4,FALSE)="",Z7,CONCATENATE(DAY(Z7)," (",VLOOKUP(Z7,'Day summary'!$B$2:$E$367,4,FALSE),")")))</f>
        <v>44960</v>
      </c>
      <c r="G7" s="30">
        <f>IF(AA7="","",IF(VLOOKUP(AA7,'Day summary'!$B$2:$E$367,4,FALSE)="",AA7,CONCATENATE(DAY(AA7)," (",VLOOKUP(AA7,'Day summary'!$B$2:$E$367,4,FALSE),")")))</f>
        <v>44961</v>
      </c>
      <c r="H7" s="31">
        <f>IF(AB7="","",IF(VLOOKUP(AB7,'Day summary'!$B$2:$E$367,4,FALSE)="",AB7,CONCATENATE(DAY(AB7)," (",VLOOKUP(AB7,'Day summary'!$B$2:$E$367,4,FALSE),")")))</f>
        <v>44962</v>
      </c>
      <c r="I7" s="43">
        <f t="shared" si="0"/>
        <v>5</v>
      </c>
      <c r="J7" s="79" t="str">
        <f t="shared" si="1"/>
        <v/>
      </c>
      <c r="K7" s="79" t="str">
        <f ca="1">IF(J7="","",SUMIFS('Day summary'!$I$2:$I$367,'Day summary'!$D$2:$D$367,I7,'Day summary'!$B$2:$B$367,"&lt;"&amp;TODAY())*24-SUMIFS('Day summary'!$G$2:$G$367,'Day summary'!$D$2:$D$367,I7,'Day summary'!$B$2:$B$367,"&lt;"&amp;TODAY())*24)</f>
        <v/>
      </c>
      <c r="L7" s="80" t="str">
        <f>IF(SUMIFS(TableTime[[Duration]:[Duration]],TableTime[[Week]:[Week]],$I7,TableTime[[Activity]:[Activity]],L$1)*24=0,"",SUMIFS(TableTime[[Duration]:[Duration]],TableTime[[Week]:[Week]],$I7,TableTime[[Activity]:[Activity]],L$1)*24)</f>
        <v/>
      </c>
      <c r="M7" s="81" t="str">
        <f>IF(SUMIFS(TableTime[[Duration]:[Duration]],TableTime[[Week]:[Week]],$I7,TableTime[[Activity]:[Activity]],M$1)*24=0,"",SUMIFS(TableTime[[Duration]:[Duration]],TableTime[[Week]:[Week]],$I7,TableTime[[Activity]:[Activity]],M$1)*24)</f>
        <v/>
      </c>
      <c r="N7" s="81" t="str">
        <f>IF(SUMIFS(TableTime[[Duration]:[Duration]],TableTime[[Week]:[Week]],$I7,TableTime[[Activity]:[Activity]],N$1)*24=0,"",SUMIFS(TableTime[[Duration]:[Duration]],TableTime[[Week]:[Week]],$I7,TableTime[[Activity]:[Activity]],N$1)*24)</f>
        <v/>
      </c>
      <c r="O7" s="82" t="str">
        <f>IF(SUMIFS(TableTime[[Duration]:[Duration]],TableTime[[Week]:[Week]],$I7,TableTime[[Activity]:[Activity]],O$1)*24=0,"",SUMIFS(TableTime[[Duration]:[Duration]],TableTime[[Week]:[Week]],$I7,TableTime[[Activity]:[Activity]],O$1)*24)</f>
        <v/>
      </c>
      <c r="P7" s="82" t="str">
        <f>IF(SUMIFS(TableTime[[Duration]:[Duration]],TableTime[[Week]:[Week]],$I7,TableTime[[Activity]:[Activity]],P$1)*24=0,"",SUMIFS(TableTime[[Duration]:[Duration]],TableTime[[Week]:[Week]],$I7,TableTime[[Activity]:[Activity]],P$1)*24)</f>
        <v/>
      </c>
      <c r="Q7" s="83" t="str">
        <f>IF(SUMIFS(TableTime[[Duration]:[Duration]],TableTime[[Week]:[Week]],$I7,TableTime[[Activity]:[Activity]],Q$1)*24=0,"",SUMIFS(TableTime[[Duration]:[Duration]],TableTime[[Week]:[Week]],$I7,TableTime[[Activity]:[Activity]],Q$1)*24)</f>
        <v/>
      </c>
      <c r="R7" s="134" t="str">
        <f>IF(SUMIFS(TableTime[[Duration]:[Duration]],TableTime[[Week]:[Week]],$I7,TableTime[[Activity]:[Activity]],R$1)*24=0,"",SUMIFS(TableTime[[Duration]:[Duration]],TableTime[[Week]:[Week]],$I7,TableTime[[Activity]:[Activity]],R$1)*24)</f>
        <v/>
      </c>
      <c r="S7" s="83" t="str">
        <f>IF(SUMIFS(TableTime[[Duration]:[Duration]],TableTime[[Week]:[Week]],$I7,TableTime[[Activity]:[Activity]],S$1)*24=0,"",SUMIFS(TableTime[[Duration]:[Duration]],TableTime[[Week]:[Week]],$I7,TableTime[[Activity]:[Activity]],S$1)*24)</f>
        <v/>
      </c>
      <c r="U7" s="191" t="s">
        <v>32</v>
      </c>
      <c r="V7" s="8">
        <f t="shared" si="3"/>
        <v>44956</v>
      </c>
      <c r="W7" s="8">
        <f t="shared" ref="W7:AB7" si="8">V7+1</f>
        <v>44957</v>
      </c>
      <c r="X7" s="8">
        <f t="shared" si="8"/>
        <v>44958</v>
      </c>
      <c r="Y7" s="8">
        <f t="shared" si="8"/>
        <v>44959</v>
      </c>
      <c r="Z7" s="8">
        <f t="shared" si="8"/>
        <v>44960</v>
      </c>
      <c r="AA7" s="8">
        <f t="shared" si="8"/>
        <v>44961</v>
      </c>
      <c r="AB7" s="8">
        <f t="shared" si="8"/>
        <v>44962</v>
      </c>
      <c r="AC7">
        <f t="shared" si="5"/>
        <v>5</v>
      </c>
    </row>
    <row r="8" spans="1:29" x14ac:dyDescent="0.35">
      <c r="A8" s="194"/>
      <c r="B8" s="18">
        <f>IF(V8="","",IF(VLOOKUP(V8,'Day summary'!$B$2:$E$367,4,FALSE)="",V8,CONCATENATE(DAY(V8)," (",VLOOKUP(V8,'Day summary'!$B$2:$E$367,4,FALSE),")")))</f>
        <v>44963</v>
      </c>
      <c r="C8" s="18">
        <f>IF(W8="","",IF(VLOOKUP(W8,'Day summary'!$B$2:$E$367,4,FALSE)="",W8,CONCATENATE(DAY(W8)," (",VLOOKUP(W8,'Day summary'!$B$2:$E$367,4,FALSE),")")))</f>
        <v>44964</v>
      </c>
      <c r="D8" s="18">
        <f>IF(X8="","",IF(VLOOKUP(X8,'Day summary'!$B$2:$E$367,4,FALSE)="",X8,CONCATENATE(DAY(X8)," (",VLOOKUP(X8,'Day summary'!$B$2:$E$367,4,FALSE),")")))</f>
        <v>44965</v>
      </c>
      <c r="E8" s="18">
        <f>IF(Y8="","",IF(VLOOKUP(Y8,'Day summary'!$B$2:$E$367,4,FALSE)="",Y8,CONCATENATE(DAY(Y8)," (",VLOOKUP(Y8,'Day summary'!$B$2:$E$367,4,FALSE),")")))</f>
        <v>44966</v>
      </c>
      <c r="F8" s="26">
        <f>IF(Z8="","",IF(VLOOKUP(Z8,'Day summary'!$B$2:$E$367,4,FALSE)="",Z8,CONCATENATE(DAY(Z8)," (",VLOOKUP(Z8,'Day summary'!$B$2:$E$367,4,FALSE),")")))</f>
        <v>44967</v>
      </c>
      <c r="G8" s="30">
        <f>IF(AA8="","",IF(VLOOKUP(AA8,'Day summary'!$B$2:$E$367,4,FALSE)="",AA8,CONCATENATE(DAY(AA8)," (",VLOOKUP(AA8,'Day summary'!$B$2:$E$367,4,FALSE),")")))</f>
        <v>44968</v>
      </c>
      <c r="H8" s="31">
        <f>IF(AB8="","",IF(VLOOKUP(AB8,'Day summary'!$B$2:$E$367,4,FALSE)="",AB8,CONCATENATE(DAY(AB8)," (",VLOOKUP(AB8,'Day summary'!$B$2:$E$367,4,FALSE),")")))</f>
        <v>44969</v>
      </c>
      <c r="I8" s="43">
        <f t="shared" si="0"/>
        <v>6</v>
      </c>
      <c r="J8" s="79" t="str">
        <f t="shared" si="1"/>
        <v/>
      </c>
      <c r="K8" s="79" t="str">
        <f ca="1">IF(J8="","",SUMIFS('Day summary'!$I$2:$I$367,'Day summary'!$D$2:$D$367,I8,'Day summary'!$B$2:$B$367,"&lt;"&amp;TODAY())*24-SUMIFS('Day summary'!$G$2:$G$367,'Day summary'!$D$2:$D$367,I8,'Day summary'!$B$2:$B$367,"&lt;"&amp;TODAY())*24)</f>
        <v/>
      </c>
      <c r="L8" s="80" t="str">
        <f>IF(SUMIFS(TableTime[[Duration]:[Duration]],TableTime[[Week]:[Week]],$I8,TableTime[[Activity]:[Activity]],L$1)*24=0,"",SUMIFS(TableTime[[Duration]:[Duration]],TableTime[[Week]:[Week]],$I8,TableTime[[Activity]:[Activity]],L$1)*24)</f>
        <v/>
      </c>
      <c r="M8" s="81" t="str">
        <f>IF(SUMIFS(TableTime[[Duration]:[Duration]],TableTime[[Week]:[Week]],$I8,TableTime[[Activity]:[Activity]],M$1)*24=0,"",SUMIFS(TableTime[[Duration]:[Duration]],TableTime[[Week]:[Week]],$I8,TableTime[[Activity]:[Activity]],M$1)*24)</f>
        <v/>
      </c>
      <c r="N8" s="81" t="str">
        <f>IF(SUMIFS(TableTime[[Duration]:[Duration]],TableTime[[Week]:[Week]],$I8,TableTime[[Activity]:[Activity]],N$1)*24=0,"",SUMIFS(TableTime[[Duration]:[Duration]],TableTime[[Week]:[Week]],$I8,TableTime[[Activity]:[Activity]],N$1)*24)</f>
        <v/>
      </c>
      <c r="O8" s="82" t="str">
        <f>IF(SUMIFS(TableTime[[Duration]:[Duration]],TableTime[[Week]:[Week]],$I8,TableTime[[Activity]:[Activity]],O$1)*24=0,"",SUMIFS(TableTime[[Duration]:[Duration]],TableTime[[Week]:[Week]],$I8,TableTime[[Activity]:[Activity]],O$1)*24)</f>
        <v/>
      </c>
      <c r="P8" s="82" t="str">
        <f>IF(SUMIFS(TableTime[[Duration]:[Duration]],TableTime[[Week]:[Week]],$I8,TableTime[[Activity]:[Activity]],P$1)*24=0,"",SUMIFS(TableTime[[Duration]:[Duration]],TableTime[[Week]:[Week]],$I8,TableTime[[Activity]:[Activity]],P$1)*24)</f>
        <v/>
      </c>
      <c r="Q8" s="83" t="str">
        <f>IF(SUMIFS(TableTime[[Duration]:[Duration]],TableTime[[Week]:[Week]],$I8,TableTime[[Activity]:[Activity]],Q$1)*24=0,"",SUMIFS(TableTime[[Duration]:[Duration]],TableTime[[Week]:[Week]],$I8,TableTime[[Activity]:[Activity]],Q$1)*24)</f>
        <v/>
      </c>
      <c r="R8" s="134" t="str">
        <f>IF(SUMIFS(TableTime[[Duration]:[Duration]],TableTime[[Week]:[Week]],$I8,TableTime[[Activity]:[Activity]],R$1)*24=0,"",SUMIFS(TableTime[[Duration]:[Duration]],TableTime[[Week]:[Week]],$I8,TableTime[[Activity]:[Activity]],R$1)*24)</f>
        <v/>
      </c>
      <c r="S8" s="83" t="str">
        <f>IF(SUMIFS(TableTime[[Duration]:[Duration]],TableTime[[Week]:[Week]],$I8,TableTime[[Activity]:[Activity]],S$1)*24=0,"",SUMIFS(TableTime[[Duration]:[Duration]],TableTime[[Week]:[Week]],$I8,TableTime[[Activity]:[Activity]],S$1)*24)</f>
        <v/>
      </c>
      <c r="U8" s="191"/>
      <c r="V8" s="8">
        <f t="shared" si="3"/>
        <v>44963</v>
      </c>
      <c r="W8" s="8">
        <f t="shared" ref="W8:AB8" si="9">V8+1</f>
        <v>44964</v>
      </c>
      <c r="X8" s="8">
        <f t="shared" si="9"/>
        <v>44965</v>
      </c>
      <c r="Y8" s="8">
        <f t="shared" si="9"/>
        <v>44966</v>
      </c>
      <c r="Z8" s="8">
        <f t="shared" si="9"/>
        <v>44967</v>
      </c>
      <c r="AA8" s="8">
        <f t="shared" si="9"/>
        <v>44968</v>
      </c>
      <c r="AB8" s="8">
        <f t="shared" si="9"/>
        <v>44969</v>
      </c>
      <c r="AC8">
        <f t="shared" si="5"/>
        <v>6</v>
      </c>
    </row>
    <row r="9" spans="1:29" x14ac:dyDescent="0.35">
      <c r="A9" s="194"/>
      <c r="B9" s="18">
        <f>IF(V9="","",IF(VLOOKUP(V9,'Day summary'!$B$2:$E$367,4,FALSE)="",V9,CONCATENATE(DAY(V9)," (",VLOOKUP(V9,'Day summary'!$B$2:$E$367,4,FALSE),")")))</f>
        <v>44970</v>
      </c>
      <c r="C9" s="18">
        <f>IF(W9="","",IF(VLOOKUP(W9,'Day summary'!$B$2:$E$367,4,FALSE)="",W9,CONCATENATE(DAY(W9)," (",VLOOKUP(W9,'Day summary'!$B$2:$E$367,4,FALSE),")")))</f>
        <v>44971</v>
      </c>
      <c r="D9" s="18">
        <f>IF(X9="","",IF(VLOOKUP(X9,'Day summary'!$B$2:$E$367,4,FALSE)="",X9,CONCATENATE(DAY(X9)," (",VLOOKUP(X9,'Day summary'!$B$2:$E$367,4,FALSE),")")))</f>
        <v>44972</v>
      </c>
      <c r="E9" s="18">
        <f>IF(Y9="","",IF(VLOOKUP(Y9,'Day summary'!$B$2:$E$367,4,FALSE)="",Y9,CONCATENATE(DAY(Y9)," (",VLOOKUP(Y9,'Day summary'!$B$2:$E$367,4,FALSE),")")))</f>
        <v>44973</v>
      </c>
      <c r="F9" s="26">
        <f>IF(Z9="","",IF(VLOOKUP(Z9,'Day summary'!$B$2:$E$367,4,FALSE)="",Z9,CONCATENATE(DAY(Z9)," (",VLOOKUP(Z9,'Day summary'!$B$2:$E$367,4,FALSE),")")))</f>
        <v>44974</v>
      </c>
      <c r="G9" s="30">
        <f>IF(AA9="","",IF(VLOOKUP(AA9,'Day summary'!$B$2:$E$367,4,FALSE)="",AA9,CONCATENATE(DAY(AA9)," (",VLOOKUP(AA9,'Day summary'!$B$2:$E$367,4,FALSE),")")))</f>
        <v>44975</v>
      </c>
      <c r="H9" s="31">
        <f>IF(AB9="","",IF(VLOOKUP(AB9,'Day summary'!$B$2:$E$367,4,FALSE)="",AB9,CONCATENATE(DAY(AB9)," (",VLOOKUP(AB9,'Day summary'!$B$2:$E$367,4,FALSE),")")))</f>
        <v>44976</v>
      </c>
      <c r="I9" s="43">
        <f t="shared" si="0"/>
        <v>7</v>
      </c>
      <c r="J9" s="79" t="str">
        <f t="shared" si="1"/>
        <v/>
      </c>
      <c r="K9" s="79" t="str">
        <f ca="1">IF(J9="","",SUMIFS('Day summary'!$I$2:$I$367,'Day summary'!$D$2:$D$367,I9,'Day summary'!$B$2:$B$367,"&lt;"&amp;TODAY())*24-SUMIFS('Day summary'!$G$2:$G$367,'Day summary'!$D$2:$D$367,I9,'Day summary'!$B$2:$B$367,"&lt;"&amp;TODAY())*24)</f>
        <v/>
      </c>
      <c r="L9" s="80" t="str">
        <f>IF(SUMIFS(TableTime[[Duration]:[Duration]],TableTime[[Week]:[Week]],$I9,TableTime[[Activity]:[Activity]],L$1)*24=0,"",SUMIFS(TableTime[[Duration]:[Duration]],TableTime[[Week]:[Week]],$I9,TableTime[[Activity]:[Activity]],L$1)*24)</f>
        <v/>
      </c>
      <c r="M9" s="81" t="str">
        <f>IF(SUMIFS(TableTime[[Duration]:[Duration]],TableTime[[Week]:[Week]],$I9,TableTime[[Activity]:[Activity]],M$1)*24=0,"",SUMIFS(TableTime[[Duration]:[Duration]],TableTime[[Week]:[Week]],$I9,TableTime[[Activity]:[Activity]],M$1)*24)</f>
        <v/>
      </c>
      <c r="N9" s="81" t="str">
        <f>IF(SUMIFS(TableTime[[Duration]:[Duration]],TableTime[[Week]:[Week]],$I9,TableTime[[Activity]:[Activity]],N$1)*24=0,"",SUMIFS(TableTime[[Duration]:[Duration]],TableTime[[Week]:[Week]],$I9,TableTime[[Activity]:[Activity]],N$1)*24)</f>
        <v/>
      </c>
      <c r="O9" s="82" t="str">
        <f>IF(SUMIFS(TableTime[[Duration]:[Duration]],TableTime[[Week]:[Week]],$I9,TableTime[[Activity]:[Activity]],O$1)*24=0,"",SUMIFS(TableTime[[Duration]:[Duration]],TableTime[[Week]:[Week]],$I9,TableTime[[Activity]:[Activity]],O$1)*24)</f>
        <v/>
      </c>
      <c r="P9" s="82" t="str">
        <f>IF(SUMIFS(TableTime[[Duration]:[Duration]],TableTime[[Week]:[Week]],$I9,TableTime[[Activity]:[Activity]],P$1)*24=0,"",SUMIFS(TableTime[[Duration]:[Duration]],TableTime[[Week]:[Week]],$I9,TableTime[[Activity]:[Activity]],P$1)*24)</f>
        <v/>
      </c>
      <c r="Q9" s="83" t="str">
        <f>IF(SUMIFS(TableTime[[Duration]:[Duration]],TableTime[[Week]:[Week]],$I9,TableTime[[Activity]:[Activity]],Q$1)*24=0,"",SUMIFS(TableTime[[Duration]:[Duration]],TableTime[[Week]:[Week]],$I9,TableTime[[Activity]:[Activity]],Q$1)*24)</f>
        <v/>
      </c>
      <c r="R9" s="134" t="str">
        <f>IF(SUMIFS(TableTime[[Duration]:[Duration]],TableTime[[Week]:[Week]],$I9,TableTime[[Activity]:[Activity]],R$1)*24=0,"",SUMIFS(TableTime[[Duration]:[Duration]],TableTime[[Week]:[Week]],$I9,TableTime[[Activity]:[Activity]],R$1)*24)</f>
        <v/>
      </c>
      <c r="S9" s="83" t="str">
        <f>IF(SUMIFS(TableTime[[Duration]:[Duration]],TableTime[[Week]:[Week]],$I9,TableTime[[Activity]:[Activity]],S$1)*24=0,"",SUMIFS(TableTime[[Duration]:[Duration]],TableTime[[Week]:[Week]],$I9,TableTime[[Activity]:[Activity]],S$1)*24)</f>
        <v/>
      </c>
      <c r="U9" s="191"/>
      <c r="V9" s="8">
        <f t="shared" si="3"/>
        <v>44970</v>
      </c>
      <c r="W9" s="8">
        <f t="shared" ref="W9:AB9" si="10">V9+1</f>
        <v>44971</v>
      </c>
      <c r="X9" s="8">
        <f t="shared" si="10"/>
        <v>44972</v>
      </c>
      <c r="Y9" s="8">
        <f t="shared" si="10"/>
        <v>44973</v>
      </c>
      <c r="Z9" s="8">
        <f t="shared" si="10"/>
        <v>44974</v>
      </c>
      <c r="AA9" s="8">
        <f t="shared" si="10"/>
        <v>44975</v>
      </c>
      <c r="AB9" s="8">
        <f t="shared" si="10"/>
        <v>44976</v>
      </c>
      <c r="AC9">
        <f t="shared" si="5"/>
        <v>7</v>
      </c>
    </row>
    <row r="10" spans="1:29" x14ac:dyDescent="0.35">
      <c r="A10" s="194"/>
      <c r="B10" s="18">
        <f>IF(V10="","",IF(VLOOKUP(V10,'Day summary'!$B$2:$E$367,4,FALSE)="",V10,CONCATENATE(DAY(V10)," (",VLOOKUP(V10,'Day summary'!$B$2:$E$367,4,FALSE),")")))</f>
        <v>44977</v>
      </c>
      <c r="C10" s="18">
        <f>IF(W10="","",IF(VLOOKUP(W10,'Day summary'!$B$2:$E$367,4,FALSE)="",W10,CONCATENATE(DAY(W10)," (",VLOOKUP(W10,'Day summary'!$B$2:$E$367,4,FALSE),")")))</f>
        <v>44978</v>
      </c>
      <c r="D10" s="18">
        <f>IF(X10="","",IF(VLOOKUP(X10,'Day summary'!$B$2:$E$367,4,FALSE)="",X10,CONCATENATE(DAY(X10)," (",VLOOKUP(X10,'Day summary'!$B$2:$E$367,4,FALSE),")")))</f>
        <v>44979</v>
      </c>
      <c r="E10" s="18">
        <f>IF(Y10="","",IF(VLOOKUP(Y10,'Day summary'!$B$2:$E$367,4,FALSE)="",Y10,CONCATENATE(DAY(Y10)," (",VLOOKUP(Y10,'Day summary'!$B$2:$E$367,4,FALSE),")")))</f>
        <v>44980</v>
      </c>
      <c r="F10" s="26">
        <f>IF(Z10="","",IF(VLOOKUP(Z10,'Day summary'!$B$2:$E$367,4,FALSE)="",Z10,CONCATENATE(DAY(Z10)," (",VLOOKUP(Z10,'Day summary'!$B$2:$E$367,4,FALSE),")")))</f>
        <v>44981</v>
      </c>
      <c r="G10" s="30">
        <f>IF(AA10="","",IF(VLOOKUP(AA10,'Day summary'!$B$2:$E$367,4,FALSE)="",AA10,CONCATENATE(DAY(AA10)," (",VLOOKUP(AA10,'Day summary'!$B$2:$E$367,4,FALSE),")")))</f>
        <v>44982</v>
      </c>
      <c r="H10" s="31">
        <f>IF(AB10="","",IF(VLOOKUP(AB10,'Day summary'!$B$2:$E$367,4,FALSE)="",AB10,CONCATENATE(DAY(AB10)," (",VLOOKUP(AB10,'Day summary'!$B$2:$E$367,4,FALSE),")")))</f>
        <v>44983</v>
      </c>
      <c r="I10" s="43">
        <f t="shared" si="0"/>
        <v>8</v>
      </c>
      <c r="J10" s="79" t="str">
        <f t="shared" si="1"/>
        <v/>
      </c>
      <c r="K10" s="79" t="str">
        <f ca="1">IF(J10="","",SUMIFS('Day summary'!$I$2:$I$367,'Day summary'!$D$2:$D$367,I10,'Day summary'!$B$2:$B$367,"&lt;"&amp;TODAY())*24-SUMIFS('Day summary'!$G$2:$G$367,'Day summary'!$D$2:$D$367,I10,'Day summary'!$B$2:$B$367,"&lt;"&amp;TODAY())*24)</f>
        <v/>
      </c>
      <c r="L10" s="80" t="str">
        <f>IF(SUMIFS(TableTime[[Duration]:[Duration]],TableTime[[Week]:[Week]],$I10,TableTime[[Activity]:[Activity]],L$1)*24=0,"",SUMIFS(TableTime[[Duration]:[Duration]],TableTime[[Week]:[Week]],$I10,TableTime[[Activity]:[Activity]],L$1)*24)</f>
        <v/>
      </c>
      <c r="M10" s="81" t="str">
        <f>IF(SUMIFS(TableTime[[Duration]:[Duration]],TableTime[[Week]:[Week]],$I10,TableTime[[Activity]:[Activity]],M$1)*24=0,"",SUMIFS(TableTime[[Duration]:[Duration]],TableTime[[Week]:[Week]],$I10,TableTime[[Activity]:[Activity]],M$1)*24)</f>
        <v/>
      </c>
      <c r="N10" s="81" t="str">
        <f>IF(SUMIFS(TableTime[[Duration]:[Duration]],TableTime[[Week]:[Week]],$I10,TableTime[[Activity]:[Activity]],N$1)*24=0,"",SUMIFS(TableTime[[Duration]:[Duration]],TableTime[[Week]:[Week]],$I10,TableTime[[Activity]:[Activity]],N$1)*24)</f>
        <v/>
      </c>
      <c r="O10" s="82" t="str">
        <f>IF(SUMIFS(TableTime[[Duration]:[Duration]],TableTime[[Week]:[Week]],$I10,TableTime[[Activity]:[Activity]],O$1)*24=0,"",SUMIFS(TableTime[[Duration]:[Duration]],TableTime[[Week]:[Week]],$I10,TableTime[[Activity]:[Activity]],O$1)*24)</f>
        <v/>
      </c>
      <c r="P10" s="82" t="str">
        <f>IF(SUMIFS(TableTime[[Duration]:[Duration]],TableTime[[Week]:[Week]],$I10,TableTime[[Activity]:[Activity]],P$1)*24=0,"",SUMIFS(TableTime[[Duration]:[Duration]],TableTime[[Week]:[Week]],$I10,TableTime[[Activity]:[Activity]],P$1)*24)</f>
        <v/>
      </c>
      <c r="Q10" s="83" t="str">
        <f>IF(SUMIFS(TableTime[[Duration]:[Duration]],TableTime[[Week]:[Week]],$I10,TableTime[[Activity]:[Activity]],Q$1)*24=0,"",SUMIFS(TableTime[[Duration]:[Duration]],TableTime[[Week]:[Week]],$I10,TableTime[[Activity]:[Activity]],Q$1)*24)</f>
        <v/>
      </c>
      <c r="R10" s="134" t="str">
        <f>IF(SUMIFS(TableTime[[Duration]:[Duration]],TableTime[[Week]:[Week]],$I10,TableTime[[Activity]:[Activity]],R$1)*24=0,"",SUMIFS(TableTime[[Duration]:[Duration]],TableTime[[Week]:[Week]],$I10,TableTime[[Activity]:[Activity]],R$1)*24)</f>
        <v/>
      </c>
      <c r="S10" s="83" t="str">
        <f>IF(SUMIFS(TableTime[[Duration]:[Duration]],TableTime[[Week]:[Week]],$I10,TableTime[[Activity]:[Activity]],S$1)*24=0,"",SUMIFS(TableTime[[Duration]:[Duration]],TableTime[[Week]:[Week]],$I10,TableTime[[Activity]:[Activity]],S$1)*24)</f>
        <v/>
      </c>
      <c r="U10" s="191"/>
      <c r="V10" s="8">
        <f t="shared" si="3"/>
        <v>44977</v>
      </c>
      <c r="W10" s="8">
        <f t="shared" ref="W10:AB10" si="11">V10+1</f>
        <v>44978</v>
      </c>
      <c r="X10" s="8">
        <f t="shared" si="11"/>
        <v>44979</v>
      </c>
      <c r="Y10" s="8">
        <f t="shared" si="11"/>
        <v>44980</v>
      </c>
      <c r="Z10" s="8">
        <f t="shared" si="11"/>
        <v>44981</v>
      </c>
      <c r="AA10" s="8">
        <f t="shared" si="11"/>
        <v>44982</v>
      </c>
      <c r="AB10" s="8">
        <f t="shared" si="11"/>
        <v>44983</v>
      </c>
      <c r="AC10">
        <f t="shared" si="5"/>
        <v>8</v>
      </c>
    </row>
    <row r="11" spans="1:29" x14ac:dyDescent="0.35">
      <c r="A11" s="195" t="s">
        <v>33</v>
      </c>
      <c r="B11" s="18">
        <f>IF(V11="","",IF(VLOOKUP(V11,'Day summary'!$B$2:$E$367,4,FALSE)="",V11,CONCATENATE(DAY(V11)," (",VLOOKUP(V11,'Day summary'!$B$2:$E$367,4,FALSE),")")))</f>
        <v>44984</v>
      </c>
      <c r="C11" s="18">
        <f>IF(W11="","",IF(VLOOKUP(W11,'Day summary'!$B$2:$E$367,4,FALSE)="",W11,CONCATENATE(DAY(W11)," (",VLOOKUP(W11,'Day summary'!$B$2:$E$367,4,FALSE),")")))</f>
        <v>44985</v>
      </c>
      <c r="D11" s="18">
        <f>IF(X11="","",IF(VLOOKUP(X11,'Day summary'!$B$2:$E$367,4,FALSE)="",X11,CONCATENATE(DAY(X11)," (",VLOOKUP(X11,'Day summary'!$B$2:$E$367,4,FALSE),")")))</f>
        <v>44986</v>
      </c>
      <c r="E11" s="18">
        <f>IF(Y11="","",IF(VLOOKUP(Y11,'Day summary'!$B$2:$E$367,4,FALSE)="",Y11,CONCATENATE(DAY(Y11)," (",VLOOKUP(Y11,'Day summary'!$B$2:$E$367,4,FALSE),")")))</f>
        <v>44987</v>
      </c>
      <c r="F11" s="26">
        <f>IF(Z11="","",IF(VLOOKUP(Z11,'Day summary'!$B$2:$E$367,4,FALSE)="",Z11,CONCATENATE(DAY(Z11)," (",VLOOKUP(Z11,'Day summary'!$B$2:$E$367,4,FALSE),")")))</f>
        <v>44988</v>
      </c>
      <c r="G11" s="30">
        <f>IF(AA11="","",IF(VLOOKUP(AA11,'Day summary'!$B$2:$E$367,4,FALSE)="",AA11,CONCATENATE(DAY(AA11)," (",VLOOKUP(AA11,'Day summary'!$B$2:$E$367,4,FALSE),")")))</f>
        <v>44989</v>
      </c>
      <c r="H11" s="31">
        <f>IF(AB11="","",IF(VLOOKUP(AB11,'Day summary'!$B$2:$E$367,4,FALSE)="",AB11,CONCATENATE(DAY(AB11)," (",VLOOKUP(AB11,'Day summary'!$B$2:$E$367,4,FALSE),")")))</f>
        <v>44990</v>
      </c>
      <c r="I11" s="43">
        <f t="shared" si="0"/>
        <v>9</v>
      </c>
      <c r="J11" s="79" t="str">
        <f t="shared" si="1"/>
        <v/>
      </c>
      <c r="K11" s="79" t="str">
        <f ca="1">IF(J11="","",SUMIFS('Day summary'!$I$2:$I$367,'Day summary'!$D$2:$D$367,I11,'Day summary'!$B$2:$B$367,"&lt;"&amp;TODAY())*24-SUMIFS('Day summary'!$G$2:$G$367,'Day summary'!$D$2:$D$367,I11,'Day summary'!$B$2:$B$367,"&lt;"&amp;TODAY())*24)</f>
        <v/>
      </c>
      <c r="L11" s="80" t="str">
        <f>IF(SUMIFS(TableTime[[Duration]:[Duration]],TableTime[[Week]:[Week]],$I11,TableTime[[Activity]:[Activity]],L$1)*24=0,"",SUMIFS(TableTime[[Duration]:[Duration]],TableTime[[Week]:[Week]],$I11,TableTime[[Activity]:[Activity]],L$1)*24)</f>
        <v/>
      </c>
      <c r="M11" s="81" t="str">
        <f>IF(SUMIFS(TableTime[[Duration]:[Duration]],TableTime[[Week]:[Week]],$I11,TableTime[[Activity]:[Activity]],M$1)*24=0,"",SUMIFS(TableTime[[Duration]:[Duration]],TableTime[[Week]:[Week]],$I11,TableTime[[Activity]:[Activity]],M$1)*24)</f>
        <v/>
      </c>
      <c r="N11" s="81" t="str">
        <f>IF(SUMIFS(TableTime[[Duration]:[Duration]],TableTime[[Week]:[Week]],$I11,TableTime[[Activity]:[Activity]],N$1)*24=0,"",SUMIFS(TableTime[[Duration]:[Duration]],TableTime[[Week]:[Week]],$I11,TableTime[[Activity]:[Activity]],N$1)*24)</f>
        <v/>
      </c>
      <c r="O11" s="82" t="str">
        <f>IF(SUMIFS(TableTime[[Duration]:[Duration]],TableTime[[Week]:[Week]],$I11,TableTime[[Activity]:[Activity]],O$1)*24=0,"",SUMIFS(TableTime[[Duration]:[Duration]],TableTime[[Week]:[Week]],$I11,TableTime[[Activity]:[Activity]],O$1)*24)</f>
        <v/>
      </c>
      <c r="P11" s="82" t="str">
        <f>IF(SUMIFS(TableTime[[Duration]:[Duration]],TableTime[[Week]:[Week]],$I11,TableTime[[Activity]:[Activity]],P$1)*24=0,"",SUMIFS(TableTime[[Duration]:[Duration]],TableTime[[Week]:[Week]],$I11,TableTime[[Activity]:[Activity]],P$1)*24)</f>
        <v/>
      </c>
      <c r="Q11" s="83" t="str">
        <f>IF(SUMIFS(TableTime[[Duration]:[Duration]],TableTime[[Week]:[Week]],$I11,TableTime[[Activity]:[Activity]],Q$1)*24=0,"",SUMIFS(TableTime[[Duration]:[Duration]],TableTime[[Week]:[Week]],$I11,TableTime[[Activity]:[Activity]],Q$1)*24)</f>
        <v/>
      </c>
      <c r="R11" s="134" t="str">
        <f>IF(SUMIFS(TableTime[[Duration]:[Duration]],TableTime[[Week]:[Week]],$I11,TableTime[[Activity]:[Activity]],R$1)*24=0,"",SUMIFS(TableTime[[Duration]:[Duration]],TableTime[[Week]:[Week]],$I11,TableTime[[Activity]:[Activity]],R$1)*24)</f>
        <v/>
      </c>
      <c r="S11" s="83" t="str">
        <f>IF(SUMIFS(TableTime[[Duration]:[Duration]],TableTime[[Week]:[Week]],$I11,TableTime[[Activity]:[Activity]],S$1)*24=0,"",SUMIFS(TableTime[[Duration]:[Duration]],TableTime[[Week]:[Week]],$I11,TableTime[[Activity]:[Activity]],S$1)*24)</f>
        <v/>
      </c>
      <c r="U11" s="191" t="s">
        <v>34</v>
      </c>
      <c r="V11" s="8">
        <f t="shared" si="3"/>
        <v>44984</v>
      </c>
      <c r="W11" s="8">
        <f t="shared" ref="W11:AB11" si="12">V11+1</f>
        <v>44985</v>
      </c>
      <c r="X11" s="8">
        <f t="shared" si="12"/>
        <v>44986</v>
      </c>
      <c r="Y11" s="8">
        <f t="shared" si="12"/>
        <v>44987</v>
      </c>
      <c r="Z11" s="8">
        <f t="shared" si="12"/>
        <v>44988</v>
      </c>
      <c r="AA11" s="8">
        <f t="shared" si="12"/>
        <v>44989</v>
      </c>
      <c r="AB11" s="8">
        <f t="shared" si="12"/>
        <v>44990</v>
      </c>
      <c r="AC11">
        <f t="shared" si="5"/>
        <v>9</v>
      </c>
    </row>
    <row r="12" spans="1:29" x14ac:dyDescent="0.35">
      <c r="A12" s="195"/>
      <c r="B12" s="18">
        <f>IF(V12="","",IF(VLOOKUP(V12,'Day summary'!$B$2:$E$367,4,FALSE)="",V12,CONCATENATE(DAY(V12)," (",VLOOKUP(V12,'Day summary'!$B$2:$E$367,4,FALSE),")")))</f>
        <v>44991</v>
      </c>
      <c r="C12" s="18">
        <f>IF(W12="","",IF(VLOOKUP(W12,'Day summary'!$B$2:$E$367,4,FALSE)="",W12,CONCATENATE(DAY(W12)," (",VLOOKUP(W12,'Day summary'!$B$2:$E$367,4,FALSE),")")))</f>
        <v>44992</v>
      </c>
      <c r="D12" s="18">
        <f>IF(X12="","",IF(VLOOKUP(X12,'Day summary'!$B$2:$E$367,4,FALSE)="",X12,CONCATENATE(DAY(X12)," (",VLOOKUP(X12,'Day summary'!$B$2:$E$367,4,FALSE),")")))</f>
        <v>44993</v>
      </c>
      <c r="E12" s="18">
        <f>IF(Y12="","",IF(VLOOKUP(Y12,'Day summary'!$B$2:$E$367,4,FALSE)="",Y12,CONCATENATE(DAY(Y12)," (",VLOOKUP(Y12,'Day summary'!$B$2:$E$367,4,FALSE),")")))</f>
        <v>44994</v>
      </c>
      <c r="F12" s="26">
        <f>IF(Z12="","",IF(VLOOKUP(Z12,'Day summary'!$B$2:$E$367,4,FALSE)="",Z12,CONCATENATE(DAY(Z12)," (",VLOOKUP(Z12,'Day summary'!$B$2:$E$367,4,FALSE),")")))</f>
        <v>44995</v>
      </c>
      <c r="G12" s="30">
        <f>IF(AA12="","",IF(VLOOKUP(AA12,'Day summary'!$B$2:$E$367,4,FALSE)="",AA12,CONCATENATE(DAY(AA12)," (",VLOOKUP(AA12,'Day summary'!$B$2:$E$367,4,FALSE),")")))</f>
        <v>44996</v>
      </c>
      <c r="H12" s="31">
        <f>IF(AB12="","",IF(VLOOKUP(AB12,'Day summary'!$B$2:$E$367,4,FALSE)="",AB12,CONCATENATE(DAY(AB12)," (",VLOOKUP(AB12,'Day summary'!$B$2:$E$367,4,FALSE),")")))</f>
        <v>44997</v>
      </c>
      <c r="I12" s="43">
        <f t="shared" si="0"/>
        <v>10</v>
      </c>
      <c r="J12" s="79" t="str">
        <f t="shared" si="1"/>
        <v/>
      </c>
      <c r="K12" s="79" t="str">
        <f ca="1">IF(J12="","",SUMIFS('Day summary'!$I$2:$I$367,'Day summary'!$D$2:$D$367,I12,'Day summary'!$B$2:$B$367,"&lt;"&amp;TODAY())*24-SUMIFS('Day summary'!$G$2:$G$367,'Day summary'!$D$2:$D$367,I12,'Day summary'!$B$2:$B$367,"&lt;"&amp;TODAY())*24)</f>
        <v/>
      </c>
      <c r="L12" s="80" t="str">
        <f>IF(SUMIFS(TableTime[[Duration]:[Duration]],TableTime[[Week]:[Week]],$I12,TableTime[[Activity]:[Activity]],L$1)*24=0,"",SUMIFS(TableTime[[Duration]:[Duration]],TableTime[[Week]:[Week]],$I12,TableTime[[Activity]:[Activity]],L$1)*24)</f>
        <v/>
      </c>
      <c r="M12" s="81" t="str">
        <f>IF(SUMIFS(TableTime[[Duration]:[Duration]],TableTime[[Week]:[Week]],$I12,TableTime[[Activity]:[Activity]],M$1)*24=0,"",SUMIFS(TableTime[[Duration]:[Duration]],TableTime[[Week]:[Week]],$I12,TableTime[[Activity]:[Activity]],M$1)*24)</f>
        <v/>
      </c>
      <c r="N12" s="81" t="str">
        <f>IF(SUMIFS(TableTime[[Duration]:[Duration]],TableTime[[Week]:[Week]],$I12,TableTime[[Activity]:[Activity]],N$1)*24=0,"",SUMIFS(TableTime[[Duration]:[Duration]],TableTime[[Week]:[Week]],$I12,TableTime[[Activity]:[Activity]],N$1)*24)</f>
        <v/>
      </c>
      <c r="O12" s="82" t="str">
        <f>IF(SUMIFS(TableTime[[Duration]:[Duration]],TableTime[[Week]:[Week]],$I12,TableTime[[Activity]:[Activity]],O$1)*24=0,"",SUMIFS(TableTime[[Duration]:[Duration]],TableTime[[Week]:[Week]],$I12,TableTime[[Activity]:[Activity]],O$1)*24)</f>
        <v/>
      </c>
      <c r="P12" s="82" t="str">
        <f>IF(SUMIFS(TableTime[[Duration]:[Duration]],TableTime[[Week]:[Week]],$I12,TableTime[[Activity]:[Activity]],P$1)*24=0,"",SUMIFS(TableTime[[Duration]:[Duration]],TableTime[[Week]:[Week]],$I12,TableTime[[Activity]:[Activity]],P$1)*24)</f>
        <v/>
      </c>
      <c r="Q12" s="83" t="str">
        <f>IF(SUMIFS(TableTime[[Duration]:[Duration]],TableTime[[Week]:[Week]],$I12,TableTime[[Activity]:[Activity]],Q$1)*24=0,"",SUMIFS(TableTime[[Duration]:[Duration]],TableTime[[Week]:[Week]],$I12,TableTime[[Activity]:[Activity]],Q$1)*24)</f>
        <v/>
      </c>
      <c r="R12" s="134" t="str">
        <f>IF(SUMIFS(TableTime[[Duration]:[Duration]],TableTime[[Week]:[Week]],$I12,TableTime[[Activity]:[Activity]],R$1)*24=0,"",SUMIFS(TableTime[[Duration]:[Duration]],TableTime[[Week]:[Week]],$I12,TableTime[[Activity]:[Activity]],R$1)*24)</f>
        <v/>
      </c>
      <c r="S12" s="83" t="str">
        <f>IF(SUMIFS(TableTime[[Duration]:[Duration]],TableTime[[Week]:[Week]],$I12,TableTime[[Activity]:[Activity]],S$1)*24=0,"",SUMIFS(TableTime[[Duration]:[Duration]],TableTime[[Week]:[Week]],$I12,TableTime[[Activity]:[Activity]],S$1)*24)</f>
        <v/>
      </c>
      <c r="U12" s="191"/>
      <c r="V12" s="8">
        <f t="shared" si="3"/>
        <v>44991</v>
      </c>
      <c r="W12" s="8">
        <f t="shared" ref="W12:AB12" si="13">V12+1</f>
        <v>44992</v>
      </c>
      <c r="X12" s="8">
        <f t="shared" si="13"/>
        <v>44993</v>
      </c>
      <c r="Y12" s="8">
        <f t="shared" si="13"/>
        <v>44994</v>
      </c>
      <c r="Z12" s="8">
        <f t="shared" si="13"/>
        <v>44995</v>
      </c>
      <c r="AA12" s="8">
        <f t="shared" si="13"/>
        <v>44996</v>
      </c>
      <c r="AB12" s="8">
        <f t="shared" si="13"/>
        <v>44997</v>
      </c>
      <c r="AC12">
        <f t="shared" si="5"/>
        <v>10</v>
      </c>
    </row>
    <row r="13" spans="1:29" x14ac:dyDescent="0.35">
      <c r="A13" s="195"/>
      <c r="B13" s="18">
        <f>IF(V13="","",IF(VLOOKUP(V13,'Day summary'!$B$2:$E$367,4,FALSE)="",V13,CONCATENATE(DAY(V13)," (",VLOOKUP(V13,'Day summary'!$B$2:$E$367,4,FALSE),")")))</f>
        <v>44998</v>
      </c>
      <c r="C13" s="18">
        <f>IF(W13="","",IF(VLOOKUP(W13,'Day summary'!$B$2:$E$367,4,FALSE)="",W13,CONCATENATE(DAY(W13)," (",VLOOKUP(W13,'Day summary'!$B$2:$E$367,4,FALSE),")")))</f>
        <v>44999</v>
      </c>
      <c r="D13" s="18">
        <f>IF(X13="","",IF(VLOOKUP(X13,'Day summary'!$B$2:$E$367,4,FALSE)="",X13,CONCATENATE(DAY(X13)," (",VLOOKUP(X13,'Day summary'!$B$2:$E$367,4,FALSE),")")))</f>
        <v>45000</v>
      </c>
      <c r="E13" s="18">
        <f>IF(Y13="","",IF(VLOOKUP(Y13,'Day summary'!$B$2:$E$367,4,FALSE)="",Y13,CONCATENATE(DAY(Y13)," (",VLOOKUP(Y13,'Day summary'!$B$2:$E$367,4,FALSE),")")))</f>
        <v>45001</v>
      </c>
      <c r="F13" s="26">
        <f>IF(Z13="","",IF(VLOOKUP(Z13,'Day summary'!$B$2:$E$367,4,FALSE)="",Z13,CONCATENATE(DAY(Z13)," (",VLOOKUP(Z13,'Day summary'!$B$2:$E$367,4,FALSE),")")))</f>
        <v>45002</v>
      </c>
      <c r="G13" s="30">
        <f>IF(AA13="","",IF(VLOOKUP(AA13,'Day summary'!$B$2:$E$367,4,FALSE)="",AA13,CONCATENATE(DAY(AA13)," (",VLOOKUP(AA13,'Day summary'!$B$2:$E$367,4,FALSE),")")))</f>
        <v>45003</v>
      </c>
      <c r="H13" s="31">
        <f>IF(AB13="","",IF(VLOOKUP(AB13,'Day summary'!$B$2:$E$367,4,FALSE)="",AB13,CONCATENATE(DAY(AB13)," (",VLOOKUP(AB13,'Day summary'!$B$2:$E$367,4,FALSE),")")))</f>
        <v>45004</v>
      </c>
      <c r="I13" s="43">
        <f t="shared" si="0"/>
        <v>11</v>
      </c>
      <c r="J13" s="79" t="str">
        <f t="shared" si="1"/>
        <v/>
      </c>
      <c r="K13" s="79" t="str">
        <f ca="1">IF(J13="","",SUMIFS('Day summary'!$I$2:$I$367,'Day summary'!$D$2:$D$367,I13,'Day summary'!$B$2:$B$367,"&lt;"&amp;TODAY())*24-SUMIFS('Day summary'!$G$2:$G$367,'Day summary'!$D$2:$D$367,I13,'Day summary'!$B$2:$B$367,"&lt;"&amp;TODAY())*24)</f>
        <v/>
      </c>
      <c r="L13" s="80" t="str">
        <f>IF(SUMIFS(TableTime[[Duration]:[Duration]],TableTime[[Week]:[Week]],$I13,TableTime[[Activity]:[Activity]],L$1)*24=0,"",SUMIFS(TableTime[[Duration]:[Duration]],TableTime[[Week]:[Week]],$I13,TableTime[[Activity]:[Activity]],L$1)*24)</f>
        <v/>
      </c>
      <c r="M13" s="81" t="str">
        <f>IF(SUMIFS(TableTime[[Duration]:[Duration]],TableTime[[Week]:[Week]],$I13,TableTime[[Activity]:[Activity]],M$1)*24=0,"",SUMIFS(TableTime[[Duration]:[Duration]],TableTime[[Week]:[Week]],$I13,TableTime[[Activity]:[Activity]],M$1)*24)</f>
        <v/>
      </c>
      <c r="N13" s="81" t="str">
        <f>IF(SUMIFS(TableTime[[Duration]:[Duration]],TableTime[[Week]:[Week]],$I13,TableTime[[Activity]:[Activity]],N$1)*24=0,"",SUMIFS(TableTime[[Duration]:[Duration]],TableTime[[Week]:[Week]],$I13,TableTime[[Activity]:[Activity]],N$1)*24)</f>
        <v/>
      </c>
      <c r="O13" s="82" t="str">
        <f>IF(SUMIFS(TableTime[[Duration]:[Duration]],TableTime[[Week]:[Week]],$I13,TableTime[[Activity]:[Activity]],O$1)*24=0,"",SUMIFS(TableTime[[Duration]:[Duration]],TableTime[[Week]:[Week]],$I13,TableTime[[Activity]:[Activity]],O$1)*24)</f>
        <v/>
      </c>
      <c r="P13" s="82" t="str">
        <f>IF(SUMIFS(TableTime[[Duration]:[Duration]],TableTime[[Week]:[Week]],$I13,TableTime[[Activity]:[Activity]],P$1)*24=0,"",SUMIFS(TableTime[[Duration]:[Duration]],TableTime[[Week]:[Week]],$I13,TableTime[[Activity]:[Activity]],P$1)*24)</f>
        <v/>
      </c>
      <c r="Q13" s="83" t="str">
        <f>IF(SUMIFS(TableTime[[Duration]:[Duration]],TableTime[[Week]:[Week]],$I13,TableTime[[Activity]:[Activity]],Q$1)*24=0,"",SUMIFS(TableTime[[Duration]:[Duration]],TableTime[[Week]:[Week]],$I13,TableTime[[Activity]:[Activity]],Q$1)*24)</f>
        <v/>
      </c>
      <c r="R13" s="134" t="str">
        <f>IF(SUMIFS(TableTime[[Duration]:[Duration]],TableTime[[Week]:[Week]],$I13,TableTime[[Activity]:[Activity]],R$1)*24=0,"",SUMIFS(TableTime[[Duration]:[Duration]],TableTime[[Week]:[Week]],$I13,TableTime[[Activity]:[Activity]],R$1)*24)</f>
        <v/>
      </c>
      <c r="S13" s="83" t="str">
        <f>IF(SUMIFS(TableTime[[Duration]:[Duration]],TableTime[[Week]:[Week]],$I13,TableTime[[Activity]:[Activity]],S$1)*24=0,"",SUMIFS(TableTime[[Duration]:[Duration]],TableTime[[Week]:[Week]],$I13,TableTime[[Activity]:[Activity]],S$1)*24)</f>
        <v/>
      </c>
      <c r="U13" s="191"/>
      <c r="V13" s="8">
        <f t="shared" si="3"/>
        <v>44998</v>
      </c>
      <c r="W13" s="8">
        <f t="shared" ref="W13:AB13" si="14">V13+1</f>
        <v>44999</v>
      </c>
      <c r="X13" s="8">
        <f t="shared" si="14"/>
        <v>45000</v>
      </c>
      <c r="Y13" s="8">
        <f t="shared" si="14"/>
        <v>45001</v>
      </c>
      <c r="Z13" s="8">
        <f t="shared" si="14"/>
        <v>45002</v>
      </c>
      <c r="AA13" s="8">
        <f t="shared" si="14"/>
        <v>45003</v>
      </c>
      <c r="AB13" s="8">
        <f t="shared" si="14"/>
        <v>45004</v>
      </c>
      <c r="AC13">
        <f t="shared" si="5"/>
        <v>11</v>
      </c>
    </row>
    <row r="14" spans="1:29" x14ac:dyDescent="0.35">
      <c r="A14" s="195"/>
      <c r="B14" s="18">
        <f>IF(V14="","",IF(VLOOKUP(V14,'Day summary'!$B$2:$E$367,4,FALSE)="",V14,CONCATENATE(DAY(V14)," (",VLOOKUP(V14,'Day summary'!$B$2:$E$367,4,FALSE),")")))</f>
        <v>45005</v>
      </c>
      <c r="C14" s="18">
        <f>IF(W14="","",IF(VLOOKUP(W14,'Day summary'!$B$2:$E$367,4,FALSE)="",W14,CONCATENATE(DAY(W14)," (",VLOOKUP(W14,'Day summary'!$B$2:$E$367,4,FALSE),")")))</f>
        <v>45006</v>
      </c>
      <c r="D14" s="18">
        <f>IF(X14="","",IF(VLOOKUP(X14,'Day summary'!$B$2:$E$367,4,FALSE)="",X14,CONCATENATE(DAY(X14)," (",VLOOKUP(X14,'Day summary'!$B$2:$E$367,4,FALSE),")")))</f>
        <v>45007</v>
      </c>
      <c r="E14" s="18">
        <f>IF(Y14="","",IF(VLOOKUP(Y14,'Day summary'!$B$2:$E$367,4,FALSE)="",Y14,CONCATENATE(DAY(Y14)," (",VLOOKUP(Y14,'Day summary'!$B$2:$E$367,4,FALSE),")")))</f>
        <v>45008</v>
      </c>
      <c r="F14" s="26">
        <f>IF(Z14="","",IF(VLOOKUP(Z14,'Day summary'!$B$2:$E$367,4,FALSE)="",Z14,CONCATENATE(DAY(Z14)," (",VLOOKUP(Z14,'Day summary'!$B$2:$E$367,4,FALSE),")")))</f>
        <v>45009</v>
      </c>
      <c r="G14" s="30">
        <f>IF(AA14="","",IF(VLOOKUP(AA14,'Day summary'!$B$2:$E$367,4,FALSE)="",AA14,CONCATENATE(DAY(AA14)," (",VLOOKUP(AA14,'Day summary'!$B$2:$E$367,4,FALSE),")")))</f>
        <v>45010</v>
      </c>
      <c r="H14" s="31">
        <f>IF(AB14="","",IF(VLOOKUP(AB14,'Day summary'!$B$2:$E$367,4,FALSE)="",AB14,CONCATENATE(DAY(AB14)," (",VLOOKUP(AB14,'Day summary'!$B$2:$E$367,4,FALSE),")")))</f>
        <v>45011</v>
      </c>
      <c r="I14" s="43">
        <f t="shared" si="0"/>
        <v>12</v>
      </c>
      <c r="J14" s="79" t="str">
        <f t="shared" si="1"/>
        <v/>
      </c>
      <c r="K14" s="79" t="str">
        <f ca="1">IF(J14="","",SUMIFS('Day summary'!$I$2:$I$367,'Day summary'!$D$2:$D$367,I14,'Day summary'!$B$2:$B$367,"&lt;"&amp;TODAY())*24-SUMIFS('Day summary'!$G$2:$G$367,'Day summary'!$D$2:$D$367,I14,'Day summary'!$B$2:$B$367,"&lt;"&amp;TODAY())*24)</f>
        <v/>
      </c>
      <c r="L14" s="80" t="str">
        <f>IF(SUMIFS(TableTime[[Duration]:[Duration]],TableTime[[Week]:[Week]],$I14,TableTime[[Activity]:[Activity]],L$1)*24=0,"",SUMIFS(TableTime[[Duration]:[Duration]],TableTime[[Week]:[Week]],$I14,TableTime[[Activity]:[Activity]],L$1)*24)</f>
        <v/>
      </c>
      <c r="M14" s="81" t="str">
        <f>IF(SUMIFS(TableTime[[Duration]:[Duration]],TableTime[[Week]:[Week]],$I14,TableTime[[Activity]:[Activity]],M$1)*24=0,"",SUMIFS(TableTime[[Duration]:[Duration]],TableTime[[Week]:[Week]],$I14,TableTime[[Activity]:[Activity]],M$1)*24)</f>
        <v/>
      </c>
      <c r="N14" s="81" t="str">
        <f>IF(SUMIFS(TableTime[[Duration]:[Duration]],TableTime[[Week]:[Week]],$I14,TableTime[[Activity]:[Activity]],N$1)*24=0,"",SUMIFS(TableTime[[Duration]:[Duration]],TableTime[[Week]:[Week]],$I14,TableTime[[Activity]:[Activity]],N$1)*24)</f>
        <v/>
      </c>
      <c r="O14" s="82" t="str">
        <f>IF(SUMIFS(TableTime[[Duration]:[Duration]],TableTime[[Week]:[Week]],$I14,TableTime[[Activity]:[Activity]],O$1)*24=0,"",SUMIFS(TableTime[[Duration]:[Duration]],TableTime[[Week]:[Week]],$I14,TableTime[[Activity]:[Activity]],O$1)*24)</f>
        <v/>
      </c>
      <c r="P14" s="82" t="str">
        <f>IF(SUMIFS(TableTime[[Duration]:[Duration]],TableTime[[Week]:[Week]],$I14,TableTime[[Activity]:[Activity]],P$1)*24=0,"",SUMIFS(TableTime[[Duration]:[Duration]],TableTime[[Week]:[Week]],$I14,TableTime[[Activity]:[Activity]],P$1)*24)</f>
        <v/>
      </c>
      <c r="Q14" s="83" t="str">
        <f>IF(SUMIFS(TableTime[[Duration]:[Duration]],TableTime[[Week]:[Week]],$I14,TableTime[[Activity]:[Activity]],Q$1)*24=0,"",SUMIFS(TableTime[[Duration]:[Duration]],TableTime[[Week]:[Week]],$I14,TableTime[[Activity]:[Activity]],Q$1)*24)</f>
        <v/>
      </c>
      <c r="R14" s="134" t="str">
        <f>IF(SUMIFS(TableTime[[Duration]:[Duration]],TableTime[[Week]:[Week]],$I14,TableTime[[Activity]:[Activity]],R$1)*24=0,"",SUMIFS(TableTime[[Duration]:[Duration]],TableTime[[Week]:[Week]],$I14,TableTime[[Activity]:[Activity]],R$1)*24)</f>
        <v/>
      </c>
      <c r="S14" s="83" t="str">
        <f>IF(SUMIFS(TableTime[[Duration]:[Duration]],TableTime[[Week]:[Week]],$I14,TableTime[[Activity]:[Activity]],S$1)*24=0,"",SUMIFS(TableTime[[Duration]:[Duration]],TableTime[[Week]:[Week]],$I14,TableTime[[Activity]:[Activity]],S$1)*24)</f>
        <v/>
      </c>
      <c r="U14" s="191"/>
      <c r="V14" s="8">
        <f t="shared" si="3"/>
        <v>45005</v>
      </c>
      <c r="W14" s="8">
        <f t="shared" ref="W14:AB14" si="15">V14+1</f>
        <v>45006</v>
      </c>
      <c r="X14" s="8">
        <f t="shared" si="15"/>
        <v>45007</v>
      </c>
      <c r="Y14" s="8">
        <f t="shared" si="15"/>
        <v>45008</v>
      </c>
      <c r="Z14" s="8">
        <f t="shared" si="15"/>
        <v>45009</v>
      </c>
      <c r="AA14" s="8">
        <f t="shared" si="15"/>
        <v>45010</v>
      </c>
      <c r="AB14" s="8">
        <f t="shared" si="15"/>
        <v>45011</v>
      </c>
      <c r="AC14">
        <f t="shared" si="5"/>
        <v>12</v>
      </c>
    </row>
    <row r="15" spans="1:29" x14ac:dyDescent="0.35">
      <c r="A15" s="196" t="s">
        <v>35</v>
      </c>
      <c r="B15" s="18">
        <f>IF(V15="","",IF(VLOOKUP(V15,'Day summary'!$B$2:$E$367,4,FALSE)="",V15,CONCATENATE(DAY(V15)," (",VLOOKUP(V15,'Day summary'!$B$2:$E$367,4,FALSE),")")))</f>
        <v>45012</v>
      </c>
      <c r="C15" s="18">
        <f>IF(W15="","",IF(VLOOKUP(W15,'Day summary'!$B$2:$E$367,4,FALSE)="",W15,CONCATENATE(DAY(W15)," (",VLOOKUP(W15,'Day summary'!$B$2:$E$367,4,FALSE),")")))</f>
        <v>45013</v>
      </c>
      <c r="D15" s="18">
        <f>IF(X15="","",IF(VLOOKUP(X15,'Day summary'!$B$2:$E$367,4,FALSE)="",X15,CONCATENATE(DAY(X15)," (",VLOOKUP(X15,'Day summary'!$B$2:$E$367,4,FALSE),")")))</f>
        <v>45014</v>
      </c>
      <c r="E15" s="18">
        <f>IF(Y15="","",IF(VLOOKUP(Y15,'Day summary'!$B$2:$E$367,4,FALSE)="",Y15,CONCATENATE(DAY(Y15)," (",VLOOKUP(Y15,'Day summary'!$B$2:$E$367,4,FALSE),")")))</f>
        <v>45015</v>
      </c>
      <c r="F15" s="26">
        <f>IF(Z15="","",IF(VLOOKUP(Z15,'Day summary'!$B$2:$E$367,4,FALSE)="",Z15,CONCATENATE(DAY(Z15)," (",VLOOKUP(Z15,'Day summary'!$B$2:$E$367,4,FALSE),")")))</f>
        <v>45016</v>
      </c>
      <c r="G15" s="30">
        <f>IF(AA15="","",IF(VLOOKUP(AA15,'Day summary'!$B$2:$E$367,4,FALSE)="",AA15,CONCATENATE(DAY(AA15)," (",VLOOKUP(AA15,'Day summary'!$B$2:$E$367,4,FALSE),")")))</f>
        <v>45017</v>
      </c>
      <c r="H15" s="31">
        <f>IF(AB15="","",IF(VLOOKUP(AB15,'Day summary'!$B$2:$E$367,4,FALSE)="",AB15,CONCATENATE(DAY(AB15)," (",VLOOKUP(AB15,'Day summary'!$B$2:$E$367,4,FALSE),")")))</f>
        <v>45018</v>
      </c>
      <c r="I15" s="43">
        <f t="shared" si="0"/>
        <v>13</v>
      </c>
      <c r="J15" s="79" t="str">
        <f t="shared" si="1"/>
        <v/>
      </c>
      <c r="K15" s="79" t="str">
        <f ca="1">IF(J15="","",SUMIFS('Day summary'!$I$2:$I$367,'Day summary'!$D$2:$D$367,I15,'Day summary'!$B$2:$B$367,"&lt;"&amp;TODAY())*24-SUMIFS('Day summary'!$G$2:$G$367,'Day summary'!$D$2:$D$367,I15,'Day summary'!$B$2:$B$367,"&lt;"&amp;TODAY())*24)</f>
        <v/>
      </c>
      <c r="L15" s="80" t="str">
        <f>IF(SUMIFS(TableTime[[Duration]:[Duration]],TableTime[[Week]:[Week]],$I15,TableTime[[Activity]:[Activity]],L$1)*24=0,"",SUMIFS(TableTime[[Duration]:[Duration]],TableTime[[Week]:[Week]],$I15,TableTime[[Activity]:[Activity]],L$1)*24)</f>
        <v/>
      </c>
      <c r="M15" s="81" t="str">
        <f>IF(SUMIFS(TableTime[[Duration]:[Duration]],TableTime[[Week]:[Week]],$I15,TableTime[[Activity]:[Activity]],M$1)*24=0,"",SUMIFS(TableTime[[Duration]:[Duration]],TableTime[[Week]:[Week]],$I15,TableTime[[Activity]:[Activity]],M$1)*24)</f>
        <v/>
      </c>
      <c r="N15" s="81" t="str">
        <f>IF(SUMIFS(TableTime[[Duration]:[Duration]],TableTime[[Week]:[Week]],$I15,TableTime[[Activity]:[Activity]],N$1)*24=0,"",SUMIFS(TableTime[[Duration]:[Duration]],TableTime[[Week]:[Week]],$I15,TableTime[[Activity]:[Activity]],N$1)*24)</f>
        <v/>
      </c>
      <c r="O15" s="82" t="str">
        <f>IF(SUMIFS(TableTime[[Duration]:[Duration]],TableTime[[Week]:[Week]],$I15,TableTime[[Activity]:[Activity]],O$1)*24=0,"",SUMIFS(TableTime[[Duration]:[Duration]],TableTime[[Week]:[Week]],$I15,TableTime[[Activity]:[Activity]],O$1)*24)</f>
        <v/>
      </c>
      <c r="P15" s="82" t="str">
        <f>IF(SUMIFS(TableTime[[Duration]:[Duration]],TableTime[[Week]:[Week]],$I15,TableTime[[Activity]:[Activity]],P$1)*24=0,"",SUMIFS(TableTime[[Duration]:[Duration]],TableTime[[Week]:[Week]],$I15,TableTime[[Activity]:[Activity]],P$1)*24)</f>
        <v/>
      </c>
      <c r="Q15" s="83" t="str">
        <f>IF(SUMIFS(TableTime[[Duration]:[Duration]],TableTime[[Week]:[Week]],$I15,TableTime[[Activity]:[Activity]],Q$1)*24=0,"",SUMIFS(TableTime[[Duration]:[Duration]],TableTime[[Week]:[Week]],$I15,TableTime[[Activity]:[Activity]],Q$1)*24)</f>
        <v/>
      </c>
      <c r="R15" s="134" t="str">
        <f>IF(SUMIFS(TableTime[[Duration]:[Duration]],TableTime[[Week]:[Week]],$I15,TableTime[[Activity]:[Activity]],R$1)*24=0,"",SUMIFS(TableTime[[Duration]:[Duration]],TableTime[[Week]:[Week]],$I15,TableTime[[Activity]:[Activity]],R$1)*24)</f>
        <v/>
      </c>
      <c r="S15" s="83" t="str">
        <f>IF(SUMIFS(TableTime[[Duration]:[Duration]],TableTime[[Week]:[Week]],$I15,TableTime[[Activity]:[Activity]],S$1)*24=0,"",SUMIFS(TableTime[[Duration]:[Duration]],TableTime[[Week]:[Week]],$I15,TableTime[[Activity]:[Activity]],S$1)*24)</f>
        <v/>
      </c>
      <c r="U15" s="191" t="s">
        <v>36</v>
      </c>
      <c r="V15" s="8">
        <f t="shared" si="3"/>
        <v>45012</v>
      </c>
      <c r="W15" s="8">
        <f t="shared" ref="W15:AB15" si="16">V15+1</f>
        <v>45013</v>
      </c>
      <c r="X15" s="8">
        <f t="shared" si="16"/>
        <v>45014</v>
      </c>
      <c r="Y15" s="8">
        <f t="shared" si="16"/>
        <v>45015</v>
      </c>
      <c r="Z15" s="8">
        <f t="shared" si="16"/>
        <v>45016</v>
      </c>
      <c r="AA15" s="8">
        <f t="shared" si="16"/>
        <v>45017</v>
      </c>
      <c r="AB15" s="8">
        <f t="shared" si="16"/>
        <v>45018</v>
      </c>
      <c r="AC15">
        <f t="shared" si="5"/>
        <v>13</v>
      </c>
    </row>
    <row r="16" spans="1:29" x14ac:dyDescent="0.35">
      <c r="A16" s="196"/>
      <c r="B16" s="18">
        <f>IF(V16="","",IF(VLOOKUP(V16,'Day summary'!$B$2:$E$367,4,FALSE)="",V16,CONCATENATE(DAY(V16)," (",VLOOKUP(V16,'Day summary'!$B$2:$E$367,4,FALSE),")")))</f>
        <v>45019</v>
      </c>
      <c r="C16" s="18">
        <f>IF(W16="","",IF(VLOOKUP(W16,'Day summary'!$B$2:$E$367,4,FALSE)="",W16,CONCATENATE(DAY(W16)," (",VLOOKUP(W16,'Day summary'!$B$2:$E$367,4,FALSE),")")))</f>
        <v>45020</v>
      </c>
      <c r="D16" s="18">
        <f>IF(X16="","",IF(VLOOKUP(X16,'Day summary'!$B$2:$E$367,4,FALSE)="",X16,CONCATENATE(DAY(X16)," (",VLOOKUP(X16,'Day summary'!$B$2:$E$367,4,FALSE),")")))</f>
        <v>45021</v>
      </c>
      <c r="E16" s="18">
        <f>IF(Y16="","",IF(VLOOKUP(Y16,'Day summary'!$B$2:$E$367,4,FALSE)="",Y16,CONCATENATE(DAY(Y16)," (",VLOOKUP(Y16,'Day summary'!$B$2:$E$367,4,FALSE),")")))</f>
        <v>45022</v>
      </c>
      <c r="F16" s="26" t="str">
        <f>IF(Z16="","",IF(VLOOKUP(Z16,'Day summary'!$B$2:$E$367,4,FALSE)="",Z16,CONCATENATE(DAY(Z16)," (",VLOOKUP(Z16,'Day summary'!$B$2:$E$367,4,FALSE),")")))</f>
        <v>7 (PH)</v>
      </c>
      <c r="G16" s="30">
        <f>IF(AA16="","",IF(VLOOKUP(AA16,'Day summary'!$B$2:$E$367,4,FALSE)="",AA16,CONCATENATE(DAY(AA16)," (",VLOOKUP(AA16,'Day summary'!$B$2:$E$367,4,FALSE),")")))</f>
        <v>45024</v>
      </c>
      <c r="H16" s="31">
        <f>IF(AB16="","",IF(VLOOKUP(AB16,'Day summary'!$B$2:$E$367,4,FALSE)="",AB16,CONCATENATE(DAY(AB16)," (",VLOOKUP(AB16,'Day summary'!$B$2:$E$367,4,FALSE),")")))</f>
        <v>45025</v>
      </c>
      <c r="I16" s="43">
        <f t="shared" si="0"/>
        <v>14</v>
      </c>
      <c r="J16" s="79" t="str">
        <f t="shared" si="1"/>
        <v/>
      </c>
      <c r="K16" s="79" t="str">
        <f ca="1">IF(J16="","",SUMIFS('Day summary'!$I$2:$I$367,'Day summary'!$D$2:$D$367,I16,'Day summary'!$B$2:$B$367,"&lt;"&amp;TODAY())*24-SUMIFS('Day summary'!$G$2:$G$367,'Day summary'!$D$2:$D$367,I16,'Day summary'!$B$2:$B$367,"&lt;"&amp;TODAY())*24)</f>
        <v/>
      </c>
      <c r="L16" s="80" t="str">
        <f>IF(SUMIFS(TableTime[[Duration]:[Duration]],TableTime[[Week]:[Week]],$I16,TableTime[[Activity]:[Activity]],L$1)*24=0,"",SUMIFS(TableTime[[Duration]:[Duration]],TableTime[[Week]:[Week]],$I16,TableTime[[Activity]:[Activity]],L$1)*24)</f>
        <v/>
      </c>
      <c r="M16" s="81" t="str">
        <f>IF(SUMIFS(TableTime[[Duration]:[Duration]],TableTime[[Week]:[Week]],$I16,TableTime[[Activity]:[Activity]],M$1)*24=0,"",SUMIFS(TableTime[[Duration]:[Duration]],TableTime[[Week]:[Week]],$I16,TableTime[[Activity]:[Activity]],M$1)*24)</f>
        <v/>
      </c>
      <c r="N16" s="81" t="str">
        <f>IF(SUMIFS(TableTime[[Duration]:[Duration]],TableTime[[Week]:[Week]],$I16,TableTime[[Activity]:[Activity]],N$1)*24=0,"",SUMIFS(TableTime[[Duration]:[Duration]],TableTime[[Week]:[Week]],$I16,TableTime[[Activity]:[Activity]],N$1)*24)</f>
        <v/>
      </c>
      <c r="O16" s="82" t="str">
        <f>IF(SUMIFS(TableTime[[Duration]:[Duration]],TableTime[[Week]:[Week]],$I16,TableTime[[Activity]:[Activity]],O$1)*24=0,"",SUMIFS(TableTime[[Duration]:[Duration]],TableTime[[Week]:[Week]],$I16,TableTime[[Activity]:[Activity]],O$1)*24)</f>
        <v/>
      </c>
      <c r="P16" s="82" t="str">
        <f>IF(SUMIFS(TableTime[[Duration]:[Duration]],TableTime[[Week]:[Week]],$I16,TableTime[[Activity]:[Activity]],P$1)*24=0,"",SUMIFS(TableTime[[Duration]:[Duration]],TableTime[[Week]:[Week]],$I16,TableTime[[Activity]:[Activity]],P$1)*24)</f>
        <v/>
      </c>
      <c r="Q16" s="83" t="str">
        <f>IF(SUMIFS(TableTime[[Duration]:[Duration]],TableTime[[Week]:[Week]],$I16,TableTime[[Activity]:[Activity]],Q$1)*24=0,"",SUMIFS(TableTime[[Duration]:[Duration]],TableTime[[Week]:[Week]],$I16,TableTime[[Activity]:[Activity]],Q$1)*24)</f>
        <v/>
      </c>
      <c r="R16" s="134" t="str">
        <f>IF(SUMIFS(TableTime[[Duration]:[Duration]],TableTime[[Week]:[Week]],$I16,TableTime[[Activity]:[Activity]],R$1)*24=0,"",SUMIFS(TableTime[[Duration]:[Duration]],TableTime[[Week]:[Week]],$I16,TableTime[[Activity]:[Activity]],R$1)*24)</f>
        <v/>
      </c>
      <c r="S16" s="83" t="str">
        <f>IF(SUMIFS(TableTime[[Duration]:[Duration]],TableTime[[Week]:[Week]],$I16,TableTime[[Activity]:[Activity]],S$1)*24=0,"",SUMIFS(TableTime[[Duration]:[Duration]],TableTime[[Week]:[Week]],$I16,TableTime[[Activity]:[Activity]],S$1)*24)</f>
        <v/>
      </c>
      <c r="U16" s="191"/>
      <c r="V16" s="8">
        <f t="shared" si="3"/>
        <v>45019</v>
      </c>
      <c r="W16" s="8">
        <f t="shared" ref="W16:AB16" si="17">V16+1</f>
        <v>45020</v>
      </c>
      <c r="X16" s="8">
        <f t="shared" si="17"/>
        <v>45021</v>
      </c>
      <c r="Y16" s="8">
        <f t="shared" si="17"/>
        <v>45022</v>
      </c>
      <c r="Z16" s="8">
        <f t="shared" si="17"/>
        <v>45023</v>
      </c>
      <c r="AA16" s="8">
        <f t="shared" si="17"/>
        <v>45024</v>
      </c>
      <c r="AB16" s="8">
        <f t="shared" si="17"/>
        <v>45025</v>
      </c>
      <c r="AC16">
        <f t="shared" si="5"/>
        <v>14</v>
      </c>
    </row>
    <row r="17" spans="1:29" x14ac:dyDescent="0.35">
      <c r="A17" s="196"/>
      <c r="B17" s="18" t="str">
        <f>IF(V17="","",IF(VLOOKUP(V17,'Day summary'!$B$2:$E$367,4,FALSE)="",V17,CONCATENATE(DAY(V17)," (",VLOOKUP(V17,'Day summary'!$B$2:$E$367,4,FALSE),")")))</f>
        <v>10 (PH)</v>
      </c>
      <c r="C17" s="18">
        <f>IF(W17="","",IF(VLOOKUP(W17,'Day summary'!$B$2:$E$367,4,FALSE)="",W17,CONCATENATE(DAY(W17)," (",VLOOKUP(W17,'Day summary'!$B$2:$E$367,4,FALSE),")")))</f>
        <v>45027</v>
      </c>
      <c r="D17" s="18">
        <f>IF(X17="","",IF(VLOOKUP(X17,'Day summary'!$B$2:$E$367,4,FALSE)="",X17,CONCATENATE(DAY(X17)," (",VLOOKUP(X17,'Day summary'!$B$2:$E$367,4,FALSE),")")))</f>
        <v>45028</v>
      </c>
      <c r="E17" s="18">
        <f>IF(Y17="","",IF(VLOOKUP(Y17,'Day summary'!$B$2:$E$367,4,FALSE)="",Y17,CONCATENATE(DAY(Y17)," (",VLOOKUP(Y17,'Day summary'!$B$2:$E$367,4,FALSE),")")))</f>
        <v>45029</v>
      </c>
      <c r="F17" s="26">
        <f>IF(Z17="","",IF(VLOOKUP(Z17,'Day summary'!$B$2:$E$367,4,FALSE)="",Z17,CONCATENATE(DAY(Z17)," (",VLOOKUP(Z17,'Day summary'!$B$2:$E$367,4,FALSE),")")))</f>
        <v>45030</v>
      </c>
      <c r="G17" s="30">
        <f>IF(AA17="","",IF(VLOOKUP(AA17,'Day summary'!$B$2:$E$367,4,FALSE)="",AA17,CONCATENATE(DAY(AA17)," (",VLOOKUP(AA17,'Day summary'!$B$2:$E$367,4,FALSE),")")))</f>
        <v>45031</v>
      </c>
      <c r="H17" s="31">
        <f>IF(AB17="","",IF(VLOOKUP(AB17,'Day summary'!$B$2:$E$367,4,FALSE)="",AB17,CONCATENATE(DAY(AB17)," (",VLOOKUP(AB17,'Day summary'!$B$2:$E$367,4,FALSE),")")))</f>
        <v>45032</v>
      </c>
      <c r="I17" s="43">
        <f t="shared" si="0"/>
        <v>15</v>
      </c>
      <c r="J17" s="79" t="str">
        <f t="shared" si="1"/>
        <v/>
      </c>
      <c r="K17" s="79" t="str">
        <f ca="1">IF(J17="","",SUMIFS('Day summary'!$I$2:$I$367,'Day summary'!$D$2:$D$367,I17,'Day summary'!$B$2:$B$367,"&lt;"&amp;TODAY())*24-SUMIFS('Day summary'!$G$2:$G$367,'Day summary'!$D$2:$D$367,I17,'Day summary'!$B$2:$B$367,"&lt;"&amp;TODAY())*24)</f>
        <v/>
      </c>
      <c r="L17" s="80" t="str">
        <f>IF(SUMIFS(TableTime[[Duration]:[Duration]],TableTime[[Week]:[Week]],$I17,TableTime[[Activity]:[Activity]],L$1)*24=0,"",SUMIFS(TableTime[[Duration]:[Duration]],TableTime[[Week]:[Week]],$I17,TableTime[[Activity]:[Activity]],L$1)*24)</f>
        <v/>
      </c>
      <c r="M17" s="81" t="str">
        <f>IF(SUMIFS(TableTime[[Duration]:[Duration]],TableTime[[Week]:[Week]],$I17,TableTime[[Activity]:[Activity]],M$1)*24=0,"",SUMIFS(TableTime[[Duration]:[Duration]],TableTime[[Week]:[Week]],$I17,TableTime[[Activity]:[Activity]],M$1)*24)</f>
        <v/>
      </c>
      <c r="N17" s="81" t="str">
        <f>IF(SUMIFS(TableTime[[Duration]:[Duration]],TableTime[[Week]:[Week]],$I17,TableTime[[Activity]:[Activity]],N$1)*24=0,"",SUMIFS(TableTime[[Duration]:[Duration]],TableTime[[Week]:[Week]],$I17,TableTime[[Activity]:[Activity]],N$1)*24)</f>
        <v/>
      </c>
      <c r="O17" s="82" t="str">
        <f>IF(SUMIFS(TableTime[[Duration]:[Duration]],TableTime[[Week]:[Week]],$I17,TableTime[[Activity]:[Activity]],O$1)*24=0,"",SUMIFS(TableTime[[Duration]:[Duration]],TableTime[[Week]:[Week]],$I17,TableTime[[Activity]:[Activity]],O$1)*24)</f>
        <v/>
      </c>
      <c r="P17" s="82" t="str">
        <f>IF(SUMIFS(TableTime[[Duration]:[Duration]],TableTime[[Week]:[Week]],$I17,TableTime[[Activity]:[Activity]],P$1)*24=0,"",SUMIFS(TableTime[[Duration]:[Duration]],TableTime[[Week]:[Week]],$I17,TableTime[[Activity]:[Activity]],P$1)*24)</f>
        <v/>
      </c>
      <c r="Q17" s="83" t="str">
        <f>IF(SUMIFS(TableTime[[Duration]:[Duration]],TableTime[[Week]:[Week]],$I17,TableTime[[Activity]:[Activity]],Q$1)*24=0,"",SUMIFS(TableTime[[Duration]:[Duration]],TableTime[[Week]:[Week]],$I17,TableTime[[Activity]:[Activity]],Q$1)*24)</f>
        <v/>
      </c>
      <c r="R17" s="134" t="str">
        <f>IF(SUMIFS(TableTime[[Duration]:[Duration]],TableTime[[Week]:[Week]],$I17,TableTime[[Activity]:[Activity]],R$1)*24=0,"",SUMIFS(TableTime[[Duration]:[Duration]],TableTime[[Week]:[Week]],$I17,TableTime[[Activity]:[Activity]],R$1)*24)</f>
        <v/>
      </c>
      <c r="S17" s="83" t="str">
        <f>IF(SUMIFS(TableTime[[Duration]:[Duration]],TableTime[[Week]:[Week]],$I17,TableTime[[Activity]:[Activity]],S$1)*24=0,"",SUMIFS(TableTime[[Duration]:[Duration]],TableTime[[Week]:[Week]],$I17,TableTime[[Activity]:[Activity]],S$1)*24)</f>
        <v/>
      </c>
      <c r="U17" s="191"/>
      <c r="V17" s="8">
        <f t="shared" si="3"/>
        <v>45026</v>
      </c>
      <c r="W17" s="8">
        <f t="shared" ref="W17:AB17" si="18">V17+1</f>
        <v>45027</v>
      </c>
      <c r="X17" s="8">
        <f t="shared" si="18"/>
        <v>45028</v>
      </c>
      <c r="Y17" s="8">
        <f t="shared" si="18"/>
        <v>45029</v>
      </c>
      <c r="Z17" s="8">
        <f t="shared" si="18"/>
        <v>45030</v>
      </c>
      <c r="AA17" s="8">
        <f t="shared" si="18"/>
        <v>45031</v>
      </c>
      <c r="AB17" s="8">
        <f t="shared" si="18"/>
        <v>45032</v>
      </c>
      <c r="AC17">
        <f t="shared" si="5"/>
        <v>15</v>
      </c>
    </row>
    <row r="18" spans="1:29" x14ac:dyDescent="0.35">
      <c r="A18" s="196"/>
      <c r="B18" s="18">
        <f>IF(V18="","",IF(VLOOKUP(V18,'Day summary'!$B$2:$E$367,4,FALSE)="",V18,CONCATENATE(DAY(V18)," (",VLOOKUP(V18,'Day summary'!$B$2:$E$367,4,FALSE),")")))</f>
        <v>45033</v>
      </c>
      <c r="C18" s="18">
        <f>IF(W18="","",IF(VLOOKUP(W18,'Day summary'!$B$2:$E$367,4,FALSE)="",W18,CONCATENATE(DAY(W18)," (",VLOOKUP(W18,'Day summary'!$B$2:$E$367,4,FALSE),")")))</f>
        <v>45034</v>
      </c>
      <c r="D18" s="18">
        <f>IF(X18="","",IF(VLOOKUP(X18,'Day summary'!$B$2:$E$367,4,FALSE)="",X18,CONCATENATE(DAY(X18)," (",VLOOKUP(X18,'Day summary'!$B$2:$E$367,4,FALSE),")")))</f>
        <v>45035</v>
      </c>
      <c r="E18" s="18">
        <f>IF(Y18="","",IF(VLOOKUP(Y18,'Day summary'!$B$2:$E$367,4,FALSE)="",Y18,CONCATENATE(DAY(Y18)," (",VLOOKUP(Y18,'Day summary'!$B$2:$E$367,4,FALSE),")")))</f>
        <v>45036</v>
      </c>
      <c r="F18" s="26">
        <f>IF(Z18="","",IF(VLOOKUP(Z18,'Day summary'!$B$2:$E$367,4,FALSE)="",Z18,CONCATENATE(DAY(Z18)," (",VLOOKUP(Z18,'Day summary'!$B$2:$E$367,4,FALSE),")")))</f>
        <v>45037</v>
      </c>
      <c r="G18" s="30">
        <f>IF(AA18="","",IF(VLOOKUP(AA18,'Day summary'!$B$2:$E$367,4,FALSE)="",AA18,CONCATENATE(DAY(AA18)," (",VLOOKUP(AA18,'Day summary'!$B$2:$E$367,4,FALSE),")")))</f>
        <v>45038</v>
      </c>
      <c r="H18" s="31">
        <f>IF(AB18="","",IF(VLOOKUP(AB18,'Day summary'!$B$2:$E$367,4,FALSE)="",AB18,CONCATENATE(DAY(AB18)," (",VLOOKUP(AB18,'Day summary'!$B$2:$E$367,4,FALSE),")")))</f>
        <v>45039</v>
      </c>
      <c r="I18" s="43">
        <f t="shared" si="0"/>
        <v>16</v>
      </c>
      <c r="J18" s="79" t="str">
        <f t="shared" si="1"/>
        <v/>
      </c>
      <c r="K18" s="79" t="str">
        <f ca="1">IF(J18="","",SUMIFS('Day summary'!$I$2:$I$367,'Day summary'!$D$2:$D$367,I18,'Day summary'!$B$2:$B$367,"&lt;"&amp;TODAY())*24-SUMIFS('Day summary'!$G$2:$G$367,'Day summary'!$D$2:$D$367,I18,'Day summary'!$B$2:$B$367,"&lt;"&amp;TODAY())*24)</f>
        <v/>
      </c>
      <c r="L18" s="80" t="str">
        <f>IF(SUMIFS(TableTime[[Duration]:[Duration]],TableTime[[Week]:[Week]],$I18,TableTime[[Activity]:[Activity]],L$1)*24=0,"",SUMIFS(TableTime[[Duration]:[Duration]],TableTime[[Week]:[Week]],$I18,TableTime[[Activity]:[Activity]],L$1)*24)</f>
        <v/>
      </c>
      <c r="M18" s="81" t="str">
        <f>IF(SUMIFS(TableTime[[Duration]:[Duration]],TableTime[[Week]:[Week]],$I18,TableTime[[Activity]:[Activity]],M$1)*24=0,"",SUMIFS(TableTime[[Duration]:[Duration]],TableTime[[Week]:[Week]],$I18,TableTime[[Activity]:[Activity]],M$1)*24)</f>
        <v/>
      </c>
      <c r="N18" s="81" t="str">
        <f>IF(SUMIFS(TableTime[[Duration]:[Duration]],TableTime[[Week]:[Week]],$I18,TableTime[[Activity]:[Activity]],N$1)*24=0,"",SUMIFS(TableTime[[Duration]:[Duration]],TableTime[[Week]:[Week]],$I18,TableTime[[Activity]:[Activity]],N$1)*24)</f>
        <v/>
      </c>
      <c r="O18" s="82" t="str">
        <f>IF(SUMIFS(TableTime[[Duration]:[Duration]],TableTime[[Week]:[Week]],$I18,TableTime[[Activity]:[Activity]],O$1)*24=0,"",SUMIFS(TableTime[[Duration]:[Duration]],TableTime[[Week]:[Week]],$I18,TableTime[[Activity]:[Activity]],O$1)*24)</f>
        <v/>
      </c>
      <c r="P18" s="82" t="str">
        <f>IF(SUMIFS(TableTime[[Duration]:[Duration]],TableTime[[Week]:[Week]],$I18,TableTime[[Activity]:[Activity]],P$1)*24=0,"",SUMIFS(TableTime[[Duration]:[Duration]],TableTime[[Week]:[Week]],$I18,TableTime[[Activity]:[Activity]],P$1)*24)</f>
        <v/>
      </c>
      <c r="Q18" s="83" t="str">
        <f>IF(SUMIFS(TableTime[[Duration]:[Duration]],TableTime[[Week]:[Week]],$I18,TableTime[[Activity]:[Activity]],Q$1)*24=0,"",SUMIFS(TableTime[[Duration]:[Duration]],TableTime[[Week]:[Week]],$I18,TableTime[[Activity]:[Activity]],Q$1)*24)</f>
        <v/>
      </c>
      <c r="R18" s="134" t="str">
        <f>IF(SUMIFS(TableTime[[Duration]:[Duration]],TableTime[[Week]:[Week]],$I18,TableTime[[Activity]:[Activity]],R$1)*24=0,"",SUMIFS(TableTime[[Duration]:[Duration]],TableTime[[Week]:[Week]],$I18,TableTime[[Activity]:[Activity]],R$1)*24)</f>
        <v/>
      </c>
      <c r="S18" s="83" t="str">
        <f>IF(SUMIFS(TableTime[[Duration]:[Duration]],TableTime[[Week]:[Week]],$I18,TableTime[[Activity]:[Activity]],S$1)*24=0,"",SUMIFS(TableTime[[Duration]:[Duration]],TableTime[[Week]:[Week]],$I18,TableTime[[Activity]:[Activity]],S$1)*24)</f>
        <v/>
      </c>
      <c r="U18" s="191"/>
      <c r="V18" s="8">
        <f t="shared" si="3"/>
        <v>45033</v>
      </c>
      <c r="W18" s="8">
        <f t="shared" ref="W18:AB18" si="19">V18+1</f>
        <v>45034</v>
      </c>
      <c r="X18" s="8">
        <f t="shared" si="19"/>
        <v>45035</v>
      </c>
      <c r="Y18" s="8">
        <f t="shared" si="19"/>
        <v>45036</v>
      </c>
      <c r="Z18" s="8">
        <f t="shared" si="19"/>
        <v>45037</v>
      </c>
      <c r="AA18" s="8">
        <f t="shared" si="19"/>
        <v>45038</v>
      </c>
      <c r="AB18" s="8">
        <f t="shared" si="19"/>
        <v>45039</v>
      </c>
      <c r="AC18">
        <f t="shared" si="5"/>
        <v>16</v>
      </c>
    </row>
    <row r="19" spans="1:29" x14ac:dyDescent="0.35">
      <c r="A19" s="197" t="s">
        <v>37</v>
      </c>
      <c r="B19" s="18">
        <f>IF(V19="","",IF(VLOOKUP(V19,'Day summary'!$B$2:$E$367,4,FALSE)="",V19,CONCATENATE(DAY(V19)," (",VLOOKUP(V19,'Day summary'!$B$2:$E$367,4,FALSE),")")))</f>
        <v>45040</v>
      </c>
      <c r="C19" s="18">
        <f>IF(W19="","",IF(VLOOKUP(W19,'Day summary'!$B$2:$E$367,4,FALSE)="",W19,CONCATENATE(DAY(W19)," (",VLOOKUP(W19,'Day summary'!$B$2:$E$367,4,FALSE),")")))</f>
        <v>45041</v>
      </c>
      <c r="D19" s="18">
        <f>IF(X19="","",IF(VLOOKUP(X19,'Day summary'!$B$2:$E$367,4,FALSE)="",X19,CONCATENATE(DAY(X19)," (",VLOOKUP(X19,'Day summary'!$B$2:$E$367,4,FALSE),")")))</f>
        <v>45042</v>
      </c>
      <c r="E19" s="18" t="str">
        <f>IF(Y19="","",IF(VLOOKUP(Y19,'Day summary'!$B$2:$E$367,4,FALSE)="",Y19,CONCATENATE(DAY(Y19)," (",VLOOKUP(Y19,'Day summary'!$B$2:$E$367,4,FALSE),")")))</f>
        <v>27 (PH)</v>
      </c>
      <c r="F19" s="26">
        <f>IF(Z19="","",IF(VLOOKUP(Z19,'Day summary'!$B$2:$E$367,4,FALSE)="",Z19,CONCATENATE(DAY(Z19)," (",VLOOKUP(Z19,'Day summary'!$B$2:$E$367,4,FALSE),")")))</f>
        <v>45044</v>
      </c>
      <c r="G19" s="30">
        <f>IF(AA19="","",IF(VLOOKUP(AA19,'Day summary'!$B$2:$E$367,4,FALSE)="",AA19,CONCATENATE(DAY(AA19)," (",VLOOKUP(AA19,'Day summary'!$B$2:$E$367,4,FALSE),")")))</f>
        <v>45045</v>
      </c>
      <c r="H19" s="31">
        <f>IF(AB19="","",IF(VLOOKUP(AB19,'Day summary'!$B$2:$E$367,4,FALSE)="",AB19,CONCATENATE(DAY(AB19)," (",VLOOKUP(AB19,'Day summary'!$B$2:$E$367,4,FALSE),")")))</f>
        <v>45046</v>
      </c>
      <c r="I19" s="43">
        <f t="shared" si="0"/>
        <v>17</v>
      </c>
      <c r="J19" s="79" t="str">
        <f t="shared" si="1"/>
        <v/>
      </c>
      <c r="K19" s="79" t="str">
        <f ca="1">IF(J19="","",SUMIFS('Day summary'!$I$2:$I$367,'Day summary'!$D$2:$D$367,I19,'Day summary'!$B$2:$B$367,"&lt;"&amp;TODAY())*24-SUMIFS('Day summary'!$G$2:$G$367,'Day summary'!$D$2:$D$367,I19,'Day summary'!$B$2:$B$367,"&lt;"&amp;TODAY())*24)</f>
        <v/>
      </c>
      <c r="L19" s="80" t="str">
        <f>IF(SUMIFS(TableTime[[Duration]:[Duration]],TableTime[[Week]:[Week]],$I19,TableTime[[Activity]:[Activity]],L$1)*24=0,"",SUMIFS(TableTime[[Duration]:[Duration]],TableTime[[Week]:[Week]],$I19,TableTime[[Activity]:[Activity]],L$1)*24)</f>
        <v/>
      </c>
      <c r="M19" s="81" t="str">
        <f>IF(SUMIFS(TableTime[[Duration]:[Duration]],TableTime[[Week]:[Week]],$I19,TableTime[[Activity]:[Activity]],M$1)*24=0,"",SUMIFS(TableTime[[Duration]:[Duration]],TableTime[[Week]:[Week]],$I19,TableTime[[Activity]:[Activity]],M$1)*24)</f>
        <v/>
      </c>
      <c r="N19" s="81" t="str">
        <f>IF(SUMIFS(TableTime[[Duration]:[Duration]],TableTime[[Week]:[Week]],$I19,TableTime[[Activity]:[Activity]],N$1)*24=0,"",SUMIFS(TableTime[[Duration]:[Duration]],TableTime[[Week]:[Week]],$I19,TableTime[[Activity]:[Activity]],N$1)*24)</f>
        <v/>
      </c>
      <c r="O19" s="82" t="str">
        <f>IF(SUMIFS(TableTime[[Duration]:[Duration]],TableTime[[Week]:[Week]],$I19,TableTime[[Activity]:[Activity]],O$1)*24=0,"",SUMIFS(TableTime[[Duration]:[Duration]],TableTime[[Week]:[Week]],$I19,TableTime[[Activity]:[Activity]],O$1)*24)</f>
        <v/>
      </c>
      <c r="P19" s="82" t="str">
        <f>IF(SUMIFS(TableTime[[Duration]:[Duration]],TableTime[[Week]:[Week]],$I19,TableTime[[Activity]:[Activity]],P$1)*24=0,"",SUMIFS(TableTime[[Duration]:[Duration]],TableTime[[Week]:[Week]],$I19,TableTime[[Activity]:[Activity]],P$1)*24)</f>
        <v/>
      </c>
      <c r="Q19" s="83" t="str">
        <f>IF(SUMIFS(TableTime[[Duration]:[Duration]],TableTime[[Week]:[Week]],$I19,TableTime[[Activity]:[Activity]],Q$1)*24=0,"",SUMIFS(TableTime[[Duration]:[Duration]],TableTime[[Week]:[Week]],$I19,TableTime[[Activity]:[Activity]],Q$1)*24)</f>
        <v/>
      </c>
      <c r="R19" s="134" t="str">
        <f>IF(SUMIFS(TableTime[[Duration]:[Duration]],TableTime[[Week]:[Week]],$I19,TableTime[[Activity]:[Activity]],R$1)*24=0,"",SUMIFS(TableTime[[Duration]:[Duration]],TableTime[[Week]:[Week]],$I19,TableTime[[Activity]:[Activity]],R$1)*24)</f>
        <v/>
      </c>
      <c r="S19" s="83" t="str">
        <f>IF(SUMIFS(TableTime[[Duration]:[Duration]],TableTime[[Week]:[Week]],$I19,TableTime[[Activity]:[Activity]],S$1)*24=0,"",SUMIFS(TableTime[[Duration]:[Duration]],TableTime[[Week]:[Week]],$I19,TableTime[[Activity]:[Activity]],S$1)*24)</f>
        <v/>
      </c>
      <c r="U19" s="191" t="s">
        <v>38</v>
      </c>
      <c r="V19" s="8">
        <f t="shared" si="3"/>
        <v>45040</v>
      </c>
      <c r="W19" s="8">
        <f t="shared" ref="W19:AB19" si="20">V19+1</f>
        <v>45041</v>
      </c>
      <c r="X19" s="8">
        <f t="shared" si="20"/>
        <v>45042</v>
      </c>
      <c r="Y19" s="8">
        <f t="shared" si="20"/>
        <v>45043</v>
      </c>
      <c r="Z19" s="8">
        <f t="shared" si="20"/>
        <v>45044</v>
      </c>
      <c r="AA19" s="8">
        <f t="shared" si="20"/>
        <v>45045</v>
      </c>
      <c r="AB19" s="8">
        <f t="shared" si="20"/>
        <v>45046</v>
      </c>
      <c r="AC19">
        <f t="shared" si="5"/>
        <v>17</v>
      </c>
    </row>
    <row r="20" spans="1:29" x14ac:dyDescent="0.35">
      <c r="A20" s="197"/>
      <c r="B20" s="18">
        <f>IF(V20="","",IF(VLOOKUP(V20,'Day summary'!$B$2:$E$367,4,FALSE)="",V20,CONCATENATE(DAY(V20)," (",VLOOKUP(V20,'Day summary'!$B$2:$E$367,4,FALSE),")")))</f>
        <v>45047</v>
      </c>
      <c r="C20" s="18">
        <f>IF(W20="","",IF(VLOOKUP(W20,'Day summary'!$B$2:$E$367,4,FALSE)="",W20,CONCATENATE(DAY(W20)," (",VLOOKUP(W20,'Day summary'!$B$2:$E$367,4,FALSE),")")))</f>
        <v>45048</v>
      </c>
      <c r="D20" s="18">
        <f>IF(X20="","",IF(VLOOKUP(X20,'Day summary'!$B$2:$E$367,4,FALSE)="",X20,CONCATENATE(DAY(X20)," (",VLOOKUP(X20,'Day summary'!$B$2:$E$367,4,FALSE),")")))</f>
        <v>45049</v>
      </c>
      <c r="E20" s="18">
        <f>IF(Y20="","",IF(VLOOKUP(Y20,'Day summary'!$B$2:$E$367,4,FALSE)="",Y20,CONCATENATE(DAY(Y20)," (",VLOOKUP(Y20,'Day summary'!$B$2:$E$367,4,FALSE),")")))</f>
        <v>45050</v>
      </c>
      <c r="F20" s="26">
        <f>IF(Z20="","",IF(VLOOKUP(Z20,'Day summary'!$B$2:$E$367,4,FALSE)="",Z20,CONCATENATE(DAY(Z20)," (",VLOOKUP(Z20,'Day summary'!$B$2:$E$367,4,FALSE),")")))</f>
        <v>45051</v>
      </c>
      <c r="G20" s="30">
        <f>IF(AA20="","",IF(VLOOKUP(AA20,'Day summary'!$B$2:$E$367,4,FALSE)="",AA20,CONCATENATE(DAY(AA20)," (",VLOOKUP(AA20,'Day summary'!$B$2:$E$367,4,FALSE),")")))</f>
        <v>45052</v>
      </c>
      <c r="H20" s="31">
        <f>IF(AB20="","",IF(VLOOKUP(AB20,'Day summary'!$B$2:$E$367,4,FALSE)="",AB20,CONCATENATE(DAY(AB20)," (",VLOOKUP(AB20,'Day summary'!$B$2:$E$367,4,FALSE),")")))</f>
        <v>45053</v>
      </c>
      <c r="I20" s="43">
        <f t="shared" si="0"/>
        <v>18</v>
      </c>
      <c r="J20" s="79" t="str">
        <f t="shared" si="1"/>
        <v/>
      </c>
      <c r="K20" s="79" t="str">
        <f ca="1">IF(J20="","",SUMIFS('Day summary'!$I$2:$I$367,'Day summary'!$D$2:$D$367,I20,'Day summary'!$B$2:$B$367,"&lt;"&amp;TODAY())*24-SUMIFS('Day summary'!$G$2:$G$367,'Day summary'!$D$2:$D$367,I20,'Day summary'!$B$2:$B$367,"&lt;"&amp;TODAY())*24)</f>
        <v/>
      </c>
      <c r="L20" s="80" t="str">
        <f>IF(SUMIFS(TableTime[[Duration]:[Duration]],TableTime[[Week]:[Week]],$I20,TableTime[[Activity]:[Activity]],L$1)*24=0,"",SUMIFS(TableTime[[Duration]:[Duration]],TableTime[[Week]:[Week]],$I20,TableTime[[Activity]:[Activity]],L$1)*24)</f>
        <v/>
      </c>
      <c r="M20" s="81" t="str">
        <f>IF(SUMIFS(TableTime[[Duration]:[Duration]],TableTime[[Week]:[Week]],$I20,TableTime[[Activity]:[Activity]],M$1)*24=0,"",SUMIFS(TableTime[[Duration]:[Duration]],TableTime[[Week]:[Week]],$I20,TableTime[[Activity]:[Activity]],M$1)*24)</f>
        <v/>
      </c>
      <c r="N20" s="81" t="str">
        <f>IF(SUMIFS(TableTime[[Duration]:[Duration]],TableTime[[Week]:[Week]],$I20,TableTime[[Activity]:[Activity]],N$1)*24=0,"",SUMIFS(TableTime[[Duration]:[Duration]],TableTime[[Week]:[Week]],$I20,TableTime[[Activity]:[Activity]],N$1)*24)</f>
        <v/>
      </c>
      <c r="O20" s="82" t="str">
        <f>IF(SUMIFS(TableTime[[Duration]:[Duration]],TableTime[[Week]:[Week]],$I20,TableTime[[Activity]:[Activity]],O$1)*24=0,"",SUMIFS(TableTime[[Duration]:[Duration]],TableTime[[Week]:[Week]],$I20,TableTime[[Activity]:[Activity]],O$1)*24)</f>
        <v/>
      </c>
      <c r="P20" s="82" t="str">
        <f>IF(SUMIFS(TableTime[[Duration]:[Duration]],TableTime[[Week]:[Week]],$I20,TableTime[[Activity]:[Activity]],P$1)*24=0,"",SUMIFS(TableTime[[Duration]:[Duration]],TableTime[[Week]:[Week]],$I20,TableTime[[Activity]:[Activity]],P$1)*24)</f>
        <v/>
      </c>
      <c r="Q20" s="83" t="str">
        <f>IF(SUMIFS(TableTime[[Duration]:[Duration]],TableTime[[Week]:[Week]],$I20,TableTime[[Activity]:[Activity]],Q$1)*24=0,"",SUMIFS(TableTime[[Duration]:[Duration]],TableTime[[Week]:[Week]],$I20,TableTime[[Activity]:[Activity]],Q$1)*24)</f>
        <v/>
      </c>
      <c r="R20" s="134" t="str">
        <f>IF(SUMIFS(TableTime[[Duration]:[Duration]],TableTime[[Week]:[Week]],$I20,TableTime[[Activity]:[Activity]],R$1)*24=0,"",SUMIFS(TableTime[[Duration]:[Duration]],TableTime[[Week]:[Week]],$I20,TableTime[[Activity]:[Activity]],R$1)*24)</f>
        <v/>
      </c>
      <c r="S20" s="83" t="str">
        <f>IF(SUMIFS(TableTime[[Duration]:[Duration]],TableTime[[Week]:[Week]],$I20,TableTime[[Activity]:[Activity]],S$1)*24=0,"",SUMIFS(TableTime[[Duration]:[Duration]],TableTime[[Week]:[Week]],$I20,TableTime[[Activity]:[Activity]],S$1)*24)</f>
        <v/>
      </c>
      <c r="U20" s="191"/>
      <c r="V20" s="8">
        <f t="shared" si="3"/>
        <v>45047</v>
      </c>
      <c r="W20" s="8">
        <f t="shared" ref="W20:AB20" si="21">V20+1</f>
        <v>45048</v>
      </c>
      <c r="X20" s="8">
        <f t="shared" si="21"/>
        <v>45049</v>
      </c>
      <c r="Y20" s="8">
        <f t="shared" si="21"/>
        <v>45050</v>
      </c>
      <c r="Z20" s="8">
        <f t="shared" si="21"/>
        <v>45051</v>
      </c>
      <c r="AA20" s="8">
        <f t="shared" si="21"/>
        <v>45052</v>
      </c>
      <c r="AB20" s="8">
        <f t="shared" si="21"/>
        <v>45053</v>
      </c>
      <c r="AC20">
        <f t="shared" si="5"/>
        <v>18</v>
      </c>
    </row>
    <row r="21" spans="1:29" x14ac:dyDescent="0.35">
      <c r="A21" s="197"/>
      <c r="B21" s="18">
        <f>IF(V21="","",IF(VLOOKUP(V21,'Day summary'!$B$2:$E$367,4,FALSE)="",V21,CONCATENATE(DAY(V21)," (",VLOOKUP(V21,'Day summary'!$B$2:$E$367,4,FALSE),")")))</f>
        <v>45054</v>
      </c>
      <c r="C21" s="18">
        <f>IF(W21="","",IF(VLOOKUP(W21,'Day summary'!$B$2:$E$367,4,FALSE)="",W21,CONCATENATE(DAY(W21)," (",VLOOKUP(W21,'Day summary'!$B$2:$E$367,4,FALSE),")")))</f>
        <v>45055</v>
      </c>
      <c r="D21" s="18">
        <f>IF(X21="","",IF(VLOOKUP(X21,'Day summary'!$B$2:$E$367,4,FALSE)="",X21,CONCATENATE(DAY(X21)," (",VLOOKUP(X21,'Day summary'!$B$2:$E$367,4,FALSE),")")))</f>
        <v>45056</v>
      </c>
      <c r="E21" s="18">
        <f>IF(Y21="","",IF(VLOOKUP(Y21,'Day summary'!$B$2:$E$367,4,FALSE)="",Y21,CONCATENATE(DAY(Y21)," (",VLOOKUP(Y21,'Day summary'!$B$2:$E$367,4,FALSE),")")))</f>
        <v>45057</v>
      </c>
      <c r="F21" s="26">
        <f>IF(Z21="","",IF(VLOOKUP(Z21,'Day summary'!$B$2:$E$367,4,FALSE)="",Z21,CONCATENATE(DAY(Z21)," (",VLOOKUP(Z21,'Day summary'!$B$2:$E$367,4,FALSE),")")))</f>
        <v>45058</v>
      </c>
      <c r="G21" s="30">
        <f>IF(AA21="","",IF(VLOOKUP(AA21,'Day summary'!$B$2:$E$367,4,FALSE)="",AA21,CONCATENATE(DAY(AA21)," (",VLOOKUP(AA21,'Day summary'!$B$2:$E$367,4,FALSE),")")))</f>
        <v>45059</v>
      </c>
      <c r="H21" s="31">
        <f>IF(AB21="","",IF(VLOOKUP(AB21,'Day summary'!$B$2:$E$367,4,FALSE)="",AB21,CONCATENATE(DAY(AB21)," (",VLOOKUP(AB21,'Day summary'!$B$2:$E$367,4,FALSE),")")))</f>
        <v>45060</v>
      </c>
      <c r="I21" s="43">
        <f t="shared" si="0"/>
        <v>19</v>
      </c>
      <c r="J21" s="79" t="str">
        <f t="shared" si="1"/>
        <v/>
      </c>
      <c r="K21" s="79" t="str">
        <f ca="1">IF(J21="","",SUMIFS('Day summary'!$I$2:$I$367,'Day summary'!$D$2:$D$367,I21,'Day summary'!$B$2:$B$367,"&lt;"&amp;TODAY())*24-SUMIFS('Day summary'!$G$2:$G$367,'Day summary'!$D$2:$D$367,I21,'Day summary'!$B$2:$B$367,"&lt;"&amp;TODAY())*24)</f>
        <v/>
      </c>
      <c r="L21" s="80" t="str">
        <f>IF(SUMIFS(TableTime[[Duration]:[Duration]],TableTime[[Week]:[Week]],$I21,TableTime[[Activity]:[Activity]],L$1)*24=0,"",SUMIFS(TableTime[[Duration]:[Duration]],TableTime[[Week]:[Week]],$I21,TableTime[[Activity]:[Activity]],L$1)*24)</f>
        <v/>
      </c>
      <c r="M21" s="81" t="str">
        <f>IF(SUMIFS(TableTime[[Duration]:[Duration]],TableTime[[Week]:[Week]],$I21,TableTime[[Activity]:[Activity]],M$1)*24=0,"",SUMIFS(TableTime[[Duration]:[Duration]],TableTime[[Week]:[Week]],$I21,TableTime[[Activity]:[Activity]],M$1)*24)</f>
        <v/>
      </c>
      <c r="N21" s="81" t="str">
        <f>IF(SUMIFS(TableTime[[Duration]:[Duration]],TableTime[[Week]:[Week]],$I21,TableTime[[Activity]:[Activity]],N$1)*24=0,"",SUMIFS(TableTime[[Duration]:[Duration]],TableTime[[Week]:[Week]],$I21,TableTime[[Activity]:[Activity]],N$1)*24)</f>
        <v/>
      </c>
      <c r="O21" s="82" t="str">
        <f>IF(SUMIFS(TableTime[[Duration]:[Duration]],TableTime[[Week]:[Week]],$I21,TableTime[[Activity]:[Activity]],O$1)*24=0,"",SUMIFS(TableTime[[Duration]:[Duration]],TableTime[[Week]:[Week]],$I21,TableTime[[Activity]:[Activity]],O$1)*24)</f>
        <v/>
      </c>
      <c r="P21" s="82" t="str">
        <f>IF(SUMIFS(TableTime[[Duration]:[Duration]],TableTime[[Week]:[Week]],$I21,TableTime[[Activity]:[Activity]],P$1)*24=0,"",SUMIFS(TableTime[[Duration]:[Duration]],TableTime[[Week]:[Week]],$I21,TableTime[[Activity]:[Activity]],P$1)*24)</f>
        <v/>
      </c>
      <c r="Q21" s="83" t="str">
        <f>IF(SUMIFS(TableTime[[Duration]:[Duration]],TableTime[[Week]:[Week]],$I21,TableTime[[Activity]:[Activity]],Q$1)*24=0,"",SUMIFS(TableTime[[Duration]:[Duration]],TableTime[[Week]:[Week]],$I21,TableTime[[Activity]:[Activity]],Q$1)*24)</f>
        <v/>
      </c>
      <c r="R21" s="134" t="str">
        <f>IF(SUMIFS(TableTime[[Duration]:[Duration]],TableTime[[Week]:[Week]],$I21,TableTime[[Activity]:[Activity]],R$1)*24=0,"",SUMIFS(TableTime[[Duration]:[Duration]],TableTime[[Week]:[Week]],$I21,TableTime[[Activity]:[Activity]],R$1)*24)</f>
        <v/>
      </c>
      <c r="S21" s="83" t="str">
        <f>IF(SUMIFS(TableTime[[Duration]:[Duration]],TableTime[[Week]:[Week]],$I21,TableTime[[Activity]:[Activity]],S$1)*24=0,"",SUMIFS(TableTime[[Duration]:[Duration]],TableTime[[Week]:[Week]],$I21,TableTime[[Activity]:[Activity]],S$1)*24)</f>
        <v/>
      </c>
      <c r="U21" s="191"/>
      <c r="V21" s="8">
        <f t="shared" si="3"/>
        <v>45054</v>
      </c>
      <c r="W21" s="8">
        <f t="shared" ref="W21:AB21" si="22">V21+1</f>
        <v>45055</v>
      </c>
      <c r="X21" s="8">
        <f t="shared" si="22"/>
        <v>45056</v>
      </c>
      <c r="Y21" s="8">
        <f t="shared" si="22"/>
        <v>45057</v>
      </c>
      <c r="Z21" s="8">
        <f t="shared" si="22"/>
        <v>45058</v>
      </c>
      <c r="AA21" s="8">
        <f t="shared" si="22"/>
        <v>45059</v>
      </c>
      <c r="AB21" s="8">
        <f t="shared" si="22"/>
        <v>45060</v>
      </c>
      <c r="AC21">
        <f t="shared" si="5"/>
        <v>19</v>
      </c>
    </row>
    <row r="22" spans="1:29" x14ac:dyDescent="0.35">
      <c r="A22" s="197"/>
      <c r="B22" s="18">
        <f>IF(V22="","",IF(VLOOKUP(V22,'Day summary'!$B$2:$E$367,4,FALSE)="",V22,CONCATENATE(DAY(V22)," (",VLOOKUP(V22,'Day summary'!$B$2:$E$367,4,FALSE),")")))</f>
        <v>45061</v>
      </c>
      <c r="C22" s="18">
        <f>IF(W22="","",IF(VLOOKUP(W22,'Day summary'!$B$2:$E$367,4,FALSE)="",W22,CONCATENATE(DAY(W22)," (",VLOOKUP(W22,'Day summary'!$B$2:$E$367,4,FALSE),")")))</f>
        <v>45062</v>
      </c>
      <c r="D22" s="18">
        <f>IF(X22="","",IF(VLOOKUP(X22,'Day summary'!$B$2:$E$367,4,FALSE)="",X22,CONCATENATE(DAY(X22)," (",VLOOKUP(X22,'Day summary'!$B$2:$E$367,4,FALSE),")")))</f>
        <v>45063</v>
      </c>
      <c r="E22" s="18" t="str">
        <f>IF(Y22="","",IF(VLOOKUP(Y22,'Day summary'!$B$2:$E$367,4,FALSE)="",Y22,CONCATENATE(DAY(Y22)," (",VLOOKUP(Y22,'Day summary'!$B$2:$E$367,4,FALSE),")")))</f>
        <v>18 (PH)</v>
      </c>
      <c r="F22" s="26" t="str">
        <f>IF(Z22="","",IF(VLOOKUP(Z22,'Day summary'!$B$2:$E$367,4,FALSE)="",Z22,CONCATENATE(DAY(Z22)," (",VLOOKUP(Z22,'Day summary'!$B$2:$E$367,4,FALSE),")")))</f>
        <v>19 (PH)</v>
      </c>
      <c r="G22" s="30">
        <f>IF(AA22="","",IF(VLOOKUP(AA22,'Day summary'!$B$2:$E$367,4,FALSE)="",AA22,CONCATENATE(DAY(AA22)," (",VLOOKUP(AA22,'Day summary'!$B$2:$E$367,4,FALSE),")")))</f>
        <v>45066</v>
      </c>
      <c r="H22" s="31">
        <f>IF(AB22="","",IF(VLOOKUP(AB22,'Day summary'!$B$2:$E$367,4,FALSE)="",AB22,CONCATENATE(DAY(AB22)," (",VLOOKUP(AB22,'Day summary'!$B$2:$E$367,4,FALSE),")")))</f>
        <v>45067</v>
      </c>
      <c r="I22" s="43">
        <f t="shared" si="0"/>
        <v>20</v>
      </c>
      <c r="J22" s="79" t="str">
        <f t="shared" si="1"/>
        <v/>
      </c>
      <c r="K22" s="79" t="str">
        <f ca="1">IF(J22="","",SUMIFS('Day summary'!$I$2:$I$367,'Day summary'!$D$2:$D$367,I22,'Day summary'!$B$2:$B$367,"&lt;"&amp;TODAY())*24-SUMIFS('Day summary'!$G$2:$G$367,'Day summary'!$D$2:$D$367,I22,'Day summary'!$B$2:$B$367,"&lt;"&amp;TODAY())*24)</f>
        <v/>
      </c>
      <c r="L22" s="80" t="str">
        <f>IF(SUMIFS(TableTime[[Duration]:[Duration]],TableTime[[Week]:[Week]],$I22,TableTime[[Activity]:[Activity]],L$1)*24=0,"",SUMIFS(TableTime[[Duration]:[Duration]],TableTime[[Week]:[Week]],$I22,TableTime[[Activity]:[Activity]],L$1)*24)</f>
        <v/>
      </c>
      <c r="M22" s="81" t="str">
        <f>IF(SUMIFS(TableTime[[Duration]:[Duration]],TableTime[[Week]:[Week]],$I22,TableTime[[Activity]:[Activity]],M$1)*24=0,"",SUMIFS(TableTime[[Duration]:[Duration]],TableTime[[Week]:[Week]],$I22,TableTime[[Activity]:[Activity]],M$1)*24)</f>
        <v/>
      </c>
      <c r="N22" s="81" t="str">
        <f>IF(SUMIFS(TableTime[[Duration]:[Duration]],TableTime[[Week]:[Week]],$I22,TableTime[[Activity]:[Activity]],N$1)*24=0,"",SUMIFS(TableTime[[Duration]:[Duration]],TableTime[[Week]:[Week]],$I22,TableTime[[Activity]:[Activity]],N$1)*24)</f>
        <v/>
      </c>
      <c r="O22" s="82" t="str">
        <f>IF(SUMIFS(TableTime[[Duration]:[Duration]],TableTime[[Week]:[Week]],$I22,TableTime[[Activity]:[Activity]],O$1)*24=0,"",SUMIFS(TableTime[[Duration]:[Duration]],TableTime[[Week]:[Week]],$I22,TableTime[[Activity]:[Activity]],O$1)*24)</f>
        <v/>
      </c>
      <c r="P22" s="82" t="str">
        <f>IF(SUMIFS(TableTime[[Duration]:[Duration]],TableTime[[Week]:[Week]],$I22,TableTime[[Activity]:[Activity]],P$1)*24=0,"",SUMIFS(TableTime[[Duration]:[Duration]],TableTime[[Week]:[Week]],$I22,TableTime[[Activity]:[Activity]],P$1)*24)</f>
        <v/>
      </c>
      <c r="Q22" s="83" t="str">
        <f>IF(SUMIFS(TableTime[[Duration]:[Duration]],TableTime[[Week]:[Week]],$I22,TableTime[[Activity]:[Activity]],Q$1)*24=0,"",SUMIFS(TableTime[[Duration]:[Duration]],TableTime[[Week]:[Week]],$I22,TableTime[[Activity]:[Activity]],Q$1)*24)</f>
        <v/>
      </c>
      <c r="R22" s="134" t="str">
        <f>IF(SUMIFS(TableTime[[Duration]:[Duration]],TableTime[[Week]:[Week]],$I22,TableTime[[Activity]:[Activity]],R$1)*24=0,"",SUMIFS(TableTime[[Duration]:[Duration]],TableTime[[Week]:[Week]],$I22,TableTime[[Activity]:[Activity]],R$1)*24)</f>
        <v/>
      </c>
      <c r="S22" s="83" t="str">
        <f>IF(SUMIFS(TableTime[[Duration]:[Duration]],TableTime[[Week]:[Week]],$I22,TableTime[[Activity]:[Activity]],S$1)*24=0,"",SUMIFS(TableTime[[Duration]:[Duration]],TableTime[[Week]:[Week]],$I22,TableTime[[Activity]:[Activity]],S$1)*24)</f>
        <v/>
      </c>
      <c r="U22" s="191"/>
      <c r="V22" s="8">
        <f t="shared" si="3"/>
        <v>45061</v>
      </c>
      <c r="W22" s="8">
        <f t="shared" ref="W22:AB22" si="23">V22+1</f>
        <v>45062</v>
      </c>
      <c r="X22" s="8">
        <f t="shared" si="23"/>
        <v>45063</v>
      </c>
      <c r="Y22" s="8">
        <f t="shared" si="23"/>
        <v>45064</v>
      </c>
      <c r="Z22" s="8">
        <f t="shared" si="23"/>
        <v>45065</v>
      </c>
      <c r="AA22" s="8">
        <f t="shared" si="23"/>
        <v>45066</v>
      </c>
      <c r="AB22" s="8">
        <f t="shared" si="23"/>
        <v>45067</v>
      </c>
      <c r="AC22">
        <f t="shared" si="5"/>
        <v>20</v>
      </c>
    </row>
    <row r="23" spans="1:29" x14ac:dyDescent="0.35">
      <c r="A23" s="197"/>
      <c r="B23" s="18">
        <f>IF(V23="","",IF(VLOOKUP(V23,'Day summary'!$B$2:$E$367,4,FALSE)="",V23,CONCATENATE(DAY(V23)," (",VLOOKUP(V23,'Day summary'!$B$2:$E$367,4,FALSE),")")))</f>
        <v>45068</v>
      </c>
      <c r="C23" s="18">
        <f>IF(W23="","",IF(VLOOKUP(W23,'Day summary'!$B$2:$E$367,4,FALSE)="",W23,CONCATENATE(DAY(W23)," (",VLOOKUP(W23,'Day summary'!$B$2:$E$367,4,FALSE),")")))</f>
        <v>45069</v>
      </c>
      <c r="D23" s="18">
        <f>IF(X23="","",IF(VLOOKUP(X23,'Day summary'!$B$2:$E$367,4,FALSE)="",X23,CONCATENATE(DAY(X23)," (",VLOOKUP(X23,'Day summary'!$B$2:$E$367,4,FALSE),")")))</f>
        <v>45070</v>
      </c>
      <c r="E23" s="18">
        <f>IF(Y23="","",IF(VLOOKUP(Y23,'Day summary'!$B$2:$E$367,4,FALSE)="",Y23,CONCATENATE(DAY(Y23)," (",VLOOKUP(Y23,'Day summary'!$B$2:$E$367,4,FALSE),")")))</f>
        <v>45071</v>
      </c>
      <c r="F23" s="26">
        <f>IF(Z23="","",IF(VLOOKUP(Z23,'Day summary'!$B$2:$E$367,4,FALSE)="",Z23,CONCATENATE(DAY(Z23)," (",VLOOKUP(Z23,'Day summary'!$B$2:$E$367,4,FALSE),")")))</f>
        <v>45072</v>
      </c>
      <c r="G23" s="30">
        <f>IF(AA23="","",IF(VLOOKUP(AA23,'Day summary'!$B$2:$E$367,4,FALSE)="",AA23,CONCATENATE(DAY(AA23)," (",VLOOKUP(AA23,'Day summary'!$B$2:$E$367,4,FALSE),")")))</f>
        <v>45073</v>
      </c>
      <c r="H23" s="31">
        <f>IF(AB23="","",IF(VLOOKUP(AB23,'Day summary'!$B$2:$E$367,4,FALSE)="",AB23,CONCATENATE(DAY(AB23)," (",VLOOKUP(AB23,'Day summary'!$B$2:$E$367,4,FALSE),")")))</f>
        <v>45074</v>
      </c>
      <c r="I23" s="43">
        <f t="shared" si="0"/>
        <v>21</v>
      </c>
      <c r="J23" s="79" t="str">
        <f t="shared" si="1"/>
        <v/>
      </c>
      <c r="K23" s="79" t="str">
        <f ca="1">IF(J23="","",SUMIFS('Day summary'!$I$2:$I$367,'Day summary'!$D$2:$D$367,I23,'Day summary'!$B$2:$B$367,"&lt;"&amp;TODAY())*24-SUMIFS('Day summary'!$G$2:$G$367,'Day summary'!$D$2:$D$367,I23,'Day summary'!$B$2:$B$367,"&lt;"&amp;TODAY())*24)</f>
        <v/>
      </c>
      <c r="L23" s="80" t="str">
        <f>IF(SUMIFS(TableTime[[Duration]:[Duration]],TableTime[[Week]:[Week]],$I23,TableTime[[Activity]:[Activity]],L$1)*24=0,"",SUMIFS(TableTime[[Duration]:[Duration]],TableTime[[Week]:[Week]],$I23,TableTime[[Activity]:[Activity]],L$1)*24)</f>
        <v/>
      </c>
      <c r="M23" s="81" t="str">
        <f>IF(SUMIFS(TableTime[[Duration]:[Duration]],TableTime[[Week]:[Week]],$I23,TableTime[[Activity]:[Activity]],M$1)*24=0,"",SUMIFS(TableTime[[Duration]:[Duration]],TableTime[[Week]:[Week]],$I23,TableTime[[Activity]:[Activity]],M$1)*24)</f>
        <v/>
      </c>
      <c r="N23" s="81" t="str">
        <f>IF(SUMIFS(TableTime[[Duration]:[Duration]],TableTime[[Week]:[Week]],$I23,TableTime[[Activity]:[Activity]],N$1)*24=0,"",SUMIFS(TableTime[[Duration]:[Duration]],TableTime[[Week]:[Week]],$I23,TableTime[[Activity]:[Activity]],N$1)*24)</f>
        <v/>
      </c>
      <c r="O23" s="82" t="str">
        <f>IF(SUMIFS(TableTime[[Duration]:[Duration]],TableTime[[Week]:[Week]],$I23,TableTime[[Activity]:[Activity]],O$1)*24=0,"",SUMIFS(TableTime[[Duration]:[Duration]],TableTime[[Week]:[Week]],$I23,TableTime[[Activity]:[Activity]],O$1)*24)</f>
        <v/>
      </c>
      <c r="P23" s="82" t="str">
        <f>IF(SUMIFS(TableTime[[Duration]:[Duration]],TableTime[[Week]:[Week]],$I23,TableTime[[Activity]:[Activity]],P$1)*24=0,"",SUMIFS(TableTime[[Duration]:[Duration]],TableTime[[Week]:[Week]],$I23,TableTime[[Activity]:[Activity]],P$1)*24)</f>
        <v/>
      </c>
      <c r="Q23" s="83" t="str">
        <f>IF(SUMIFS(TableTime[[Duration]:[Duration]],TableTime[[Week]:[Week]],$I23,TableTime[[Activity]:[Activity]],Q$1)*24=0,"",SUMIFS(TableTime[[Duration]:[Duration]],TableTime[[Week]:[Week]],$I23,TableTime[[Activity]:[Activity]],Q$1)*24)</f>
        <v/>
      </c>
      <c r="R23" s="134" t="str">
        <f>IF(SUMIFS(TableTime[[Duration]:[Duration]],TableTime[[Week]:[Week]],$I23,TableTime[[Activity]:[Activity]],R$1)*24=0,"",SUMIFS(TableTime[[Duration]:[Duration]],TableTime[[Week]:[Week]],$I23,TableTime[[Activity]:[Activity]],R$1)*24)</f>
        <v/>
      </c>
      <c r="S23" s="83" t="str">
        <f>IF(SUMIFS(TableTime[[Duration]:[Duration]],TableTime[[Week]:[Week]],$I23,TableTime[[Activity]:[Activity]],S$1)*24=0,"",SUMIFS(TableTime[[Duration]:[Duration]],TableTime[[Week]:[Week]],$I23,TableTime[[Activity]:[Activity]],S$1)*24)</f>
        <v/>
      </c>
      <c r="U23" s="191"/>
      <c r="V23" s="8">
        <f t="shared" si="3"/>
        <v>45068</v>
      </c>
      <c r="W23" s="8">
        <f t="shared" ref="W23:AB23" si="24">V23+1</f>
        <v>45069</v>
      </c>
      <c r="X23" s="8">
        <f t="shared" si="24"/>
        <v>45070</v>
      </c>
      <c r="Y23" s="8">
        <f t="shared" si="24"/>
        <v>45071</v>
      </c>
      <c r="Z23" s="8">
        <f t="shared" si="24"/>
        <v>45072</v>
      </c>
      <c r="AA23" s="8">
        <f t="shared" si="24"/>
        <v>45073</v>
      </c>
      <c r="AB23" s="8">
        <f t="shared" si="24"/>
        <v>45074</v>
      </c>
      <c r="AC23">
        <f t="shared" si="5"/>
        <v>21</v>
      </c>
    </row>
    <row r="24" spans="1:29" x14ac:dyDescent="0.35">
      <c r="A24" s="193" t="s">
        <v>39</v>
      </c>
      <c r="B24" s="18">
        <f>IF(V24="","",IF(VLOOKUP(V24,'Day summary'!$B$2:$E$367,4,FALSE)="",V24,CONCATENATE(DAY(V24)," (",VLOOKUP(V24,'Day summary'!$B$2:$E$367,4,FALSE),")")))</f>
        <v>45075</v>
      </c>
      <c r="C24" s="18">
        <f>IF(W24="","",IF(VLOOKUP(W24,'Day summary'!$B$2:$E$367,4,FALSE)="",W24,CONCATENATE(DAY(W24)," (",VLOOKUP(W24,'Day summary'!$B$2:$E$367,4,FALSE),")")))</f>
        <v>45076</v>
      </c>
      <c r="D24" s="18">
        <f>IF(X24="","",IF(VLOOKUP(X24,'Day summary'!$B$2:$E$367,4,FALSE)="",X24,CONCATENATE(DAY(X24)," (",VLOOKUP(X24,'Day summary'!$B$2:$E$367,4,FALSE),")")))</f>
        <v>45077</v>
      </c>
      <c r="E24" s="18">
        <f>IF(Y24="","",IF(VLOOKUP(Y24,'Day summary'!$B$2:$E$367,4,FALSE)="",Y24,CONCATENATE(DAY(Y24)," (",VLOOKUP(Y24,'Day summary'!$B$2:$E$367,4,FALSE),")")))</f>
        <v>45078</v>
      </c>
      <c r="F24" s="26">
        <f>IF(Z24="","",IF(VLOOKUP(Z24,'Day summary'!$B$2:$E$367,4,FALSE)="",Z24,CONCATENATE(DAY(Z24)," (",VLOOKUP(Z24,'Day summary'!$B$2:$E$367,4,FALSE),")")))</f>
        <v>45079</v>
      </c>
      <c r="G24" s="30">
        <f>IF(AA24="","",IF(VLOOKUP(AA24,'Day summary'!$B$2:$E$367,4,FALSE)="",AA24,CONCATENATE(DAY(AA24)," (",VLOOKUP(AA24,'Day summary'!$B$2:$E$367,4,FALSE),")")))</f>
        <v>45080</v>
      </c>
      <c r="H24" s="31">
        <f>IF(AB24="","",IF(VLOOKUP(AB24,'Day summary'!$B$2:$E$367,4,FALSE)="",AB24,CONCATENATE(DAY(AB24)," (",VLOOKUP(AB24,'Day summary'!$B$2:$E$367,4,FALSE),")")))</f>
        <v>45081</v>
      </c>
      <c r="I24" s="43">
        <f t="shared" si="0"/>
        <v>22</v>
      </c>
      <c r="J24" s="79" t="str">
        <f t="shared" si="1"/>
        <v/>
      </c>
      <c r="K24" s="79" t="str">
        <f ca="1">IF(J24="","",SUMIFS('Day summary'!$I$2:$I$367,'Day summary'!$D$2:$D$367,I24,'Day summary'!$B$2:$B$367,"&lt;"&amp;TODAY())*24-SUMIFS('Day summary'!$G$2:$G$367,'Day summary'!$D$2:$D$367,I24,'Day summary'!$B$2:$B$367,"&lt;"&amp;TODAY())*24)</f>
        <v/>
      </c>
      <c r="L24" s="80" t="str">
        <f>IF(SUMIFS(TableTime[[Duration]:[Duration]],TableTime[[Week]:[Week]],$I24,TableTime[[Activity]:[Activity]],L$1)*24=0,"",SUMIFS(TableTime[[Duration]:[Duration]],TableTime[[Week]:[Week]],$I24,TableTime[[Activity]:[Activity]],L$1)*24)</f>
        <v/>
      </c>
      <c r="M24" s="81" t="str">
        <f>IF(SUMIFS(TableTime[[Duration]:[Duration]],TableTime[[Week]:[Week]],$I24,TableTime[[Activity]:[Activity]],M$1)*24=0,"",SUMIFS(TableTime[[Duration]:[Duration]],TableTime[[Week]:[Week]],$I24,TableTime[[Activity]:[Activity]],M$1)*24)</f>
        <v/>
      </c>
      <c r="N24" s="81" t="str">
        <f>IF(SUMIFS(TableTime[[Duration]:[Duration]],TableTime[[Week]:[Week]],$I24,TableTime[[Activity]:[Activity]],N$1)*24=0,"",SUMIFS(TableTime[[Duration]:[Duration]],TableTime[[Week]:[Week]],$I24,TableTime[[Activity]:[Activity]],N$1)*24)</f>
        <v/>
      </c>
      <c r="O24" s="82" t="str">
        <f>IF(SUMIFS(TableTime[[Duration]:[Duration]],TableTime[[Week]:[Week]],$I24,TableTime[[Activity]:[Activity]],O$1)*24=0,"",SUMIFS(TableTime[[Duration]:[Duration]],TableTime[[Week]:[Week]],$I24,TableTime[[Activity]:[Activity]],O$1)*24)</f>
        <v/>
      </c>
      <c r="P24" s="82" t="str">
        <f>IF(SUMIFS(TableTime[[Duration]:[Duration]],TableTime[[Week]:[Week]],$I24,TableTime[[Activity]:[Activity]],P$1)*24=0,"",SUMIFS(TableTime[[Duration]:[Duration]],TableTime[[Week]:[Week]],$I24,TableTime[[Activity]:[Activity]],P$1)*24)</f>
        <v/>
      </c>
      <c r="Q24" s="83" t="str">
        <f>IF(SUMIFS(TableTime[[Duration]:[Duration]],TableTime[[Week]:[Week]],$I24,TableTime[[Activity]:[Activity]],Q$1)*24=0,"",SUMIFS(TableTime[[Duration]:[Duration]],TableTime[[Week]:[Week]],$I24,TableTime[[Activity]:[Activity]],Q$1)*24)</f>
        <v/>
      </c>
      <c r="R24" s="134" t="str">
        <f>IF(SUMIFS(TableTime[[Duration]:[Duration]],TableTime[[Week]:[Week]],$I24,TableTime[[Activity]:[Activity]],R$1)*24=0,"",SUMIFS(TableTime[[Duration]:[Duration]],TableTime[[Week]:[Week]],$I24,TableTime[[Activity]:[Activity]],R$1)*24)</f>
        <v/>
      </c>
      <c r="S24" s="83" t="str">
        <f>IF(SUMIFS(TableTime[[Duration]:[Duration]],TableTime[[Week]:[Week]],$I24,TableTime[[Activity]:[Activity]],S$1)*24=0,"",SUMIFS(TableTime[[Duration]:[Duration]],TableTime[[Week]:[Week]],$I24,TableTime[[Activity]:[Activity]],S$1)*24)</f>
        <v/>
      </c>
      <c r="U24" s="191" t="s">
        <v>40</v>
      </c>
      <c r="V24" s="8">
        <f t="shared" si="3"/>
        <v>45075</v>
      </c>
      <c r="W24" s="8">
        <f t="shared" ref="W24:AB24" si="25">V24+1</f>
        <v>45076</v>
      </c>
      <c r="X24" s="8">
        <f t="shared" si="25"/>
        <v>45077</v>
      </c>
      <c r="Y24" s="8">
        <f t="shared" si="25"/>
        <v>45078</v>
      </c>
      <c r="Z24" s="8">
        <f t="shared" si="25"/>
        <v>45079</v>
      </c>
      <c r="AA24" s="8">
        <f t="shared" si="25"/>
        <v>45080</v>
      </c>
      <c r="AB24" s="8">
        <f t="shared" si="25"/>
        <v>45081</v>
      </c>
      <c r="AC24">
        <f t="shared" si="5"/>
        <v>22</v>
      </c>
    </row>
    <row r="25" spans="1:29" x14ac:dyDescent="0.35">
      <c r="A25" s="193"/>
      <c r="B25" s="18">
        <f>IF(V25="","",IF(VLOOKUP(V25,'Day summary'!$B$2:$E$367,4,FALSE)="",V25,CONCATENATE(DAY(V25)," (",VLOOKUP(V25,'Day summary'!$B$2:$E$367,4,FALSE),")")))</f>
        <v>45082</v>
      </c>
      <c r="C25" s="18">
        <f>IF(W25="","",IF(VLOOKUP(W25,'Day summary'!$B$2:$E$367,4,FALSE)="",W25,CONCATENATE(DAY(W25)," (",VLOOKUP(W25,'Day summary'!$B$2:$E$367,4,FALSE),")")))</f>
        <v>45083</v>
      </c>
      <c r="D25" s="18">
        <f>IF(X25="","",IF(VLOOKUP(X25,'Day summary'!$B$2:$E$367,4,FALSE)="",X25,CONCATENATE(DAY(X25)," (",VLOOKUP(X25,'Day summary'!$B$2:$E$367,4,FALSE),")")))</f>
        <v>45084</v>
      </c>
      <c r="E25" s="18">
        <f>IF(Y25="","",IF(VLOOKUP(Y25,'Day summary'!$B$2:$E$367,4,FALSE)="",Y25,CONCATENATE(DAY(Y25)," (",VLOOKUP(Y25,'Day summary'!$B$2:$E$367,4,FALSE),")")))</f>
        <v>45085</v>
      </c>
      <c r="F25" s="26">
        <f>IF(Z25="","",IF(VLOOKUP(Z25,'Day summary'!$B$2:$E$367,4,FALSE)="",Z25,CONCATENATE(DAY(Z25)," (",VLOOKUP(Z25,'Day summary'!$B$2:$E$367,4,FALSE),")")))</f>
        <v>45086</v>
      </c>
      <c r="G25" s="30">
        <f>IF(AA25="","",IF(VLOOKUP(AA25,'Day summary'!$B$2:$E$367,4,FALSE)="",AA25,CONCATENATE(DAY(AA25)," (",VLOOKUP(AA25,'Day summary'!$B$2:$E$367,4,FALSE),")")))</f>
        <v>45087</v>
      </c>
      <c r="H25" s="31">
        <f>IF(AB25="","",IF(VLOOKUP(AB25,'Day summary'!$B$2:$E$367,4,FALSE)="",AB25,CONCATENATE(DAY(AB25)," (",VLOOKUP(AB25,'Day summary'!$B$2:$E$367,4,FALSE),")")))</f>
        <v>45088</v>
      </c>
      <c r="I25" s="43">
        <f t="shared" si="0"/>
        <v>23</v>
      </c>
      <c r="J25" s="79" t="str">
        <f t="shared" si="1"/>
        <v/>
      </c>
      <c r="K25" s="79" t="str">
        <f ca="1">IF(J25="","",SUMIFS('Day summary'!$I$2:$I$367,'Day summary'!$D$2:$D$367,I25,'Day summary'!$B$2:$B$367,"&lt;"&amp;TODAY())*24-SUMIFS('Day summary'!$G$2:$G$367,'Day summary'!$D$2:$D$367,I25,'Day summary'!$B$2:$B$367,"&lt;"&amp;TODAY())*24)</f>
        <v/>
      </c>
      <c r="L25" s="80" t="str">
        <f>IF(SUMIFS(TableTime[[Duration]:[Duration]],TableTime[[Week]:[Week]],$I25,TableTime[[Activity]:[Activity]],L$1)*24=0,"",SUMIFS(TableTime[[Duration]:[Duration]],TableTime[[Week]:[Week]],$I25,TableTime[[Activity]:[Activity]],L$1)*24)</f>
        <v/>
      </c>
      <c r="M25" s="81" t="str">
        <f>IF(SUMIFS(TableTime[[Duration]:[Duration]],TableTime[[Week]:[Week]],$I25,TableTime[[Activity]:[Activity]],M$1)*24=0,"",SUMIFS(TableTime[[Duration]:[Duration]],TableTime[[Week]:[Week]],$I25,TableTime[[Activity]:[Activity]],M$1)*24)</f>
        <v/>
      </c>
      <c r="N25" s="81" t="str">
        <f>IF(SUMIFS(TableTime[[Duration]:[Duration]],TableTime[[Week]:[Week]],$I25,TableTime[[Activity]:[Activity]],N$1)*24=0,"",SUMIFS(TableTime[[Duration]:[Duration]],TableTime[[Week]:[Week]],$I25,TableTime[[Activity]:[Activity]],N$1)*24)</f>
        <v/>
      </c>
      <c r="O25" s="82" t="str">
        <f>IF(SUMIFS(TableTime[[Duration]:[Duration]],TableTime[[Week]:[Week]],$I25,TableTime[[Activity]:[Activity]],O$1)*24=0,"",SUMIFS(TableTime[[Duration]:[Duration]],TableTime[[Week]:[Week]],$I25,TableTime[[Activity]:[Activity]],O$1)*24)</f>
        <v/>
      </c>
      <c r="P25" s="82" t="str">
        <f>IF(SUMIFS(TableTime[[Duration]:[Duration]],TableTime[[Week]:[Week]],$I25,TableTime[[Activity]:[Activity]],P$1)*24=0,"",SUMIFS(TableTime[[Duration]:[Duration]],TableTime[[Week]:[Week]],$I25,TableTime[[Activity]:[Activity]],P$1)*24)</f>
        <v/>
      </c>
      <c r="Q25" s="83" t="str">
        <f>IF(SUMIFS(TableTime[[Duration]:[Duration]],TableTime[[Week]:[Week]],$I25,TableTime[[Activity]:[Activity]],Q$1)*24=0,"",SUMIFS(TableTime[[Duration]:[Duration]],TableTime[[Week]:[Week]],$I25,TableTime[[Activity]:[Activity]],Q$1)*24)</f>
        <v/>
      </c>
      <c r="R25" s="134" t="str">
        <f>IF(SUMIFS(TableTime[[Duration]:[Duration]],TableTime[[Week]:[Week]],$I25,TableTime[[Activity]:[Activity]],R$1)*24=0,"",SUMIFS(TableTime[[Duration]:[Duration]],TableTime[[Week]:[Week]],$I25,TableTime[[Activity]:[Activity]],R$1)*24)</f>
        <v/>
      </c>
      <c r="S25" s="83" t="str">
        <f>IF(SUMIFS(TableTime[[Duration]:[Duration]],TableTime[[Week]:[Week]],$I25,TableTime[[Activity]:[Activity]],S$1)*24=0,"",SUMIFS(TableTime[[Duration]:[Duration]],TableTime[[Week]:[Week]],$I25,TableTime[[Activity]:[Activity]],S$1)*24)</f>
        <v/>
      </c>
      <c r="U25" s="191"/>
      <c r="V25" s="8">
        <f t="shared" si="3"/>
        <v>45082</v>
      </c>
      <c r="W25" s="8">
        <f t="shared" ref="W25:AB25" si="26">V25+1</f>
        <v>45083</v>
      </c>
      <c r="X25" s="8">
        <f t="shared" si="26"/>
        <v>45084</v>
      </c>
      <c r="Y25" s="8">
        <f t="shared" si="26"/>
        <v>45085</v>
      </c>
      <c r="Z25" s="8">
        <f t="shared" si="26"/>
        <v>45086</v>
      </c>
      <c r="AA25" s="8">
        <f t="shared" si="26"/>
        <v>45087</v>
      </c>
      <c r="AB25" s="8">
        <f t="shared" si="26"/>
        <v>45088</v>
      </c>
      <c r="AC25">
        <f t="shared" si="5"/>
        <v>23</v>
      </c>
    </row>
    <row r="26" spans="1:29" x14ac:dyDescent="0.35">
      <c r="A26" s="193"/>
      <c r="B26" s="18">
        <f>IF(V26="","",IF(VLOOKUP(V26,'Day summary'!$B$2:$E$367,4,FALSE)="",V26,CONCATENATE(DAY(V26)," (",VLOOKUP(V26,'Day summary'!$B$2:$E$367,4,FALSE),")")))</f>
        <v>45089</v>
      </c>
      <c r="C26" s="18">
        <f>IF(W26="","",IF(VLOOKUP(W26,'Day summary'!$B$2:$E$367,4,FALSE)="",W26,CONCATENATE(DAY(W26)," (",VLOOKUP(W26,'Day summary'!$B$2:$E$367,4,FALSE),")")))</f>
        <v>45090</v>
      </c>
      <c r="D26" s="18">
        <f>IF(X26="","",IF(VLOOKUP(X26,'Day summary'!$B$2:$E$367,4,FALSE)="",X26,CONCATENATE(DAY(X26)," (",VLOOKUP(X26,'Day summary'!$B$2:$E$367,4,FALSE),")")))</f>
        <v>45091</v>
      </c>
      <c r="E26" s="18">
        <f>IF(Y26="","",IF(VLOOKUP(Y26,'Day summary'!$B$2:$E$367,4,FALSE)="",Y26,CONCATENATE(DAY(Y26)," (",VLOOKUP(Y26,'Day summary'!$B$2:$E$367,4,FALSE),")")))</f>
        <v>45092</v>
      </c>
      <c r="F26" s="26">
        <f>IF(Z26="","",IF(VLOOKUP(Z26,'Day summary'!$B$2:$E$367,4,FALSE)="",Z26,CONCATENATE(DAY(Z26)," (",VLOOKUP(Z26,'Day summary'!$B$2:$E$367,4,FALSE),")")))</f>
        <v>45093</v>
      </c>
      <c r="G26" s="30">
        <f>IF(AA26="","",IF(VLOOKUP(AA26,'Day summary'!$B$2:$E$367,4,FALSE)="",AA26,CONCATENATE(DAY(AA26)," (",VLOOKUP(AA26,'Day summary'!$B$2:$E$367,4,FALSE),")")))</f>
        <v>45094</v>
      </c>
      <c r="H26" s="31">
        <f>IF(AB26="","",IF(VLOOKUP(AB26,'Day summary'!$B$2:$E$367,4,FALSE)="",AB26,CONCATENATE(DAY(AB26)," (",VLOOKUP(AB26,'Day summary'!$B$2:$E$367,4,FALSE),")")))</f>
        <v>45095</v>
      </c>
      <c r="I26" s="43">
        <f t="shared" si="0"/>
        <v>24</v>
      </c>
      <c r="J26" s="79" t="str">
        <f t="shared" si="1"/>
        <v/>
      </c>
      <c r="K26" s="79" t="str">
        <f ca="1">IF(J26="","",SUMIFS('Day summary'!$I$2:$I$367,'Day summary'!$D$2:$D$367,I26,'Day summary'!$B$2:$B$367,"&lt;"&amp;TODAY())*24-SUMIFS('Day summary'!$G$2:$G$367,'Day summary'!$D$2:$D$367,I26,'Day summary'!$B$2:$B$367,"&lt;"&amp;TODAY())*24)</f>
        <v/>
      </c>
      <c r="L26" s="80" t="str">
        <f>IF(SUMIFS(TableTime[[Duration]:[Duration]],TableTime[[Week]:[Week]],$I26,TableTime[[Activity]:[Activity]],L$1)*24=0,"",SUMIFS(TableTime[[Duration]:[Duration]],TableTime[[Week]:[Week]],$I26,TableTime[[Activity]:[Activity]],L$1)*24)</f>
        <v/>
      </c>
      <c r="M26" s="81" t="str">
        <f>IF(SUMIFS(TableTime[[Duration]:[Duration]],TableTime[[Week]:[Week]],$I26,TableTime[[Activity]:[Activity]],M$1)*24=0,"",SUMIFS(TableTime[[Duration]:[Duration]],TableTime[[Week]:[Week]],$I26,TableTime[[Activity]:[Activity]],M$1)*24)</f>
        <v/>
      </c>
      <c r="N26" s="81" t="str">
        <f>IF(SUMIFS(TableTime[[Duration]:[Duration]],TableTime[[Week]:[Week]],$I26,TableTime[[Activity]:[Activity]],N$1)*24=0,"",SUMIFS(TableTime[[Duration]:[Duration]],TableTime[[Week]:[Week]],$I26,TableTime[[Activity]:[Activity]],N$1)*24)</f>
        <v/>
      </c>
      <c r="O26" s="82" t="str">
        <f>IF(SUMIFS(TableTime[[Duration]:[Duration]],TableTime[[Week]:[Week]],$I26,TableTime[[Activity]:[Activity]],O$1)*24=0,"",SUMIFS(TableTime[[Duration]:[Duration]],TableTime[[Week]:[Week]],$I26,TableTime[[Activity]:[Activity]],O$1)*24)</f>
        <v/>
      </c>
      <c r="P26" s="82" t="str">
        <f>IF(SUMIFS(TableTime[[Duration]:[Duration]],TableTime[[Week]:[Week]],$I26,TableTime[[Activity]:[Activity]],P$1)*24=0,"",SUMIFS(TableTime[[Duration]:[Duration]],TableTime[[Week]:[Week]],$I26,TableTime[[Activity]:[Activity]],P$1)*24)</f>
        <v/>
      </c>
      <c r="Q26" s="83" t="str">
        <f>IF(SUMIFS(TableTime[[Duration]:[Duration]],TableTime[[Week]:[Week]],$I26,TableTime[[Activity]:[Activity]],Q$1)*24=0,"",SUMIFS(TableTime[[Duration]:[Duration]],TableTime[[Week]:[Week]],$I26,TableTime[[Activity]:[Activity]],Q$1)*24)</f>
        <v/>
      </c>
      <c r="R26" s="134" t="str">
        <f>IF(SUMIFS(TableTime[[Duration]:[Duration]],TableTime[[Week]:[Week]],$I26,TableTime[[Activity]:[Activity]],R$1)*24=0,"",SUMIFS(TableTime[[Duration]:[Duration]],TableTime[[Week]:[Week]],$I26,TableTime[[Activity]:[Activity]],R$1)*24)</f>
        <v/>
      </c>
      <c r="S26" s="83" t="str">
        <f>IF(SUMIFS(TableTime[[Duration]:[Duration]],TableTime[[Week]:[Week]],$I26,TableTime[[Activity]:[Activity]],S$1)*24=0,"",SUMIFS(TableTime[[Duration]:[Duration]],TableTime[[Week]:[Week]],$I26,TableTime[[Activity]:[Activity]],S$1)*24)</f>
        <v/>
      </c>
      <c r="U26" s="191"/>
      <c r="V26" s="8">
        <f t="shared" si="3"/>
        <v>45089</v>
      </c>
      <c r="W26" s="8">
        <f t="shared" ref="W26:AB26" si="27">V26+1</f>
        <v>45090</v>
      </c>
      <c r="X26" s="8">
        <f t="shared" si="27"/>
        <v>45091</v>
      </c>
      <c r="Y26" s="8">
        <f t="shared" si="27"/>
        <v>45092</v>
      </c>
      <c r="Z26" s="8">
        <f t="shared" si="27"/>
        <v>45093</v>
      </c>
      <c r="AA26" s="8">
        <f t="shared" si="27"/>
        <v>45094</v>
      </c>
      <c r="AB26" s="8">
        <f t="shared" si="27"/>
        <v>45095</v>
      </c>
      <c r="AC26">
        <f t="shared" si="5"/>
        <v>24</v>
      </c>
    </row>
    <row r="27" spans="1:29" x14ac:dyDescent="0.35">
      <c r="A27" s="193"/>
      <c r="B27" s="18">
        <f>IF(V27="","",IF(VLOOKUP(V27,'Day summary'!$B$2:$E$367,4,FALSE)="",V27,CONCATENATE(DAY(V27)," (",VLOOKUP(V27,'Day summary'!$B$2:$E$367,4,FALSE),")")))</f>
        <v>45096</v>
      </c>
      <c r="C27" s="18">
        <f>IF(W27="","",IF(VLOOKUP(W27,'Day summary'!$B$2:$E$367,4,FALSE)="",W27,CONCATENATE(DAY(W27)," (",VLOOKUP(W27,'Day summary'!$B$2:$E$367,4,FALSE),")")))</f>
        <v>45097</v>
      </c>
      <c r="D27" s="18">
        <f>IF(X27="","",IF(VLOOKUP(X27,'Day summary'!$B$2:$E$367,4,FALSE)="",X27,CONCATENATE(DAY(X27)," (",VLOOKUP(X27,'Day summary'!$B$2:$E$367,4,FALSE),")")))</f>
        <v>45098</v>
      </c>
      <c r="E27" s="18">
        <f>IF(Y27="","",IF(VLOOKUP(Y27,'Day summary'!$B$2:$E$367,4,FALSE)="",Y27,CONCATENATE(DAY(Y27)," (",VLOOKUP(Y27,'Day summary'!$B$2:$E$367,4,FALSE),")")))</f>
        <v>45099</v>
      </c>
      <c r="F27" s="26">
        <f>IF(Z27="","",IF(VLOOKUP(Z27,'Day summary'!$B$2:$E$367,4,FALSE)="",Z27,CONCATENATE(DAY(Z27)," (",VLOOKUP(Z27,'Day summary'!$B$2:$E$367,4,FALSE),")")))</f>
        <v>45100</v>
      </c>
      <c r="G27" s="30">
        <f>IF(AA27="","",IF(VLOOKUP(AA27,'Day summary'!$B$2:$E$367,4,FALSE)="",AA27,CONCATENATE(DAY(AA27)," (",VLOOKUP(AA27,'Day summary'!$B$2:$E$367,4,FALSE),")")))</f>
        <v>45101</v>
      </c>
      <c r="H27" s="31">
        <f>IF(AB27="","",IF(VLOOKUP(AB27,'Day summary'!$B$2:$E$367,4,FALSE)="",AB27,CONCATENATE(DAY(AB27)," (",VLOOKUP(AB27,'Day summary'!$B$2:$E$367,4,FALSE),")")))</f>
        <v>45102</v>
      </c>
      <c r="I27" s="43">
        <f t="shared" si="0"/>
        <v>25</v>
      </c>
      <c r="J27" s="79" t="str">
        <f t="shared" si="1"/>
        <v/>
      </c>
      <c r="K27" s="79" t="str">
        <f ca="1">IF(J27="","",SUMIFS('Day summary'!$I$2:$I$367,'Day summary'!$D$2:$D$367,I27,'Day summary'!$B$2:$B$367,"&lt;"&amp;TODAY())*24-SUMIFS('Day summary'!$G$2:$G$367,'Day summary'!$D$2:$D$367,I27,'Day summary'!$B$2:$B$367,"&lt;"&amp;TODAY())*24)</f>
        <v/>
      </c>
      <c r="L27" s="80" t="str">
        <f>IF(SUMIFS(TableTime[[Duration]:[Duration]],TableTime[[Week]:[Week]],$I27,TableTime[[Activity]:[Activity]],L$1)*24=0,"",SUMIFS(TableTime[[Duration]:[Duration]],TableTime[[Week]:[Week]],$I27,TableTime[[Activity]:[Activity]],L$1)*24)</f>
        <v/>
      </c>
      <c r="M27" s="81" t="str">
        <f>IF(SUMIFS(TableTime[[Duration]:[Duration]],TableTime[[Week]:[Week]],$I27,TableTime[[Activity]:[Activity]],M$1)*24=0,"",SUMIFS(TableTime[[Duration]:[Duration]],TableTime[[Week]:[Week]],$I27,TableTime[[Activity]:[Activity]],M$1)*24)</f>
        <v/>
      </c>
      <c r="N27" s="81" t="str">
        <f>IF(SUMIFS(TableTime[[Duration]:[Duration]],TableTime[[Week]:[Week]],$I27,TableTime[[Activity]:[Activity]],N$1)*24=0,"",SUMIFS(TableTime[[Duration]:[Duration]],TableTime[[Week]:[Week]],$I27,TableTime[[Activity]:[Activity]],N$1)*24)</f>
        <v/>
      </c>
      <c r="O27" s="82" t="str">
        <f>IF(SUMIFS(TableTime[[Duration]:[Duration]],TableTime[[Week]:[Week]],$I27,TableTime[[Activity]:[Activity]],O$1)*24=0,"",SUMIFS(TableTime[[Duration]:[Duration]],TableTime[[Week]:[Week]],$I27,TableTime[[Activity]:[Activity]],O$1)*24)</f>
        <v/>
      </c>
      <c r="P27" s="82" t="str">
        <f>IF(SUMIFS(TableTime[[Duration]:[Duration]],TableTime[[Week]:[Week]],$I27,TableTime[[Activity]:[Activity]],P$1)*24=0,"",SUMIFS(TableTime[[Duration]:[Duration]],TableTime[[Week]:[Week]],$I27,TableTime[[Activity]:[Activity]],P$1)*24)</f>
        <v/>
      </c>
      <c r="Q27" s="83" t="str">
        <f>IF(SUMIFS(TableTime[[Duration]:[Duration]],TableTime[[Week]:[Week]],$I27,TableTime[[Activity]:[Activity]],Q$1)*24=0,"",SUMIFS(TableTime[[Duration]:[Duration]],TableTime[[Week]:[Week]],$I27,TableTime[[Activity]:[Activity]],Q$1)*24)</f>
        <v/>
      </c>
      <c r="R27" s="134" t="str">
        <f>IF(SUMIFS(TableTime[[Duration]:[Duration]],TableTime[[Week]:[Week]],$I27,TableTime[[Activity]:[Activity]],R$1)*24=0,"",SUMIFS(TableTime[[Duration]:[Duration]],TableTime[[Week]:[Week]],$I27,TableTime[[Activity]:[Activity]],R$1)*24)</f>
        <v/>
      </c>
      <c r="S27" s="83" t="str">
        <f>IF(SUMIFS(TableTime[[Duration]:[Duration]],TableTime[[Week]:[Week]],$I27,TableTime[[Activity]:[Activity]],S$1)*24=0,"",SUMIFS(TableTime[[Duration]:[Duration]],TableTime[[Week]:[Week]],$I27,TableTime[[Activity]:[Activity]],S$1)*24)</f>
        <v/>
      </c>
      <c r="U27" s="191"/>
      <c r="V27" s="8">
        <f t="shared" si="3"/>
        <v>45096</v>
      </c>
      <c r="W27" s="8">
        <f t="shared" ref="W27:AB27" si="28">V27+1</f>
        <v>45097</v>
      </c>
      <c r="X27" s="8">
        <f t="shared" si="28"/>
        <v>45098</v>
      </c>
      <c r="Y27" s="8">
        <f t="shared" si="28"/>
        <v>45099</v>
      </c>
      <c r="Z27" s="8">
        <f t="shared" si="28"/>
        <v>45100</v>
      </c>
      <c r="AA27" s="8">
        <f t="shared" si="28"/>
        <v>45101</v>
      </c>
      <c r="AB27" s="8">
        <f t="shared" si="28"/>
        <v>45102</v>
      </c>
      <c r="AC27">
        <f t="shared" si="5"/>
        <v>25</v>
      </c>
    </row>
    <row r="28" spans="1:29" x14ac:dyDescent="0.35">
      <c r="A28" s="194" t="s">
        <v>41</v>
      </c>
      <c r="B28" s="18">
        <f>IF(V28="","",IF(VLOOKUP(V28,'Day summary'!$B$2:$E$367,4,FALSE)="",V28,CONCATENATE(DAY(V28)," (",VLOOKUP(V28,'Day summary'!$B$2:$E$367,4,FALSE),")")))</f>
        <v>45103</v>
      </c>
      <c r="C28" s="18">
        <f>IF(W28="","",IF(VLOOKUP(W28,'Day summary'!$B$2:$E$367,4,FALSE)="",W28,CONCATENATE(DAY(W28)," (",VLOOKUP(W28,'Day summary'!$B$2:$E$367,4,FALSE),")")))</f>
        <v>45104</v>
      </c>
      <c r="D28" s="18">
        <f>IF(X28="","",IF(VLOOKUP(X28,'Day summary'!$B$2:$E$367,4,FALSE)="",X28,CONCATENATE(DAY(X28)," (",VLOOKUP(X28,'Day summary'!$B$2:$E$367,4,FALSE),")")))</f>
        <v>45105</v>
      </c>
      <c r="E28" s="18">
        <f>IF(Y28="","",IF(VLOOKUP(Y28,'Day summary'!$B$2:$E$367,4,FALSE)="",Y28,CONCATENATE(DAY(Y28)," (",VLOOKUP(Y28,'Day summary'!$B$2:$E$367,4,FALSE),")")))</f>
        <v>45106</v>
      </c>
      <c r="F28" s="26">
        <f>IF(Z28="","",IF(VLOOKUP(Z28,'Day summary'!$B$2:$E$367,4,FALSE)="",Z28,CONCATENATE(DAY(Z28)," (",VLOOKUP(Z28,'Day summary'!$B$2:$E$367,4,FALSE),")")))</f>
        <v>45107</v>
      </c>
      <c r="G28" s="30">
        <f>IF(AA28="","",IF(VLOOKUP(AA28,'Day summary'!$B$2:$E$367,4,FALSE)="",AA28,CONCATENATE(DAY(AA28)," (",VLOOKUP(AA28,'Day summary'!$B$2:$E$367,4,FALSE),")")))</f>
        <v>45108</v>
      </c>
      <c r="H28" s="31">
        <f>IF(AB28="","",IF(VLOOKUP(AB28,'Day summary'!$B$2:$E$367,4,FALSE)="",AB28,CONCATENATE(DAY(AB28)," (",VLOOKUP(AB28,'Day summary'!$B$2:$E$367,4,FALSE),")")))</f>
        <v>45109</v>
      </c>
      <c r="I28" s="43">
        <f t="shared" si="0"/>
        <v>26</v>
      </c>
      <c r="J28" s="79" t="str">
        <f t="shared" si="1"/>
        <v/>
      </c>
      <c r="K28" s="79" t="str">
        <f ca="1">IF(J28="","",SUMIFS('Day summary'!$I$2:$I$367,'Day summary'!$D$2:$D$367,I28,'Day summary'!$B$2:$B$367,"&lt;"&amp;TODAY())*24-SUMIFS('Day summary'!$G$2:$G$367,'Day summary'!$D$2:$D$367,I28,'Day summary'!$B$2:$B$367,"&lt;"&amp;TODAY())*24)</f>
        <v/>
      </c>
      <c r="L28" s="80" t="str">
        <f>IF(SUMIFS(TableTime[[Duration]:[Duration]],TableTime[[Week]:[Week]],$I28,TableTime[[Activity]:[Activity]],L$1)*24=0,"",SUMIFS(TableTime[[Duration]:[Duration]],TableTime[[Week]:[Week]],$I28,TableTime[[Activity]:[Activity]],L$1)*24)</f>
        <v/>
      </c>
      <c r="M28" s="81" t="str">
        <f>IF(SUMIFS(TableTime[[Duration]:[Duration]],TableTime[[Week]:[Week]],$I28,TableTime[[Activity]:[Activity]],M$1)*24=0,"",SUMIFS(TableTime[[Duration]:[Duration]],TableTime[[Week]:[Week]],$I28,TableTime[[Activity]:[Activity]],M$1)*24)</f>
        <v/>
      </c>
      <c r="N28" s="81" t="str">
        <f>IF(SUMIFS(TableTime[[Duration]:[Duration]],TableTime[[Week]:[Week]],$I28,TableTime[[Activity]:[Activity]],N$1)*24=0,"",SUMIFS(TableTime[[Duration]:[Duration]],TableTime[[Week]:[Week]],$I28,TableTime[[Activity]:[Activity]],N$1)*24)</f>
        <v/>
      </c>
      <c r="O28" s="82" t="str">
        <f>IF(SUMIFS(TableTime[[Duration]:[Duration]],TableTime[[Week]:[Week]],$I28,TableTime[[Activity]:[Activity]],O$1)*24=0,"",SUMIFS(TableTime[[Duration]:[Duration]],TableTime[[Week]:[Week]],$I28,TableTime[[Activity]:[Activity]],O$1)*24)</f>
        <v/>
      </c>
      <c r="P28" s="82" t="str">
        <f>IF(SUMIFS(TableTime[[Duration]:[Duration]],TableTime[[Week]:[Week]],$I28,TableTime[[Activity]:[Activity]],P$1)*24=0,"",SUMIFS(TableTime[[Duration]:[Duration]],TableTime[[Week]:[Week]],$I28,TableTime[[Activity]:[Activity]],P$1)*24)</f>
        <v/>
      </c>
      <c r="Q28" s="83" t="str">
        <f>IF(SUMIFS(TableTime[[Duration]:[Duration]],TableTime[[Week]:[Week]],$I28,TableTime[[Activity]:[Activity]],Q$1)*24=0,"",SUMIFS(TableTime[[Duration]:[Duration]],TableTime[[Week]:[Week]],$I28,TableTime[[Activity]:[Activity]],Q$1)*24)</f>
        <v/>
      </c>
      <c r="R28" s="134" t="str">
        <f>IF(SUMIFS(TableTime[[Duration]:[Duration]],TableTime[[Week]:[Week]],$I28,TableTime[[Activity]:[Activity]],R$1)*24=0,"",SUMIFS(TableTime[[Duration]:[Duration]],TableTime[[Week]:[Week]],$I28,TableTime[[Activity]:[Activity]],R$1)*24)</f>
        <v/>
      </c>
      <c r="S28" s="83" t="str">
        <f>IF(SUMIFS(TableTime[[Duration]:[Duration]],TableTime[[Week]:[Week]],$I28,TableTime[[Activity]:[Activity]],S$1)*24=0,"",SUMIFS(TableTime[[Duration]:[Duration]],TableTime[[Week]:[Week]],$I28,TableTime[[Activity]:[Activity]],S$1)*24)</f>
        <v/>
      </c>
      <c r="U28" s="191" t="s">
        <v>42</v>
      </c>
      <c r="V28" s="8">
        <f t="shared" si="3"/>
        <v>45103</v>
      </c>
      <c r="W28" s="8">
        <f t="shared" ref="W28:AB28" si="29">V28+1</f>
        <v>45104</v>
      </c>
      <c r="X28" s="8">
        <f t="shared" si="29"/>
        <v>45105</v>
      </c>
      <c r="Y28" s="8">
        <f t="shared" si="29"/>
        <v>45106</v>
      </c>
      <c r="Z28" s="8">
        <f t="shared" si="29"/>
        <v>45107</v>
      </c>
      <c r="AA28" s="8">
        <f t="shared" si="29"/>
        <v>45108</v>
      </c>
      <c r="AB28" s="8">
        <f t="shared" si="29"/>
        <v>45109</v>
      </c>
      <c r="AC28">
        <f t="shared" si="5"/>
        <v>26</v>
      </c>
    </row>
    <row r="29" spans="1:29" x14ac:dyDescent="0.35">
      <c r="A29" s="194"/>
      <c r="B29" s="18">
        <f>IF(V29="","",IF(VLOOKUP(V29,'Day summary'!$B$2:$E$367,4,FALSE)="",V29,CONCATENATE(DAY(V29)," (",VLOOKUP(V29,'Day summary'!$B$2:$E$367,4,FALSE),")")))</f>
        <v>45110</v>
      </c>
      <c r="C29" s="18">
        <f>IF(W29="","",IF(VLOOKUP(W29,'Day summary'!$B$2:$E$367,4,FALSE)="",W29,CONCATENATE(DAY(W29)," (",VLOOKUP(W29,'Day summary'!$B$2:$E$367,4,FALSE),")")))</f>
        <v>45111</v>
      </c>
      <c r="D29" s="18">
        <f>IF(X29="","",IF(VLOOKUP(X29,'Day summary'!$B$2:$E$367,4,FALSE)="",X29,CONCATENATE(DAY(X29)," (",VLOOKUP(X29,'Day summary'!$B$2:$E$367,4,FALSE),")")))</f>
        <v>45112</v>
      </c>
      <c r="E29" s="18">
        <f>IF(Y29="","",IF(VLOOKUP(Y29,'Day summary'!$B$2:$E$367,4,FALSE)="",Y29,CONCATENATE(DAY(Y29)," (",VLOOKUP(Y29,'Day summary'!$B$2:$E$367,4,FALSE),")")))</f>
        <v>45113</v>
      </c>
      <c r="F29" s="26">
        <f>IF(Z29="","",IF(VLOOKUP(Z29,'Day summary'!$B$2:$E$367,4,FALSE)="",Z29,CONCATENATE(DAY(Z29)," (",VLOOKUP(Z29,'Day summary'!$B$2:$E$367,4,FALSE),")")))</f>
        <v>45114</v>
      </c>
      <c r="G29" s="30">
        <f>IF(AA29="","",IF(VLOOKUP(AA29,'Day summary'!$B$2:$E$367,4,FALSE)="",AA29,CONCATENATE(DAY(AA29)," (",VLOOKUP(AA29,'Day summary'!$B$2:$E$367,4,FALSE),")")))</f>
        <v>45115</v>
      </c>
      <c r="H29" s="31">
        <f>IF(AB29="","",IF(VLOOKUP(AB29,'Day summary'!$B$2:$E$367,4,FALSE)="",AB29,CONCATENATE(DAY(AB29)," (",VLOOKUP(AB29,'Day summary'!$B$2:$E$367,4,FALSE),")")))</f>
        <v>45116</v>
      </c>
      <c r="I29" s="43">
        <f t="shared" si="0"/>
        <v>27</v>
      </c>
      <c r="J29" s="79" t="str">
        <f t="shared" si="1"/>
        <v/>
      </c>
      <c r="K29" s="79" t="str">
        <f ca="1">IF(J29="","",SUMIFS('Day summary'!$I$2:$I$367,'Day summary'!$D$2:$D$367,I29,'Day summary'!$B$2:$B$367,"&lt;"&amp;TODAY())*24-SUMIFS('Day summary'!$G$2:$G$367,'Day summary'!$D$2:$D$367,I29,'Day summary'!$B$2:$B$367,"&lt;"&amp;TODAY())*24)</f>
        <v/>
      </c>
      <c r="L29" s="80" t="str">
        <f>IF(SUMIFS(TableTime[[Duration]:[Duration]],TableTime[[Week]:[Week]],$I29,TableTime[[Activity]:[Activity]],L$1)*24=0,"",SUMIFS(TableTime[[Duration]:[Duration]],TableTime[[Week]:[Week]],$I29,TableTime[[Activity]:[Activity]],L$1)*24)</f>
        <v/>
      </c>
      <c r="M29" s="81" t="str">
        <f>IF(SUMIFS(TableTime[[Duration]:[Duration]],TableTime[[Week]:[Week]],$I29,TableTime[[Activity]:[Activity]],M$1)*24=0,"",SUMIFS(TableTime[[Duration]:[Duration]],TableTime[[Week]:[Week]],$I29,TableTime[[Activity]:[Activity]],M$1)*24)</f>
        <v/>
      </c>
      <c r="N29" s="81" t="str">
        <f>IF(SUMIFS(TableTime[[Duration]:[Duration]],TableTime[[Week]:[Week]],$I29,TableTime[[Activity]:[Activity]],N$1)*24=0,"",SUMIFS(TableTime[[Duration]:[Duration]],TableTime[[Week]:[Week]],$I29,TableTime[[Activity]:[Activity]],N$1)*24)</f>
        <v/>
      </c>
      <c r="O29" s="82" t="str">
        <f>IF(SUMIFS(TableTime[[Duration]:[Duration]],TableTime[[Week]:[Week]],$I29,TableTime[[Activity]:[Activity]],O$1)*24=0,"",SUMIFS(TableTime[[Duration]:[Duration]],TableTime[[Week]:[Week]],$I29,TableTime[[Activity]:[Activity]],O$1)*24)</f>
        <v/>
      </c>
      <c r="P29" s="82" t="str">
        <f>IF(SUMIFS(TableTime[[Duration]:[Duration]],TableTime[[Week]:[Week]],$I29,TableTime[[Activity]:[Activity]],P$1)*24=0,"",SUMIFS(TableTime[[Duration]:[Duration]],TableTime[[Week]:[Week]],$I29,TableTime[[Activity]:[Activity]],P$1)*24)</f>
        <v/>
      </c>
      <c r="Q29" s="83" t="str">
        <f>IF(SUMIFS(TableTime[[Duration]:[Duration]],TableTime[[Week]:[Week]],$I29,TableTime[[Activity]:[Activity]],Q$1)*24=0,"",SUMIFS(TableTime[[Duration]:[Duration]],TableTime[[Week]:[Week]],$I29,TableTime[[Activity]:[Activity]],Q$1)*24)</f>
        <v/>
      </c>
      <c r="R29" s="134" t="str">
        <f>IF(SUMIFS(TableTime[[Duration]:[Duration]],TableTime[[Week]:[Week]],$I29,TableTime[[Activity]:[Activity]],R$1)*24=0,"",SUMIFS(TableTime[[Duration]:[Duration]],TableTime[[Week]:[Week]],$I29,TableTime[[Activity]:[Activity]],R$1)*24)</f>
        <v/>
      </c>
      <c r="S29" s="83" t="str">
        <f>IF(SUMIFS(TableTime[[Duration]:[Duration]],TableTime[[Week]:[Week]],$I29,TableTime[[Activity]:[Activity]],S$1)*24=0,"",SUMIFS(TableTime[[Duration]:[Duration]],TableTime[[Week]:[Week]],$I29,TableTime[[Activity]:[Activity]],S$1)*24)</f>
        <v/>
      </c>
      <c r="U29" s="191"/>
      <c r="V29" s="8">
        <f t="shared" si="3"/>
        <v>45110</v>
      </c>
      <c r="W29" s="8">
        <f t="shared" ref="W29:AB29" si="30">V29+1</f>
        <v>45111</v>
      </c>
      <c r="X29" s="8">
        <f t="shared" si="30"/>
        <v>45112</v>
      </c>
      <c r="Y29" s="8">
        <f t="shared" si="30"/>
        <v>45113</v>
      </c>
      <c r="Z29" s="8">
        <f t="shared" si="30"/>
        <v>45114</v>
      </c>
      <c r="AA29" s="8">
        <f t="shared" si="30"/>
        <v>45115</v>
      </c>
      <c r="AB29" s="8">
        <f t="shared" si="30"/>
        <v>45116</v>
      </c>
      <c r="AC29">
        <f t="shared" si="5"/>
        <v>27</v>
      </c>
    </row>
    <row r="30" spans="1:29" x14ac:dyDescent="0.35">
      <c r="A30" s="194"/>
      <c r="B30" s="18">
        <f>IF(V30="","",IF(VLOOKUP(V30,'Day summary'!$B$2:$E$367,4,FALSE)="",V30,CONCATENATE(DAY(V30)," (",VLOOKUP(V30,'Day summary'!$B$2:$E$367,4,FALSE),")")))</f>
        <v>45117</v>
      </c>
      <c r="C30" s="18">
        <f>IF(W30="","",IF(VLOOKUP(W30,'Day summary'!$B$2:$E$367,4,FALSE)="",W30,CONCATENATE(DAY(W30)," (",VLOOKUP(W30,'Day summary'!$B$2:$E$367,4,FALSE),")")))</f>
        <v>45118</v>
      </c>
      <c r="D30" s="18">
        <f>IF(X30="","",IF(VLOOKUP(X30,'Day summary'!$B$2:$E$367,4,FALSE)="",X30,CONCATENATE(DAY(X30)," (",VLOOKUP(X30,'Day summary'!$B$2:$E$367,4,FALSE),")")))</f>
        <v>45119</v>
      </c>
      <c r="E30" s="18">
        <f>IF(Y30="","",IF(VLOOKUP(Y30,'Day summary'!$B$2:$E$367,4,FALSE)="",Y30,CONCATENATE(DAY(Y30)," (",VLOOKUP(Y30,'Day summary'!$B$2:$E$367,4,FALSE),")")))</f>
        <v>45120</v>
      </c>
      <c r="F30" s="26">
        <f>IF(Z30="","",IF(VLOOKUP(Z30,'Day summary'!$B$2:$E$367,4,FALSE)="",Z30,CONCATENATE(DAY(Z30)," (",VLOOKUP(Z30,'Day summary'!$B$2:$E$367,4,FALSE),")")))</f>
        <v>45121</v>
      </c>
      <c r="G30" s="30">
        <f>IF(AA30="","",IF(VLOOKUP(AA30,'Day summary'!$B$2:$E$367,4,FALSE)="",AA30,CONCATENATE(DAY(AA30)," (",VLOOKUP(AA30,'Day summary'!$B$2:$E$367,4,FALSE),")")))</f>
        <v>45122</v>
      </c>
      <c r="H30" s="31">
        <f>IF(AB30="","",IF(VLOOKUP(AB30,'Day summary'!$B$2:$E$367,4,FALSE)="",AB30,CONCATENATE(DAY(AB30)," (",VLOOKUP(AB30,'Day summary'!$B$2:$E$367,4,FALSE),")")))</f>
        <v>45123</v>
      </c>
      <c r="I30" s="43">
        <f t="shared" si="0"/>
        <v>28</v>
      </c>
      <c r="J30" s="79" t="str">
        <f t="shared" si="1"/>
        <v/>
      </c>
      <c r="K30" s="79" t="str">
        <f ca="1">IF(J30="","",SUMIFS('Day summary'!$I$2:$I$367,'Day summary'!$D$2:$D$367,I30,'Day summary'!$B$2:$B$367,"&lt;"&amp;TODAY())*24-SUMIFS('Day summary'!$G$2:$G$367,'Day summary'!$D$2:$D$367,I30,'Day summary'!$B$2:$B$367,"&lt;"&amp;TODAY())*24)</f>
        <v/>
      </c>
      <c r="L30" s="80" t="str">
        <f>IF(SUMIFS(TableTime[[Duration]:[Duration]],TableTime[[Week]:[Week]],$I30,TableTime[[Activity]:[Activity]],L$1)*24=0,"",SUMIFS(TableTime[[Duration]:[Duration]],TableTime[[Week]:[Week]],$I30,TableTime[[Activity]:[Activity]],L$1)*24)</f>
        <v/>
      </c>
      <c r="M30" s="81" t="str">
        <f>IF(SUMIFS(TableTime[[Duration]:[Duration]],TableTime[[Week]:[Week]],$I30,TableTime[[Activity]:[Activity]],M$1)*24=0,"",SUMIFS(TableTime[[Duration]:[Duration]],TableTime[[Week]:[Week]],$I30,TableTime[[Activity]:[Activity]],M$1)*24)</f>
        <v/>
      </c>
      <c r="N30" s="81" t="str">
        <f>IF(SUMIFS(TableTime[[Duration]:[Duration]],TableTime[[Week]:[Week]],$I30,TableTime[[Activity]:[Activity]],N$1)*24=0,"",SUMIFS(TableTime[[Duration]:[Duration]],TableTime[[Week]:[Week]],$I30,TableTime[[Activity]:[Activity]],N$1)*24)</f>
        <v/>
      </c>
      <c r="O30" s="82" t="str">
        <f>IF(SUMIFS(TableTime[[Duration]:[Duration]],TableTime[[Week]:[Week]],$I30,TableTime[[Activity]:[Activity]],O$1)*24=0,"",SUMIFS(TableTime[[Duration]:[Duration]],TableTime[[Week]:[Week]],$I30,TableTime[[Activity]:[Activity]],O$1)*24)</f>
        <v/>
      </c>
      <c r="P30" s="82" t="str">
        <f>IF(SUMIFS(TableTime[[Duration]:[Duration]],TableTime[[Week]:[Week]],$I30,TableTime[[Activity]:[Activity]],P$1)*24=0,"",SUMIFS(TableTime[[Duration]:[Duration]],TableTime[[Week]:[Week]],$I30,TableTime[[Activity]:[Activity]],P$1)*24)</f>
        <v/>
      </c>
      <c r="Q30" s="83" t="str">
        <f>IF(SUMIFS(TableTime[[Duration]:[Duration]],TableTime[[Week]:[Week]],$I30,TableTime[[Activity]:[Activity]],Q$1)*24=0,"",SUMIFS(TableTime[[Duration]:[Duration]],TableTime[[Week]:[Week]],$I30,TableTime[[Activity]:[Activity]],Q$1)*24)</f>
        <v/>
      </c>
      <c r="R30" s="134" t="str">
        <f>IF(SUMIFS(TableTime[[Duration]:[Duration]],TableTime[[Week]:[Week]],$I30,TableTime[[Activity]:[Activity]],R$1)*24=0,"",SUMIFS(TableTime[[Duration]:[Duration]],TableTime[[Week]:[Week]],$I30,TableTime[[Activity]:[Activity]],R$1)*24)</f>
        <v/>
      </c>
      <c r="S30" s="83" t="str">
        <f>IF(SUMIFS(TableTime[[Duration]:[Duration]],TableTime[[Week]:[Week]],$I30,TableTime[[Activity]:[Activity]],S$1)*24=0,"",SUMIFS(TableTime[[Duration]:[Duration]],TableTime[[Week]:[Week]],$I30,TableTime[[Activity]:[Activity]],S$1)*24)</f>
        <v/>
      </c>
      <c r="U30" s="191"/>
      <c r="V30" s="8">
        <f t="shared" si="3"/>
        <v>45117</v>
      </c>
      <c r="W30" s="8">
        <f t="shared" ref="W30:AB30" si="31">V30+1</f>
        <v>45118</v>
      </c>
      <c r="X30" s="8">
        <f t="shared" si="31"/>
        <v>45119</v>
      </c>
      <c r="Y30" s="8">
        <f t="shared" si="31"/>
        <v>45120</v>
      </c>
      <c r="Z30" s="8">
        <f t="shared" si="31"/>
        <v>45121</v>
      </c>
      <c r="AA30" s="8">
        <f t="shared" si="31"/>
        <v>45122</v>
      </c>
      <c r="AB30" s="8">
        <f t="shared" si="31"/>
        <v>45123</v>
      </c>
      <c r="AC30">
        <f t="shared" si="5"/>
        <v>28</v>
      </c>
    </row>
    <row r="31" spans="1:29" x14ac:dyDescent="0.35">
      <c r="A31" s="194"/>
      <c r="B31" s="18">
        <f>IF(V31="","",IF(VLOOKUP(V31,'Day summary'!$B$2:$E$367,4,FALSE)="",V31,CONCATENATE(DAY(V31)," (",VLOOKUP(V31,'Day summary'!$B$2:$E$367,4,FALSE),")")))</f>
        <v>45124</v>
      </c>
      <c r="C31" s="18">
        <f>IF(W31="","",IF(VLOOKUP(W31,'Day summary'!$B$2:$E$367,4,FALSE)="",W31,CONCATENATE(DAY(W31)," (",VLOOKUP(W31,'Day summary'!$B$2:$E$367,4,FALSE),")")))</f>
        <v>45125</v>
      </c>
      <c r="D31" s="18">
        <f>IF(X31="","",IF(VLOOKUP(X31,'Day summary'!$B$2:$E$367,4,FALSE)="",X31,CONCATENATE(DAY(X31)," (",VLOOKUP(X31,'Day summary'!$B$2:$E$367,4,FALSE),")")))</f>
        <v>45126</v>
      </c>
      <c r="E31" s="18">
        <f>IF(Y31="","",IF(VLOOKUP(Y31,'Day summary'!$B$2:$E$367,4,FALSE)="",Y31,CONCATENATE(DAY(Y31)," (",VLOOKUP(Y31,'Day summary'!$B$2:$E$367,4,FALSE),")")))</f>
        <v>45127</v>
      </c>
      <c r="F31" s="26">
        <f>IF(Z31="","",IF(VLOOKUP(Z31,'Day summary'!$B$2:$E$367,4,FALSE)="",Z31,CONCATENATE(DAY(Z31)," (",VLOOKUP(Z31,'Day summary'!$B$2:$E$367,4,FALSE),")")))</f>
        <v>45128</v>
      </c>
      <c r="G31" s="30">
        <f>IF(AA31="","",IF(VLOOKUP(AA31,'Day summary'!$B$2:$E$367,4,FALSE)="",AA31,CONCATENATE(DAY(AA31)," (",VLOOKUP(AA31,'Day summary'!$B$2:$E$367,4,FALSE),")")))</f>
        <v>45129</v>
      </c>
      <c r="H31" s="31">
        <f>IF(AB31="","",IF(VLOOKUP(AB31,'Day summary'!$B$2:$E$367,4,FALSE)="",AB31,CONCATENATE(DAY(AB31)," (",VLOOKUP(AB31,'Day summary'!$B$2:$E$367,4,FALSE),")")))</f>
        <v>45130</v>
      </c>
      <c r="I31" s="43">
        <f t="shared" si="0"/>
        <v>29</v>
      </c>
      <c r="J31" s="79" t="str">
        <f t="shared" si="1"/>
        <v/>
      </c>
      <c r="K31" s="79" t="str">
        <f ca="1">IF(J31="","",SUMIFS('Day summary'!$I$2:$I$367,'Day summary'!$D$2:$D$367,I31,'Day summary'!$B$2:$B$367,"&lt;"&amp;TODAY())*24-SUMIFS('Day summary'!$G$2:$G$367,'Day summary'!$D$2:$D$367,I31,'Day summary'!$B$2:$B$367,"&lt;"&amp;TODAY())*24)</f>
        <v/>
      </c>
      <c r="L31" s="80" t="str">
        <f>IF(SUMIFS(TableTime[[Duration]:[Duration]],TableTime[[Week]:[Week]],$I31,TableTime[[Activity]:[Activity]],L$1)*24=0,"",SUMIFS(TableTime[[Duration]:[Duration]],TableTime[[Week]:[Week]],$I31,TableTime[[Activity]:[Activity]],L$1)*24)</f>
        <v/>
      </c>
      <c r="M31" s="81" t="str">
        <f>IF(SUMIFS(TableTime[[Duration]:[Duration]],TableTime[[Week]:[Week]],$I31,TableTime[[Activity]:[Activity]],M$1)*24=0,"",SUMIFS(TableTime[[Duration]:[Duration]],TableTime[[Week]:[Week]],$I31,TableTime[[Activity]:[Activity]],M$1)*24)</f>
        <v/>
      </c>
      <c r="N31" s="81" t="str">
        <f>IF(SUMIFS(TableTime[[Duration]:[Duration]],TableTime[[Week]:[Week]],$I31,TableTime[[Activity]:[Activity]],N$1)*24=0,"",SUMIFS(TableTime[[Duration]:[Duration]],TableTime[[Week]:[Week]],$I31,TableTime[[Activity]:[Activity]],N$1)*24)</f>
        <v/>
      </c>
      <c r="O31" s="82" t="str">
        <f>IF(SUMIFS(TableTime[[Duration]:[Duration]],TableTime[[Week]:[Week]],$I31,TableTime[[Activity]:[Activity]],O$1)*24=0,"",SUMIFS(TableTime[[Duration]:[Duration]],TableTime[[Week]:[Week]],$I31,TableTime[[Activity]:[Activity]],O$1)*24)</f>
        <v/>
      </c>
      <c r="P31" s="82" t="str">
        <f>IF(SUMIFS(TableTime[[Duration]:[Duration]],TableTime[[Week]:[Week]],$I31,TableTime[[Activity]:[Activity]],P$1)*24=0,"",SUMIFS(TableTime[[Duration]:[Duration]],TableTime[[Week]:[Week]],$I31,TableTime[[Activity]:[Activity]],P$1)*24)</f>
        <v/>
      </c>
      <c r="Q31" s="83" t="str">
        <f>IF(SUMIFS(TableTime[[Duration]:[Duration]],TableTime[[Week]:[Week]],$I31,TableTime[[Activity]:[Activity]],Q$1)*24=0,"",SUMIFS(TableTime[[Duration]:[Duration]],TableTime[[Week]:[Week]],$I31,TableTime[[Activity]:[Activity]],Q$1)*24)</f>
        <v/>
      </c>
      <c r="R31" s="134" t="str">
        <f>IF(SUMIFS(TableTime[[Duration]:[Duration]],TableTime[[Week]:[Week]],$I31,TableTime[[Activity]:[Activity]],R$1)*24=0,"",SUMIFS(TableTime[[Duration]:[Duration]],TableTime[[Week]:[Week]],$I31,TableTime[[Activity]:[Activity]],R$1)*24)</f>
        <v/>
      </c>
      <c r="S31" s="83" t="str">
        <f>IF(SUMIFS(TableTime[[Duration]:[Duration]],TableTime[[Week]:[Week]],$I31,TableTime[[Activity]:[Activity]],S$1)*24=0,"",SUMIFS(TableTime[[Duration]:[Duration]],TableTime[[Week]:[Week]],$I31,TableTime[[Activity]:[Activity]],S$1)*24)</f>
        <v/>
      </c>
      <c r="U31" s="191"/>
      <c r="V31" s="8">
        <f t="shared" si="3"/>
        <v>45124</v>
      </c>
      <c r="W31" s="8">
        <f t="shared" ref="W31:AB31" si="32">V31+1</f>
        <v>45125</v>
      </c>
      <c r="X31" s="8">
        <f t="shared" si="32"/>
        <v>45126</v>
      </c>
      <c r="Y31" s="8">
        <f t="shared" si="32"/>
        <v>45127</v>
      </c>
      <c r="Z31" s="8">
        <f t="shared" si="32"/>
        <v>45128</v>
      </c>
      <c r="AA31" s="8">
        <f t="shared" si="32"/>
        <v>45129</v>
      </c>
      <c r="AB31" s="8">
        <f t="shared" si="32"/>
        <v>45130</v>
      </c>
      <c r="AC31">
        <f t="shared" si="5"/>
        <v>29</v>
      </c>
    </row>
    <row r="32" spans="1:29" x14ac:dyDescent="0.35">
      <c r="A32" s="195" t="s">
        <v>43</v>
      </c>
      <c r="B32" s="18">
        <f>IF(V32="","",IF(VLOOKUP(V32,'Day summary'!$B$2:$E$367,4,FALSE)="",V32,CONCATENATE(DAY(V32)," (",VLOOKUP(V32,'Day summary'!$B$2:$E$367,4,FALSE),")")))</f>
        <v>45131</v>
      </c>
      <c r="C32" s="18">
        <f>IF(W32="","",IF(VLOOKUP(W32,'Day summary'!$B$2:$E$367,4,FALSE)="",W32,CONCATENATE(DAY(W32)," (",VLOOKUP(W32,'Day summary'!$B$2:$E$367,4,FALSE),")")))</f>
        <v>45132</v>
      </c>
      <c r="D32" s="18">
        <f>IF(X32="","",IF(VLOOKUP(X32,'Day summary'!$B$2:$E$367,4,FALSE)="",X32,CONCATENATE(DAY(X32)," (",VLOOKUP(X32,'Day summary'!$B$2:$E$367,4,FALSE),")")))</f>
        <v>45133</v>
      </c>
      <c r="E32" s="18">
        <f>IF(Y32="","",IF(VLOOKUP(Y32,'Day summary'!$B$2:$E$367,4,FALSE)="",Y32,CONCATENATE(DAY(Y32)," (",VLOOKUP(Y32,'Day summary'!$B$2:$E$367,4,FALSE),")")))</f>
        <v>45134</v>
      </c>
      <c r="F32" s="26">
        <f>IF(Z32="","",IF(VLOOKUP(Z32,'Day summary'!$B$2:$E$367,4,FALSE)="",Z32,CONCATENATE(DAY(Z32)," (",VLOOKUP(Z32,'Day summary'!$B$2:$E$367,4,FALSE),")")))</f>
        <v>45135</v>
      </c>
      <c r="G32" s="30">
        <f>IF(AA32="","",IF(VLOOKUP(AA32,'Day summary'!$B$2:$E$367,4,FALSE)="",AA32,CONCATENATE(DAY(AA32)," (",VLOOKUP(AA32,'Day summary'!$B$2:$E$367,4,FALSE),")")))</f>
        <v>45136</v>
      </c>
      <c r="H32" s="31">
        <f>IF(AB32="","",IF(VLOOKUP(AB32,'Day summary'!$B$2:$E$367,4,FALSE)="",AB32,CONCATENATE(DAY(AB32)," (",VLOOKUP(AB32,'Day summary'!$B$2:$E$367,4,FALSE),")")))</f>
        <v>45137</v>
      </c>
      <c r="I32" s="43">
        <f t="shared" si="0"/>
        <v>30</v>
      </c>
      <c r="J32" s="79" t="str">
        <f t="shared" si="1"/>
        <v/>
      </c>
      <c r="K32" s="79" t="str">
        <f ca="1">IF(J32="","",SUMIFS('Day summary'!$I$2:$I$367,'Day summary'!$D$2:$D$367,I32,'Day summary'!$B$2:$B$367,"&lt;"&amp;TODAY())*24-SUMIFS('Day summary'!$G$2:$G$367,'Day summary'!$D$2:$D$367,I32,'Day summary'!$B$2:$B$367,"&lt;"&amp;TODAY())*24)</f>
        <v/>
      </c>
      <c r="L32" s="80" t="str">
        <f>IF(SUMIFS(TableTime[[Duration]:[Duration]],TableTime[[Week]:[Week]],$I32,TableTime[[Activity]:[Activity]],L$1)*24=0,"",SUMIFS(TableTime[[Duration]:[Duration]],TableTime[[Week]:[Week]],$I32,TableTime[[Activity]:[Activity]],L$1)*24)</f>
        <v/>
      </c>
      <c r="M32" s="81" t="str">
        <f>IF(SUMIFS(TableTime[[Duration]:[Duration]],TableTime[[Week]:[Week]],$I32,TableTime[[Activity]:[Activity]],M$1)*24=0,"",SUMIFS(TableTime[[Duration]:[Duration]],TableTime[[Week]:[Week]],$I32,TableTime[[Activity]:[Activity]],M$1)*24)</f>
        <v/>
      </c>
      <c r="N32" s="81" t="str">
        <f>IF(SUMIFS(TableTime[[Duration]:[Duration]],TableTime[[Week]:[Week]],$I32,TableTime[[Activity]:[Activity]],N$1)*24=0,"",SUMIFS(TableTime[[Duration]:[Duration]],TableTime[[Week]:[Week]],$I32,TableTime[[Activity]:[Activity]],N$1)*24)</f>
        <v/>
      </c>
      <c r="O32" s="82" t="str">
        <f>IF(SUMIFS(TableTime[[Duration]:[Duration]],TableTime[[Week]:[Week]],$I32,TableTime[[Activity]:[Activity]],O$1)*24=0,"",SUMIFS(TableTime[[Duration]:[Duration]],TableTime[[Week]:[Week]],$I32,TableTime[[Activity]:[Activity]],O$1)*24)</f>
        <v/>
      </c>
      <c r="P32" s="82" t="str">
        <f>IF(SUMIFS(TableTime[[Duration]:[Duration]],TableTime[[Week]:[Week]],$I32,TableTime[[Activity]:[Activity]],P$1)*24=0,"",SUMIFS(TableTime[[Duration]:[Duration]],TableTime[[Week]:[Week]],$I32,TableTime[[Activity]:[Activity]],P$1)*24)</f>
        <v/>
      </c>
      <c r="Q32" s="83" t="str">
        <f>IF(SUMIFS(TableTime[[Duration]:[Duration]],TableTime[[Week]:[Week]],$I32,TableTime[[Activity]:[Activity]],Q$1)*24=0,"",SUMIFS(TableTime[[Duration]:[Duration]],TableTime[[Week]:[Week]],$I32,TableTime[[Activity]:[Activity]],Q$1)*24)</f>
        <v/>
      </c>
      <c r="R32" s="134" t="str">
        <f>IF(SUMIFS(TableTime[[Duration]:[Duration]],TableTime[[Week]:[Week]],$I32,TableTime[[Activity]:[Activity]],R$1)*24=0,"",SUMIFS(TableTime[[Duration]:[Duration]],TableTime[[Week]:[Week]],$I32,TableTime[[Activity]:[Activity]],R$1)*24)</f>
        <v/>
      </c>
      <c r="S32" s="83" t="str">
        <f>IF(SUMIFS(TableTime[[Duration]:[Duration]],TableTime[[Week]:[Week]],$I32,TableTime[[Activity]:[Activity]],S$1)*24=0,"",SUMIFS(TableTime[[Duration]:[Duration]],TableTime[[Week]:[Week]],$I32,TableTime[[Activity]:[Activity]],S$1)*24)</f>
        <v/>
      </c>
      <c r="U32" s="191" t="s">
        <v>44</v>
      </c>
      <c r="V32" s="8">
        <f t="shared" si="3"/>
        <v>45131</v>
      </c>
      <c r="W32" s="8">
        <f t="shared" ref="W32:AB32" si="33">V32+1</f>
        <v>45132</v>
      </c>
      <c r="X32" s="8">
        <f t="shared" si="33"/>
        <v>45133</v>
      </c>
      <c r="Y32" s="8">
        <f t="shared" si="33"/>
        <v>45134</v>
      </c>
      <c r="Z32" s="8">
        <f t="shared" si="33"/>
        <v>45135</v>
      </c>
      <c r="AA32" s="8">
        <f t="shared" si="33"/>
        <v>45136</v>
      </c>
      <c r="AB32" s="8">
        <f t="shared" si="33"/>
        <v>45137</v>
      </c>
      <c r="AC32">
        <f t="shared" si="5"/>
        <v>30</v>
      </c>
    </row>
    <row r="33" spans="1:29" x14ac:dyDescent="0.35">
      <c r="A33" s="195"/>
      <c r="B33" s="18">
        <f>IF(V33="","",IF(VLOOKUP(V33,'Day summary'!$B$2:$E$367,4,FALSE)="",V33,CONCATENATE(DAY(V33)," (",VLOOKUP(V33,'Day summary'!$B$2:$E$367,4,FALSE),")")))</f>
        <v>45138</v>
      </c>
      <c r="C33" s="18">
        <f>IF(W33="","",IF(VLOOKUP(W33,'Day summary'!$B$2:$E$367,4,FALSE)="",W33,CONCATENATE(DAY(W33)," (",VLOOKUP(W33,'Day summary'!$B$2:$E$367,4,FALSE),")")))</f>
        <v>45139</v>
      </c>
      <c r="D33" s="18">
        <f>IF(X33="","",IF(VLOOKUP(X33,'Day summary'!$B$2:$E$367,4,FALSE)="",X33,CONCATENATE(DAY(X33)," (",VLOOKUP(X33,'Day summary'!$B$2:$E$367,4,FALSE),")")))</f>
        <v>45140</v>
      </c>
      <c r="E33" s="18">
        <f>IF(Y33="","",IF(VLOOKUP(Y33,'Day summary'!$B$2:$E$367,4,FALSE)="",Y33,CONCATENATE(DAY(Y33)," (",VLOOKUP(Y33,'Day summary'!$B$2:$E$367,4,FALSE),")")))</f>
        <v>45141</v>
      </c>
      <c r="F33" s="26">
        <f>IF(Z33="","",IF(VLOOKUP(Z33,'Day summary'!$B$2:$E$367,4,FALSE)="",Z33,CONCATENATE(DAY(Z33)," (",VLOOKUP(Z33,'Day summary'!$B$2:$E$367,4,FALSE),")")))</f>
        <v>45142</v>
      </c>
      <c r="G33" s="30">
        <f>IF(AA33="","",IF(VLOOKUP(AA33,'Day summary'!$B$2:$E$367,4,FALSE)="",AA33,CONCATENATE(DAY(AA33)," (",VLOOKUP(AA33,'Day summary'!$B$2:$E$367,4,FALSE),")")))</f>
        <v>45143</v>
      </c>
      <c r="H33" s="31">
        <f>IF(AB33="","",IF(VLOOKUP(AB33,'Day summary'!$B$2:$E$367,4,FALSE)="",AB33,CONCATENATE(DAY(AB33)," (",VLOOKUP(AB33,'Day summary'!$B$2:$E$367,4,FALSE),")")))</f>
        <v>45144</v>
      </c>
      <c r="I33" s="43">
        <f t="shared" si="0"/>
        <v>31</v>
      </c>
      <c r="J33" s="79" t="str">
        <f t="shared" si="1"/>
        <v/>
      </c>
      <c r="K33" s="79" t="str">
        <f ca="1">IF(J33="","",SUMIFS('Day summary'!$I$2:$I$367,'Day summary'!$D$2:$D$367,I33,'Day summary'!$B$2:$B$367,"&lt;"&amp;TODAY())*24-SUMIFS('Day summary'!$G$2:$G$367,'Day summary'!$D$2:$D$367,I33,'Day summary'!$B$2:$B$367,"&lt;"&amp;TODAY())*24)</f>
        <v/>
      </c>
      <c r="L33" s="80" t="str">
        <f>IF(SUMIFS(TableTime[[Duration]:[Duration]],TableTime[[Week]:[Week]],$I33,TableTime[[Activity]:[Activity]],L$1)*24=0,"",SUMIFS(TableTime[[Duration]:[Duration]],TableTime[[Week]:[Week]],$I33,TableTime[[Activity]:[Activity]],L$1)*24)</f>
        <v/>
      </c>
      <c r="M33" s="81" t="str">
        <f>IF(SUMIFS(TableTime[[Duration]:[Duration]],TableTime[[Week]:[Week]],$I33,TableTime[[Activity]:[Activity]],M$1)*24=0,"",SUMIFS(TableTime[[Duration]:[Duration]],TableTime[[Week]:[Week]],$I33,TableTime[[Activity]:[Activity]],M$1)*24)</f>
        <v/>
      </c>
      <c r="N33" s="81" t="str">
        <f>IF(SUMIFS(TableTime[[Duration]:[Duration]],TableTime[[Week]:[Week]],$I33,TableTime[[Activity]:[Activity]],N$1)*24=0,"",SUMIFS(TableTime[[Duration]:[Duration]],TableTime[[Week]:[Week]],$I33,TableTime[[Activity]:[Activity]],N$1)*24)</f>
        <v/>
      </c>
      <c r="O33" s="82" t="str">
        <f>IF(SUMIFS(TableTime[[Duration]:[Duration]],TableTime[[Week]:[Week]],$I33,TableTime[[Activity]:[Activity]],O$1)*24=0,"",SUMIFS(TableTime[[Duration]:[Duration]],TableTime[[Week]:[Week]],$I33,TableTime[[Activity]:[Activity]],O$1)*24)</f>
        <v/>
      </c>
      <c r="P33" s="82" t="str">
        <f>IF(SUMIFS(TableTime[[Duration]:[Duration]],TableTime[[Week]:[Week]],$I33,TableTime[[Activity]:[Activity]],P$1)*24=0,"",SUMIFS(TableTime[[Duration]:[Duration]],TableTime[[Week]:[Week]],$I33,TableTime[[Activity]:[Activity]],P$1)*24)</f>
        <v/>
      </c>
      <c r="Q33" s="83" t="str">
        <f>IF(SUMIFS(TableTime[[Duration]:[Duration]],TableTime[[Week]:[Week]],$I33,TableTime[[Activity]:[Activity]],Q$1)*24=0,"",SUMIFS(TableTime[[Duration]:[Duration]],TableTime[[Week]:[Week]],$I33,TableTime[[Activity]:[Activity]],Q$1)*24)</f>
        <v/>
      </c>
      <c r="R33" s="134" t="str">
        <f>IF(SUMIFS(TableTime[[Duration]:[Duration]],TableTime[[Week]:[Week]],$I33,TableTime[[Activity]:[Activity]],R$1)*24=0,"",SUMIFS(TableTime[[Duration]:[Duration]],TableTime[[Week]:[Week]],$I33,TableTime[[Activity]:[Activity]],R$1)*24)</f>
        <v/>
      </c>
      <c r="S33" s="83" t="str">
        <f>IF(SUMIFS(TableTime[[Duration]:[Duration]],TableTime[[Week]:[Week]],$I33,TableTime[[Activity]:[Activity]],S$1)*24=0,"",SUMIFS(TableTime[[Duration]:[Duration]],TableTime[[Week]:[Week]],$I33,TableTime[[Activity]:[Activity]],S$1)*24)</f>
        <v/>
      </c>
      <c r="U33" s="191"/>
      <c r="V33" s="8">
        <f t="shared" si="3"/>
        <v>45138</v>
      </c>
      <c r="W33" s="8">
        <f t="shared" ref="W33:AB33" si="34">V33+1</f>
        <v>45139</v>
      </c>
      <c r="X33" s="8">
        <f t="shared" si="34"/>
        <v>45140</v>
      </c>
      <c r="Y33" s="8">
        <f t="shared" si="34"/>
        <v>45141</v>
      </c>
      <c r="Z33" s="8">
        <f t="shared" si="34"/>
        <v>45142</v>
      </c>
      <c r="AA33" s="8">
        <f t="shared" si="34"/>
        <v>45143</v>
      </c>
      <c r="AB33" s="8">
        <f t="shared" si="34"/>
        <v>45144</v>
      </c>
      <c r="AC33">
        <f t="shared" si="5"/>
        <v>31</v>
      </c>
    </row>
    <row r="34" spans="1:29" x14ac:dyDescent="0.35">
      <c r="A34" s="195"/>
      <c r="B34" s="18">
        <f>IF(V34="","",IF(VLOOKUP(V34,'Day summary'!$B$2:$E$367,4,FALSE)="",V34,CONCATENATE(DAY(V34)," (",VLOOKUP(V34,'Day summary'!$B$2:$E$367,4,FALSE),")")))</f>
        <v>45145</v>
      </c>
      <c r="C34" s="18">
        <f>IF(W34="","",IF(VLOOKUP(W34,'Day summary'!$B$2:$E$367,4,FALSE)="",W34,CONCATENATE(DAY(W34)," (",VLOOKUP(W34,'Day summary'!$B$2:$E$367,4,FALSE),")")))</f>
        <v>45146</v>
      </c>
      <c r="D34" s="18">
        <f>IF(X34="","",IF(VLOOKUP(X34,'Day summary'!$B$2:$E$367,4,FALSE)="",X34,CONCATENATE(DAY(X34)," (",VLOOKUP(X34,'Day summary'!$B$2:$E$367,4,FALSE),")")))</f>
        <v>45147</v>
      </c>
      <c r="E34" s="18">
        <f>IF(Y34="","",IF(VLOOKUP(Y34,'Day summary'!$B$2:$E$367,4,FALSE)="",Y34,CONCATENATE(DAY(Y34)," (",VLOOKUP(Y34,'Day summary'!$B$2:$E$367,4,FALSE),")")))</f>
        <v>45148</v>
      </c>
      <c r="F34" s="26">
        <f>IF(Z34="","",IF(VLOOKUP(Z34,'Day summary'!$B$2:$E$367,4,FALSE)="",Z34,CONCATENATE(DAY(Z34)," (",VLOOKUP(Z34,'Day summary'!$B$2:$E$367,4,FALSE),")")))</f>
        <v>45149</v>
      </c>
      <c r="G34" s="30">
        <f>IF(AA34="","",IF(VLOOKUP(AA34,'Day summary'!$B$2:$E$367,4,FALSE)="",AA34,CONCATENATE(DAY(AA34)," (",VLOOKUP(AA34,'Day summary'!$B$2:$E$367,4,FALSE),")")))</f>
        <v>45150</v>
      </c>
      <c r="H34" s="31">
        <f>IF(AB34="","",IF(VLOOKUP(AB34,'Day summary'!$B$2:$E$367,4,FALSE)="",AB34,CONCATENATE(DAY(AB34)," (",VLOOKUP(AB34,'Day summary'!$B$2:$E$367,4,FALSE),")")))</f>
        <v>45151</v>
      </c>
      <c r="I34" s="43">
        <f t="shared" si="0"/>
        <v>32</v>
      </c>
      <c r="J34" s="79" t="str">
        <f t="shared" si="1"/>
        <v/>
      </c>
      <c r="K34" s="79" t="str">
        <f ca="1">IF(J34="","",SUMIFS('Day summary'!$I$2:$I$367,'Day summary'!$D$2:$D$367,I34,'Day summary'!$B$2:$B$367,"&lt;"&amp;TODAY())*24-SUMIFS('Day summary'!$G$2:$G$367,'Day summary'!$D$2:$D$367,I34,'Day summary'!$B$2:$B$367,"&lt;"&amp;TODAY())*24)</f>
        <v/>
      </c>
      <c r="L34" s="80" t="str">
        <f>IF(SUMIFS(TableTime[[Duration]:[Duration]],TableTime[[Week]:[Week]],$I34,TableTime[[Activity]:[Activity]],L$1)*24=0,"",SUMIFS(TableTime[[Duration]:[Duration]],TableTime[[Week]:[Week]],$I34,TableTime[[Activity]:[Activity]],L$1)*24)</f>
        <v/>
      </c>
      <c r="M34" s="81" t="str">
        <f>IF(SUMIFS(TableTime[[Duration]:[Duration]],TableTime[[Week]:[Week]],$I34,TableTime[[Activity]:[Activity]],M$1)*24=0,"",SUMIFS(TableTime[[Duration]:[Duration]],TableTime[[Week]:[Week]],$I34,TableTime[[Activity]:[Activity]],M$1)*24)</f>
        <v/>
      </c>
      <c r="N34" s="81" t="str">
        <f>IF(SUMIFS(TableTime[[Duration]:[Duration]],TableTime[[Week]:[Week]],$I34,TableTime[[Activity]:[Activity]],N$1)*24=0,"",SUMIFS(TableTime[[Duration]:[Duration]],TableTime[[Week]:[Week]],$I34,TableTime[[Activity]:[Activity]],N$1)*24)</f>
        <v/>
      </c>
      <c r="O34" s="82" t="str">
        <f>IF(SUMIFS(TableTime[[Duration]:[Duration]],TableTime[[Week]:[Week]],$I34,TableTime[[Activity]:[Activity]],O$1)*24=0,"",SUMIFS(TableTime[[Duration]:[Duration]],TableTime[[Week]:[Week]],$I34,TableTime[[Activity]:[Activity]],O$1)*24)</f>
        <v/>
      </c>
      <c r="P34" s="82" t="str">
        <f>IF(SUMIFS(TableTime[[Duration]:[Duration]],TableTime[[Week]:[Week]],$I34,TableTime[[Activity]:[Activity]],P$1)*24=0,"",SUMIFS(TableTime[[Duration]:[Duration]],TableTime[[Week]:[Week]],$I34,TableTime[[Activity]:[Activity]],P$1)*24)</f>
        <v/>
      </c>
      <c r="Q34" s="83" t="str">
        <f>IF(SUMIFS(TableTime[[Duration]:[Duration]],TableTime[[Week]:[Week]],$I34,TableTime[[Activity]:[Activity]],Q$1)*24=0,"",SUMIFS(TableTime[[Duration]:[Duration]],TableTime[[Week]:[Week]],$I34,TableTime[[Activity]:[Activity]],Q$1)*24)</f>
        <v/>
      </c>
      <c r="R34" s="134" t="str">
        <f>IF(SUMIFS(TableTime[[Duration]:[Duration]],TableTime[[Week]:[Week]],$I34,TableTime[[Activity]:[Activity]],R$1)*24=0,"",SUMIFS(TableTime[[Duration]:[Duration]],TableTime[[Week]:[Week]],$I34,TableTime[[Activity]:[Activity]],R$1)*24)</f>
        <v/>
      </c>
      <c r="S34" s="83" t="str">
        <f>IF(SUMIFS(TableTime[[Duration]:[Duration]],TableTime[[Week]:[Week]],$I34,TableTime[[Activity]:[Activity]],S$1)*24=0,"",SUMIFS(TableTime[[Duration]:[Duration]],TableTime[[Week]:[Week]],$I34,TableTime[[Activity]:[Activity]],S$1)*24)</f>
        <v/>
      </c>
      <c r="U34" s="191"/>
      <c r="V34" s="8">
        <f t="shared" si="3"/>
        <v>45145</v>
      </c>
      <c r="W34" s="8">
        <f t="shared" ref="W34:AB34" si="35">V34+1</f>
        <v>45146</v>
      </c>
      <c r="X34" s="8">
        <f t="shared" si="35"/>
        <v>45147</v>
      </c>
      <c r="Y34" s="8">
        <f t="shared" si="35"/>
        <v>45148</v>
      </c>
      <c r="Z34" s="8">
        <f t="shared" si="35"/>
        <v>45149</v>
      </c>
      <c r="AA34" s="8">
        <f t="shared" si="35"/>
        <v>45150</v>
      </c>
      <c r="AB34" s="8">
        <f t="shared" si="35"/>
        <v>45151</v>
      </c>
      <c r="AC34">
        <f t="shared" si="5"/>
        <v>32</v>
      </c>
    </row>
    <row r="35" spans="1:29" x14ac:dyDescent="0.35">
      <c r="A35" s="195"/>
      <c r="B35" s="18">
        <f>IF(V35="","",IF(VLOOKUP(V35,'Day summary'!$B$2:$E$367,4,FALSE)="",V35,CONCATENATE(DAY(V35)," (",VLOOKUP(V35,'Day summary'!$B$2:$E$367,4,FALSE),")")))</f>
        <v>45152</v>
      </c>
      <c r="C35" s="18">
        <f>IF(W35="","",IF(VLOOKUP(W35,'Day summary'!$B$2:$E$367,4,FALSE)="",W35,CONCATENATE(DAY(W35)," (",VLOOKUP(W35,'Day summary'!$B$2:$E$367,4,FALSE),")")))</f>
        <v>45153</v>
      </c>
      <c r="D35" s="18">
        <f>IF(X35="","",IF(VLOOKUP(X35,'Day summary'!$B$2:$E$367,4,FALSE)="",X35,CONCATENATE(DAY(X35)," (",VLOOKUP(X35,'Day summary'!$B$2:$E$367,4,FALSE),")")))</f>
        <v>45154</v>
      </c>
      <c r="E35" s="18">
        <f>IF(Y35="","",IF(VLOOKUP(Y35,'Day summary'!$B$2:$E$367,4,FALSE)="",Y35,CONCATENATE(DAY(Y35)," (",VLOOKUP(Y35,'Day summary'!$B$2:$E$367,4,FALSE),")")))</f>
        <v>45155</v>
      </c>
      <c r="F35" s="26">
        <f>IF(Z35="","",IF(VLOOKUP(Z35,'Day summary'!$B$2:$E$367,4,FALSE)="",Z35,CONCATENATE(DAY(Z35)," (",VLOOKUP(Z35,'Day summary'!$B$2:$E$367,4,FALSE),")")))</f>
        <v>45156</v>
      </c>
      <c r="G35" s="30">
        <f>IF(AA35="","",IF(VLOOKUP(AA35,'Day summary'!$B$2:$E$367,4,FALSE)="",AA35,CONCATENATE(DAY(AA35)," (",VLOOKUP(AA35,'Day summary'!$B$2:$E$367,4,FALSE),")")))</f>
        <v>45157</v>
      </c>
      <c r="H35" s="31">
        <f>IF(AB35="","",IF(VLOOKUP(AB35,'Day summary'!$B$2:$E$367,4,FALSE)="",AB35,CONCATENATE(DAY(AB35)," (",VLOOKUP(AB35,'Day summary'!$B$2:$E$367,4,FALSE),")")))</f>
        <v>45158</v>
      </c>
      <c r="I35" s="43">
        <f t="shared" si="0"/>
        <v>33</v>
      </c>
      <c r="J35" s="79" t="str">
        <f t="shared" si="1"/>
        <v/>
      </c>
      <c r="K35" s="79" t="str">
        <f ca="1">IF(J35="","",SUMIFS('Day summary'!$I$2:$I$367,'Day summary'!$D$2:$D$367,I35,'Day summary'!$B$2:$B$367,"&lt;"&amp;TODAY())*24-SUMIFS('Day summary'!$G$2:$G$367,'Day summary'!$D$2:$D$367,I35,'Day summary'!$B$2:$B$367,"&lt;"&amp;TODAY())*24)</f>
        <v/>
      </c>
      <c r="L35" s="80" t="str">
        <f>IF(SUMIFS(TableTime[[Duration]:[Duration]],TableTime[[Week]:[Week]],$I35,TableTime[[Activity]:[Activity]],L$1)*24=0,"",SUMIFS(TableTime[[Duration]:[Duration]],TableTime[[Week]:[Week]],$I35,TableTime[[Activity]:[Activity]],L$1)*24)</f>
        <v/>
      </c>
      <c r="M35" s="81" t="str">
        <f>IF(SUMIFS(TableTime[[Duration]:[Duration]],TableTime[[Week]:[Week]],$I35,TableTime[[Activity]:[Activity]],M$1)*24=0,"",SUMIFS(TableTime[[Duration]:[Duration]],TableTime[[Week]:[Week]],$I35,TableTime[[Activity]:[Activity]],M$1)*24)</f>
        <v/>
      </c>
      <c r="N35" s="81" t="str">
        <f>IF(SUMIFS(TableTime[[Duration]:[Duration]],TableTime[[Week]:[Week]],$I35,TableTime[[Activity]:[Activity]],N$1)*24=0,"",SUMIFS(TableTime[[Duration]:[Duration]],TableTime[[Week]:[Week]],$I35,TableTime[[Activity]:[Activity]],N$1)*24)</f>
        <v/>
      </c>
      <c r="O35" s="82" t="str">
        <f>IF(SUMIFS(TableTime[[Duration]:[Duration]],TableTime[[Week]:[Week]],$I35,TableTime[[Activity]:[Activity]],O$1)*24=0,"",SUMIFS(TableTime[[Duration]:[Duration]],TableTime[[Week]:[Week]],$I35,TableTime[[Activity]:[Activity]],O$1)*24)</f>
        <v/>
      </c>
      <c r="P35" s="82" t="str">
        <f>IF(SUMIFS(TableTime[[Duration]:[Duration]],TableTime[[Week]:[Week]],$I35,TableTime[[Activity]:[Activity]],P$1)*24=0,"",SUMIFS(TableTime[[Duration]:[Duration]],TableTime[[Week]:[Week]],$I35,TableTime[[Activity]:[Activity]],P$1)*24)</f>
        <v/>
      </c>
      <c r="Q35" s="83" t="str">
        <f>IF(SUMIFS(TableTime[[Duration]:[Duration]],TableTime[[Week]:[Week]],$I35,TableTime[[Activity]:[Activity]],Q$1)*24=0,"",SUMIFS(TableTime[[Duration]:[Duration]],TableTime[[Week]:[Week]],$I35,TableTime[[Activity]:[Activity]],Q$1)*24)</f>
        <v/>
      </c>
      <c r="R35" s="134" t="str">
        <f>IF(SUMIFS(TableTime[[Duration]:[Duration]],TableTime[[Week]:[Week]],$I35,TableTime[[Activity]:[Activity]],R$1)*24=0,"",SUMIFS(TableTime[[Duration]:[Duration]],TableTime[[Week]:[Week]],$I35,TableTime[[Activity]:[Activity]],R$1)*24)</f>
        <v/>
      </c>
      <c r="S35" s="83" t="str">
        <f>IF(SUMIFS(TableTime[[Duration]:[Duration]],TableTime[[Week]:[Week]],$I35,TableTime[[Activity]:[Activity]],S$1)*24=0,"",SUMIFS(TableTime[[Duration]:[Duration]],TableTime[[Week]:[Week]],$I35,TableTime[[Activity]:[Activity]],S$1)*24)</f>
        <v/>
      </c>
      <c r="U35" s="191"/>
      <c r="V35" s="8">
        <f t="shared" si="3"/>
        <v>45152</v>
      </c>
      <c r="W35" s="8">
        <f t="shared" ref="W35:AB35" si="36">V35+1</f>
        <v>45153</v>
      </c>
      <c r="X35" s="8">
        <f t="shared" si="36"/>
        <v>45154</v>
      </c>
      <c r="Y35" s="8">
        <f t="shared" si="36"/>
        <v>45155</v>
      </c>
      <c r="Z35" s="8">
        <f t="shared" si="36"/>
        <v>45156</v>
      </c>
      <c r="AA35" s="8">
        <f t="shared" si="36"/>
        <v>45157</v>
      </c>
      <c r="AB35" s="8">
        <f t="shared" si="36"/>
        <v>45158</v>
      </c>
      <c r="AC35">
        <f t="shared" si="5"/>
        <v>33</v>
      </c>
    </row>
    <row r="36" spans="1:29" x14ac:dyDescent="0.35">
      <c r="A36" s="195"/>
      <c r="B36" s="18">
        <f>IF(V36="","",IF(VLOOKUP(V36,'Day summary'!$B$2:$E$367,4,FALSE)="",V36,CONCATENATE(DAY(V36)," (",VLOOKUP(V36,'Day summary'!$B$2:$E$367,4,FALSE),")")))</f>
        <v>45159</v>
      </c>
      <c r="C36" s="18">
        <f>IF(W36="","",IF(VLOOKUP(W36,'Day summary'!$B$2:$E$367,4,FALSE)="",W36,CONCATENATE(DAY(W36)," (",VLOOKUP(W36,'Day summary'!$B$2:$E$367,4,FALSE),")")))</f>
        <v>45160</v>
      </c>
      <c r="D36" s="18">
        <f>IF(X36="","",IF(VLOOKUP(X36,'Day summary'!$B$2:$E$367,4,FALSE)="",X36,CONCATENATE(DAY(X36)," (",VLOOKUP(X36,'Day summary'!$B$2:$E$367,4,FALSE),")")))</f>
        <v>45161</v>
      </c>
      <c r="E36" s="18">
        <f>IF(Y36="","",IF(VLOOKUP(Y36,'Day summary'!$B$2:$E$367,4,FALSE)="",Y36,CONCATENATE(DAY(Y36)," (",VLOOKUP(Y36,'Day summary'!$B$2:$E$367,4,FALSE),")")))</f>
        <v>45162</v>
      </c>
      <c r="F36" s="26">
        <f>IF(Z36="","",IF(VLOOKUP(Z36,'Day summary'!$B$2:$E$367,4,FALSE)="",Z36,CONCATENATE(DAY(Z36)," (",VLOOKUP(Z36,'Day summary'!$B$2:$E$367,4,FALSE),")")))</f>
        <v>45163</v>
      </c>
      <c r="G36" s="30">
        <f>IF(AA36="","",IF(VLOOKUP(AA36,'Day summary'!$B$2:$E$367,4,FALSE)="",AA36,CONCATENATE(DAY(AA36)," (",VLOOKUP(AA36,'Day summary'!$B$2:$E$367,4,FALSE),")")))</f>
        <v>45164</v>
      </c>
      <c r="H36" s="31">
        <f>IF(AB36="","",IF(VLOOKUP(AB36,'Day summary'!$B$2:$E$367,4,FALSE)="",AB36,CONCATENATE(DAY(AB36)," (",VLOOKUP(AB36,'Day summary'!$B$2:$E$367,4,FALSE),")")))</f>
        <v>45165</v>
      </c>
      <c r="I36" s="43">
        <f t="shared" si="0"/>
        <v>34</v>
      </c>
      <c r="J36" s="79" t="str">
        <f t="shared" si="1"/>
        <v/>
      </c>
      <c r="K36" s="79" t="str">
        <f ca="1">IF(J36="","",SUMIFS('Day summary'!$I$2:$I$367,'Day summary'!$D$2:$D$367,I36,'Day summary'!$B$2:$B$367,"&lt;"&amp;TODAY())*24-SUMIFS('Day summary'!$G$2:$G$367,'Day summary'!$D$2:$D$367,I36,'Day summary'!$B$2:$B$367,"&lt;"&amp;TODAY())*24)</f>
        <v/>
      </c>
      <c r="L36" s="80" t="str">
        <f>IF(SUMIFS(TableTime[[Duration]:[Duration]],TableTime[[Week]:[Week]],$I36,TableTime[[Activity]:[Activity]],L$1)*24=0,"",SUMIFS(TableTime[[Duration]:[Duration]],TableTime[[Week]:[Week]],$I36,TableTime[[Activity]:[Activity]],L$1)*24)</f>
        <v/>
      </c>
      <c r="M36" s="81" t="str">
        <f>IF(SUMIFS(TableTime[[Duration]:[Duration]],TableTime[[Week]:[Week]],$I36,TableTime[[Activity]:[Activity]],M$1)*24=0,"",SUMIFS(TableTime[[Duration]:[Duration]],TableTime[[Week]:[Week]],$I36,TableTime[[Activity]:[Activity]],M$1)*24)</f>
        <v/>
      </c>
      <c r="N36" s="81" t="str">
        <f>IF(SUMIFS(TableTime[[Duration]:[Duration]],TableTime[[Week]:[Week]],$I36,TableTime[[Activity]:[Activity]],N$1)*24=0,"",SUMIFS(TableTime[[Duration]:[Duration]],TableTime[[Week]:[Week]],$I36,TableTime[[Activity]:[Activity]],N$1)*24)</f>
        <v/>
      </c>
      <c r="O36" s="82" t="str">
        <f>IF(SUMIFS(TableTime[[Duration]:[Duration]],TableTime[[Week]:[Week]],$I36,TableTime[[Activity]:[Activity]],O$1)*24=0,"",SUMIFS(TableTime[[Duration]:[Duration]],TableTime[[Week]:[Week]],$I36,TableTime[[Activity]:[Activity]],O$1)*24)</f>
        <v/>
      </c>
      <c r="P36" s="82" t="str">
        <f>IF(SUMIFS(TableTime[[Duration]:[Duration]],TableTime[[Week]:[Week]],$I36,TableTime[[Activity]:[Activity]],P$1)*24=0,"",SUMIFS(TableTime[[Duration]:[Duration]],TableTime[[Week]:[Week]],$I36,TableTime[[Activity]:[Activity]],P$1)*24)</f>
        <v/>
      </c>
      <c r="Q36" s="83" t="str">
        <f>IF(SUMIFS(TableTime[[Duration]:[Duration]],TableTime[[Week]:[Week]],$I36,TableTime[[Activity]:[Activity]],Q$1)*24=0,"",SUMIFS(TableTime[[Duration]:[Duration]],TableTime[[Week]:[Week]],$I36,TableTime[[Activity]:[Activity]],Q$1)*24)</f>
        <v/>
      </c>
      <c r="R36" s="134" t="str">
        <f>IF(SUMIFS(TableTime[[Duration]:[Duration]],TableTime[[Week]:[Week]],$I36,TableTime[[Activity]:[Activity]],R$1)*24=0,"",SUMIFS(TableTime[[Duration]:[Duration]],TableTime[[Week]:[Week]],$I36,TableTime[[Activity]:[Activity]],R$1)*24)</f>
        <v/>
      </c>
      <c r="S36" s="83" t="str">
        <f>IF(SUMIFS(TableTime[[Duration]:[Duration]],TableTime[[Week]:[Week]],$I36,TableTime[[Activity]:[Activity]],S$1)*24=0,"",SUMIFS(TableTime[[Duration]:[Duration]],TableTime[[Week]:[Week]],$I36,TableTime[[Activity]:[Activity]],S$1)*24)</f>
        <v/>
      </c>
      <c r="U36" s="191"/>
      <c r="V36" s="8">
        <f t="shared" si="3"/>
        <v>45159</v>
      </c>
      <c r="W36" s="8">
        <f t="shared" ref="W36:AB36" si="37">V36+1</f>
        <v>45160</v>
      </c>
      <c r="X36" s="8">
        <f t="shared" si="37"/>
        <v>45161</v>
      </c>
      <c r="Y36" s="8">
        <f t="shared" si="37"/>
        <v>45162</v>
      </c>
      <c r="Z36" s="8">
        <f t="shared" si="37"/>
        <v>45163</v>
      </c>
      <c r="AA36" s="8">
        <f t="shared" si="37"/>
        <v>45164</v>
      </c>
      <c r="AB36" s="8">
        <f t="shared" si="37"/>
        <v>45165</v>
      </c>
      <c r="AC36">
        <f t="shared" si="5"/>
        <v>34</v>
      </c>
    </row>
    <row r="37" spans="1:29" x14ac:dyDescent="0.35">
      <c r="A37" s="196" t="s">
        <v>45</v>
      </c>
      <c r="B37" s="18">
        <f>IF(V37="","",IF(VLOOKUP(V37,'Day summary'!$B$2:$E$367,4,FALSE)="",V37,CONCATENATE(DAY(V37)," (",VLOOKUP(V37,'Day summary'!$B$2:$E$367,4,FALSE),")")))</f>
        <v>45166</v>
      </c>
      <c r="C37" s="18">
        <f>IF(W37="","",IF(VLOOKUP(W37,'Day summary'!$B$2:$E$367,4,FALSE)="",W37,CONCATENATE(DAY(W37)," (",VLOOKUP(W37,'Day summary'!$B$2:$E$367,4,FALSE),")")))</f>
        <v>45167</v>
      </c>
      <c r="D37" s="18">
        <f>IF(X37="","",IF(VLOOKUP(X37,'Day summary'!$B$2:$E$367,4,FALSE)="",X37,CONCATENATE(DAY(X37)," (",VLOOKUP(X37,'Day summary'!$B$2:$E$367,4,FALSE),")")))</f>
        <v>45168</v>
      </c>
      <c r="E37" s="18">
        <f>IF(Y37="","",IF(VLOOKUP(Y37,'Day summary'!$B$2:$E$367,4,FALSE)="",Y37,CONCATENATE(DAY(Y37)," (",VLOOKUP(Y37,'Day summary'!$B$2:$E$367,4,FALSE),")")))</f>
        <v>45169</v>
      </c>
      <c r="F37" s="26">
        <f>IF(Z37="","",IF(VLOOKUP(Z37,'Day summary'!$B$2:$E$367,4,FALSE)="",Z37,CONCATENATE(DAY(Z37)," (",VLOOKUP(Z37,'Day summary'!$B$2:$E$367,4,FALSE),")")))</f>
        <v>45170</v>
      </c>
      <c r="G37" s="30">
        <f>IF(AA37="","",IF(VLOOKUP(AA37,'Day summary'!$B$2:$E$367,4,FALSE)="",AA37,CONCATENATE(DAY(AA37)," (",VLOOKUP(AA37,'Day summary'!$B$2:$E$367,4,FALSE),")")))</f>
        <v>45171</v>
      </c>
      <c r="H37" s="31">
        <f>IF(AB37="","",IF(VLOOKUP(AB37,'Day summary'!$B$2:$E$367,4,FALSE)="",AB37,CONCATENATE(DAY(AB37)," (",VLOOKUP(AB37,'Day summary'!$B$2:$E$367,4,FALSE),")")))</f>
        <v>45172</v>
      </c>
      <c r="I37" s="43">
        <f t="shared" si="0"/>
        <v>35</v>
      </c>
      <c r="J37" s="79" t="str">
        <f t="shared" si="1"/>
        <v/>
      </c>
      <c r="K37" s="79" t="str">
        <f ca="1">IF(J37="","",SUMIFS('Day summary'!$I$2:$I$367,'Day summary'!$D$2:$D$367,I37,'Day summary'!$B$2:$B$367,"&lt;"&amp;TODAY())*24-SUMIFS('Day summary'!$G$2:$G$367,'Day summary'!$D$2:$D$367,I37,'Day summary'!$B$2:$B$367,"&lt;"&amp;TODAY())*24)</f>
        <v/>
      </c>
      <c r="L37" s="80" t="str">
        <f>IF(SUMIFS(TableTime[[Duration]:[Duration]],TableTime[[Week]:[Week]],$I37,TableTime[[Activity]:[Activity]],L$1)*24=0,"",SUMIFS(TableTime[[Duration]:[Duration]],TableTime[[Week]:[Week]],$I37,TableTime[[Activity]:[Activity]],L$1)*24)</f>
        <v/>
      </c>
      <c r="M37" s="81" t="str">
        <f>IF(SUMIFS(TableTime[[Duration]:[Duration]],TableTime[[Week]:[Week]],$I37,TableTime[[Activity]:[Activity]],M$1)*24=0,"",SUMIFS(TableTime[[Duration]:[Duration]],TableTime[[Week]:[Week]],$I37,TableTime[[Activity]:[Activity]],M$1)*24)</f>
        <v/>
      </c>
      <c r="N37" s="81" t="str">
        <f>IF(SUMIFS(TableTime[[Duration]:[Duration]],TableTime[[Week]:[Week]],$I37,TableTime[[Activity]:[Activity]],N$1)*24=0,"",SUMIFS(TableTime[[Duration]:[Duration]],TableTime[[Week]:[Week]],$I37,TableTime[[Activity]:[Activity]],N$1)*24)</f>
        <v/>
      </c>
      <c r="O37" s="82" t="str">
        <f>IF(SUMIFS(TableTime[[Duration]:[Duration]],TableTime[[Week]:[Week]],$I37,TableTime[[Activity]:[Activity]],O$1)*24=0,"",SUMIFS(TableTime[[Duration]:[Duration]],TableTime[[Week]:[Week]],$I37,TableTime[[Activity]:[Activity]],O$1)*24)</f>
        <v/>
      </c>
      <c r="P37" s="82" t="str">
        <f>IF(SUMIFS(TableTime[[Duration]:[Duration]],TableTime[[Week]:[Week]],$I37,TableTime[[Activity]:[Activity]],P$1)*24=0,"",SUMIFS(TableTime[[Duration]:[Duration]],TableTime[[Week]:[Week]],$I37,TableTime[[Activity]:[Activity]],P$1)*24)</f>
        <v/>
      </c>
      <c r="Q37" s="83" t="str">
        <f>IF(SUMIFS(TableTime[[Duration]:[Duration]],TableTime[[Week]:[Week]],$I37,TableTime[[Activity]:[Activity]],Q$1)*24=0,"",SUMIFS(TableTime[[Duration]:[Duration]],TableTime[[Week]:[Week]],$I37,TableTime[[Activity]:[Activity]],Q$1)*24)</f>
        <v/>
      </c>
      <c r="R37" s="134" t="str">
        <f>IF(SUMIFS(TableTime[[Duration]:[Duration]],TableTime[[Week]:[Week]],$I37,TableTime[[Activity]:[Activity]],R$1)*24=0,"",SUMIFS(TableTime[[Duration]:[Duration]],TableTime[[Week]:[Week]],$I37,TableTime[[Activity]:[Activity]],R$1)*24)</f>
        <v/>
      </c>
      <c r="S37" s="83" t="str">
        <f>IF(SUMIFS(TableTime[[Duration]:[Duration]],TableTime[[Week]:[Week]],$I37,TableTime[[Activity]:[Activity]],S$1)*24=0,"",SUMIFS(TableTime[[Duration]:[Duration]],TableTime[[Week]:[Week]],$I37,TableTime[[Activity]:[Activity]],S$1)*24)</f>
        <v/>
      </c>
      <c r="U37" s="191" t="s">
        <v>46</v>
      </c>
      <c r="V37" s="8">
        <f t="shared" si="3"/>
        <v>45166</v>
      </c>
      <c r="W37" s="8">
        <f t="shared" ref="W37:AB37" si="38">V37+1</f>
        <v>45167</v>
      </c>
      <c r="X37" s="8">
        <f t="shared" si="38"/>
        <v>45168</v>
      </c>
      <c r="Y37" s="8">
        <f t="shared" si="38"/>
        <v>45169</v>
      </c>
      <c r="Z37" s="8">
        <f t="shared" si="38"/>
        <v>45170</v>
      </c>
      <c r="AA37" s="8">
        <f t="shared" si="38"/>
        <v>45171</v>
      </c>
      <c r="AB37" s="8">
        <f t="shared" si="38"/>
        <v>45172</v>
      </c>
      <c r="AC37">
        <f t="shared" si="5"/>
        <v>35</v>
      </c>
    </row>
    <row r="38" spans="1:29" x14ac:dyDescent="0.35">
      <c r="A38" s="196"/>
      <c r="B38" s="18">
        <f>IF(V38="","",IF(VLOOKUP(V38,'Day summary'!$B$2:$E$367,4,FALSE)="",V38,CONCATENATE(DAY(V38)," (",VLOOKUP(V38,'Day summary'!$B$2:$E$367,4,FALSE),")")))</f>
        <v>45173</v>
      </c>
      <c r="C38" s="18">
        <f>IF(W38="","",IF(VLOOKUP(W38,'Day summary'!$B$2:$E$367,4,FALSE)="",W38,CONCATENATE(DAY(W38)," (",VLOOKUP(W38,'Day summary'!$B$2:$E$367,4,FALSE),")")))</f>
        <v>45174</v>
      </c>
      <c r="D38" s="18">
        <f>IF(X38="","",IF(VLOOKUP(X38,'Day summary'!$B$2:$E$367,4,FALSE)="",X38,CONCATENATE(DAY(X38)," (",VLOOKUP(X38,'Day summary'!$B$2:$E$367,4,FALSE),")")))</f>
        <v>45175</v>
      </c>
      <c r="E38" s="18">
        <f>IF(Y38="","",IF(VLOOKUP(Y38,'Day summary'!$B$2:$E$367,4,FALSE)="",Y38,CONCATENATE(DAY(Y38)," (",VLOOKUP(Y38,'Day summary'!$B$2:$E$367,4,FALSE),")")))</f>
        <v>45176</v>
      </c>
      <c r="F38" s="26">
        <f>IF(Z38="","",IF(VLOOKUP(Z38,'Day summary'!$B$2:$E$367,4,FALSE)="",Z38,CONCATENATE(DAY(Z38)," (",VLOOKUP(Z38,'Day summary'!$B$2:$E$367,4,FALSE),")")))</f>
        <v>45177</v>
      </c>
      <c r="G38" s="30">
        <f>IF(AA38="","",IF(VLOOKUP(AA38,'Day summary'!$B$2:$E$367,4,FALSE)="",AA38,CONCATENATE(DAY(AA38)," (",VLOOKUP(AA38,'Day summary'!$B$2:$E$367,4,FALSE),")")))</f>
        <v>45178</v>
      </c>
      <c r="H38" s="31">
        <f>IF(AB38="","",IF(VLOOKUP(AB38,'Day summary'!$B$2:$E$367,4,FALSE)="",AB38,CONCATENATE(DAY(AB38)," (",VLOOKUP(AB38,'Day summary'!$B$2:$E$367,4,FALSE),")")))</f>
        <v>45179</v>
      </c>
      <c r="I38" s="43">
        <f t="shared" si="0"/>
        <v>36</v>
      </c>
      <c r="J38" s="79" t="str">
        <f t="shared" si="1"/>
        <v/>
      </c>
      <c r="K38" s="79" t="str">
        <f ca="1">IF(J38="","",SUMIFS('Day summary'!$I$2:$I$367,'Day summary'!$D$2:$D$367,I38,'Day summary'!$B$2:$B$367,"&lt;"&amp;TODAY())*24-SUMIFS('Day summary'!$G$2:$G$367,'Day summary'!$D$2:$D$367,I38,'Day summary'!$B$2:$B$367,"&lt;"&amp;TODAY())*24)</f>
        <v/>
      </c>
      <c r="L38" s="80" t="str">
        <f>IF(SUMIFS(TableTime[[Duration]:[Duration]],TableTime[[Week]:[Week]],$I38,TableTime[[Activity]:[Activity]],L$1)*24=0,"",SUMIFS(TableTime[[Duration]:[Duration]],TableTime[[Week]:[Week]],$I38,TableTime[[Activity]:[Activity]],L$1)*24)</f>
        <v/>
      </c>
      <c r="M38" s="81" t="str">
        <f>IF(SUMIFS(TableTime[[Duration]:[Duration]],TableTime[[Week]:[Week]],$I38,TableTime[[Activity]:[Activity]],M$1)*24=0,"",SUMIFS(TableTime[[Duration]:[Duration]],TableTime[[Week]:[Week]],$I38,TableTime[[Activity]:[Activity]],M$1)*24)</f>
        <v/>
      </c>
      <c r="N38" s="81" t="str">
        <f>IF(SUMIFS(TableTime[[Duration]:[Duration]],TableTime[[Week]:[Week]],$I38,TableTime[[Activity]:[Activity]],N$1)*24=0,"",SUMIFS(TableTime[[Duration]:[Duration]],TableTime[[Week]:[Week]],$I38,TableTime[[Activity]:[Activity]],N$1)*24)</f>
        <v/>
      </c>
      <c r="O38" s="82" t="str">
        <f>IF(SUMIFS(TableTime[[Duration]:[Duration]],TableTime[[Week]:[Week]],$I38,TableTime[[Activity]:[Activity]],O$1)*24=0,"",SUMIFS(TableTime[[Duration]:[Duration]],TableTime[[Week]:[Week]],$I38,TableTime[[Activity]:[Activity]],O$1)*24)</f>
        <v/>
      </c>
      <c r="P38" s="82" t="str">
        <f>IF(SUMIFS(TableTime[[Duration]:[Duration]],TableTime[[Week]:[Week]],$I38,TableTime[[Activity]:[Activity]],P$1)*24=0,"",SUMIFS(TableTime[[Duration]:[Duration]],TableTime[[Week]:[Week]],$I38,TableTime[[Activity]:[Activity]],P$1)*24)</f>
        <v/>
      </c>
      <c r="Q38" s="83" t="str">
        <f>IF(SUMIFS(TableTime[[Duration]:[Duration]],TableTime[[Week]:[Week]],$I38,TableTime[[Activity]:[Activity]],Q$1)*24=0,"",SUMIFS(TableTime[[Duration]:[Duration]],TableTime[[Week]:[Week]],$I38,TableTime[[Activity]:[Activity]],Q$1)*24)</f>
        <v/>
      </c>
      <c r="R38" s="134" t="str">
        <f>IF(SUMIFS(TableTime[[Duration]:[Duration]],TableTime[[Week]:[Week]],$I38,TableTime[[Activity]:[Activity]],R$1)*24=0,"",SUMIFS(TableTime[[Duration]:[Duration]],TableTime[[Week]:[Week]],$I38,TableTime[[Activity]:[Activity]],R$1)*24)</f>
        <v/>
      </c>
      <c r="S38" s="83" t="str">
        <f>IF(SUMIFS(TableTime[[Duration]:[Duration]],TableTime[[Week]:[Week]],$I38,TableTime[[Activity]:[Activity]],S$1)*24=0,"",SUMIFS(TableTime[[Duration]:[Duration]],TableTime[[Week]:[Week]],$I38,TableTime[[Activity]:[Activity]],S$1)*24)</f>
        <v/>
      </c>
      <c r="U38" s="191"/>
      <c r="V38" s="8">
        <f t="shared" si="3"/>
        <v>45173</v>
      </c>
      <c r="W38" s="8">
        <f t="shared" ref="W38:AB38" si="39">V38+1</f>
        <v>45174</v>
      </c>
      <c r="X38" s="8">
        <f t="shared" si="39"/>
        <v>45175</v>
      </c>
      <c r="Y38" s="8">
        <f t="shared" si="39"/>
        <v>45176</v>
      </c>
      <c r="Z38" s="8">
        <f t="shared" si="39"/>
        <v>45177</v>
      </c>
      <c r="AA38" s="8">
        <f t="shared" si="39"/>
        <v>45178</v>
      </c>
      <c r="AB38" s="8">
        <f t="shared" si="39"/>
        <v>45179</v>
      </c>
      <c r="AC38">
        <f t="shared" si="5"/>
        <v>36</v>
      </c>
    </row>
    <row r="39" spans="1:29" x14ac:dyDescent="0.35">
      <c r="A39" s="196"/>
      <c r="B39" s="18">
        <f>IF(V39="","",IF(VLOOKUP(V39,'Day summary'!$B$2:$E$367,4,FALSE)="",V39,CONCATENATE(DAY(V39)," (",VLOOKUP(V39,'Day summary'!$B$2:$E$367,4,FALSE),")")))</f>
        <v>45180</v>
      </c>
      <c r="C39" s="18">
        <f>IF(W39="","",IF(VLOOKUP(W39,'Day summary'!$B$2:$E$367,4,FALSE)="",W39,CONCATENATE(DAY(W39)," (",VLOOKUP(W39,'Day summary'!$B$2:$E$367,4,FALSE),")")))</f>
        <v>45181</v>
      </c>
      <c r="D39" s="18">
        <f>IF(X39="","",IF(VLOOKUP(X39,'Day summary'!$B$2:$E$367,4,FALSE)="",X39,CONCATENATE(DAY(X39)," (",VLOOKUP(X39,'Day summary'!$B$2:$E$367,4,FALSE),")")))</f>
        <v>45182</v>
      </c>
      <c r="E39" s="18">
        <f>IF(Y39="","",IF(VLOOKUP(Y39,'Day summary'!$B$2:$E$367,4,FALSE)="",Y39,CONCATENATE(DAY(Y39)," (",VLOOKUP(Y39,'Day summary'!$B$2:$E$367,4,FALSE),")")))</f>
        <v>45183</v>
      </c>
      <c r="F39" s="26">
        <f>IF(Z39="","",IF(VLOOKUP(Z39,'Day summary'!$B$2:$E$367,4,FALSE)="",Z39,CONCATENATE(DAY(Z39)," (",VLOOKUP(Z39,'Day summary'!$B$2:$E$367,4,FALSE),")")))</f>
        <v>45184</v>
      </c>
      <c r="G39" s="30">
        <f>IF(AA39="","",IF(VLOOKUP(AA39,'Day summary'!$B$2:$E$367,4,FALSE)="",AA39,CONCATENATE(DAY(AA39)," (",VLOOKUP(AA39,'Day summary'!$B$2:$E$367,4,FALSE),")")))</f>
        <v>45185</v>
      </c>
      <c r="H39" s="31">
        <f>IF(AB39="","",IF(VLOOKUP(AB39,'Day summary'!$B$2:$E$367,4,FALSE)="",AB39,CONCATENATE(DAY(AB39)," (",VLOOKUP(AB39,'Day summary'!$B$2:$E$367,4,FALSE),")")))</f>
        <v>45186</v>
      </c>
      <c r="I39" s="43">
        <f t="shared" si="0"/>
        <v>37</v>
      </c>
      <c r="J39" s="79" t="str">
        <f t="shared" si="1"/>
        <v/>
      </c>
      <c r="K39" s="79" t="str">
        <f ca="1">IF(J39="","",SUMIFS('Day summary'!$I$2:$I$367,'Day summary'!$D$2:$D$367,I39,'Day summary'!$B$2:$B$367,"&lt;"&amp;TODAY())*24-SUMIFS('Day summary'!$G$2:$G$367,'Day summary'!$D$2:$D$367,I39,'Day summary'!$B$2:$B$367,"&lt;"&amp;TODAY())*24)</f>
        <v/>
      </c>
      <c r="L39" s="80" t="str">
        <f>IF(SUMIFS(TableTime[[Duration]:[Duration]],TableTime[[Week]:[Week]],$I39,TableTime[[Activity]:[Activity]],L$1)*24=0,"",SUMIFS(TableTime[[Duration]:[Duration]],TableTime[[Week]:[Week]],$I39,TableTime[[Activity]:[Activity]],L$1)*24)</f>
        <v/>
      </c>
      <c r="M39" s="81" t="str">
        <f>IF(SUMIFS(TableTime[[Duration]:[Duration]],TableTime[[Week]:[Week]],$I39,TableTime[[Activity]:[Activity]],M$1)*24=0,"",SUMIFS(TableTime[[Duration]:[Duration]],TableTime[[Week]:[Week]],$I39,TableTime[[Activity]:[Activity]],M$1)*24)</f>
        <v/>
      </c>
      <c r="N39" s="81" t="str">
        <f>IF(SUMIFS(TableTime[[Duration]:[Duration]],TableTime[[Week]:[Week]],$I39,TableTime[[Activity]:[Activity]],N$1)*24=0,"",SUMIFS(TableTime[[Duration]:[Duration]],TableTime[[Week]:[Week]],$I39,TableTime[[Activity]:[Activity]],N$1)*24)</f>
        <v/>
      </c>
      <c r="O39" s="82" t="str">
        <f>IF(SUMIFS(TableTime[[Duration]:[Duration]],TableTime[[Week]:[Week]],$I39,TableTime[[Activity]:[Activity]],O$1)*24=0,"",SUMIFS(TableTime[[Duration]:[Duration]],TableTime[[Week]:[Week]],$I39,TableTime[[Activity]:[Activity]],O$1)*24)</f>
        <v/>
      </c>
      <c r="P39" s="82" t="str">
        <f>IF(SUMIFS(TableTime[[Duration]:[Duration]],TableTime[[Week]:[Week]],$I39,TableTime[[Activity]:[Activity]],P$1)*24=0,"",SUMIFS(TableTime[[Duration]:[Duration]],TableTime[[Week]:[Week]],$I39,TableTime[[Activity]:[Activity]],P$1)*24)</f>
        <v/>
      </c>
      <c r="Q39" s="83" t="str">
        <f>IF(SUMIFS(TableTime[[Duration]:[Duration]],TableTime[[Week]:[Week]],$I39,TableTime[[Activity]:[Activity]],Q$1)*24=0,"",SUMIFS(TableTime[[Duration]:[Duration]],TableTime[[Week]:[Week]],$I39,TableTime[[Activity]:[Activity]],Q$1)*24)</f>
        <v/>
      </c>
      <c r="R39" s="134" t="str">
        <f>IF(SUMIFS(TableTime[[Duration]:[Duration]],TableTime[[Week]:[Week]],$I39,TableTime[[Activity]:[Activity]],R$1)*24=0,"",SUMIFS(TableTime[[Duration]:[Duration]],TableTime[[Week]:[Week]],$I39,TableTime[[Activity]:[Activity]],R$1)*24)</f>
        <v/>
      </c>
      <c r="S39" s="83" t="str">
        <f>IF(SUMIFS(TableTime[[Duration]:[Duration]],TableTime[[Week]:[Week]],$I39,TableTime[[Activity]:[Activity]],S$1)*24=0,"",SUMIFS(TableTime[[Duration]:[Duration]],TableTime[[Week]:[Week]],$I39,TableTime[[Activity]:[Activity]],S$1)*24)</f>
        <v/>
      </c>
      <c r="U39" s="191"/>
      <c r="V39" s="8">
        <f t="shared" si="3"/>
        <v>45180</v>
      </c>
      <c r="W39" s="8">
        <f t="shared" ref="W39:AB39" si="40">V39+1</f>
        <v>45181</v>
      </c>
      <c r="X39" s="8">
        <f t="shared" si="40"/>
        <v>45182</v>
      </c>
      <c r="Y39" s="8">
        <f t="shared" si="40"/>
        <v>45183</v>
      </c>
      <c r="Z39" s="8">
        <f t="shared" si="40"/>
        <v>45184</v>
      </c>
      <c r="AA39" s="8">
        <f t="shared" si="40"/>
        <v>45185</v>
      </c>
      <c r="AB39" s="8">
        <f t="shared" si="40"/>
        <v>45186</v>
      </c>
      <c r="AC39">
        <f t="shared" si="5"/>
        <v>37</v>
      </c>
    </row>
    <row r="40" spans="1:29" x14ac:dyDescent="0.35">
      <c r="A40" s="196"/>
      <c r="B40" s="18">
        <f>IF(V40="","",IF(VLOOKUP(V40,'Day summary'!$B$2:$E$367,4,FALSE)="",V40,CONCATENATE(DAY(V40)," (",VLOOKUP(V40,'Day summary'!$B$2:$E$367,4,FALSE),")")))</f>
        <v>45187</v>
      </c>
      <c r="C40" s="18">
        <f>IF(W40="","",IF(VLOOKUP(W40,'Day summary'!$B$2:$E$367,4,FALSE)="",W40,CONCATENATE(DAY(W40)," (",VLOOKUP(W40,'Day summary'!$B$2:$E$367,4,FALSE),")")))</f>
        <v>45188</v>
      </c>
      <c r="D40" s="18">
        <f>IF(X40="","",IF(VLOOKUP(X40,'Day summary'!$B$2:$E$367,4,FALSE)="",X40,CONCATENATE(DAY(X40)," (",VLOOKUP(X40,'Day summary'!$B$2:$E$367,4,FALSE),")")))</f>
        <v>45189</v>
      </c>
      <c r="E40" s="18">
        <f>IF(Y40="","",IF(VLOOKUP(Y40,'Day summary'!$B$2:$E$367,4,FALSE)="",Y40,CONCATENATE(DAY(Y40)," (",VLOOKUP(Y40,'Day summary'!$B$2:$E$367,4,FALSE),")")))</f>
        <v>45190</v>
      </c>
      <c r="F40" s="26">
        <f>IF(Z40="","",IF(VLOOKUP(Z40,'Day summary'!$B$2:$E$367,4,FALSE)="",Z40,CONCATENATE(DAY(Z40)," (",VLOOKUP(Z40,'Day summary'!$B$2:$E$367,4,FALSE),")")))</f>
        <v>45191</v>
      </c>
      <c r="G40" s="30">
        <f>IF(AA40="","",IF(VLOOKUP(AA40,'Day summary'!$B$2:$E$367,4,FALSE)="",AA40,CONCATENATE(DAY(AA40)," (",VLOOKUP(AA40,'Day summary'!$B$2:$E$367,4,FALSE),")")))</f>
        <v>45192</v>
      </c>
      <c r="H40" s="31">
        <f>IF(AB40="","",IF(VLOOKUP(AB40,'Day summary'!$B$2:$E$367,4,FALSE)="",AB40,CONCATENATE(DAY(AB40)," (",VLOOKUP(AB40,'Day summary'!$B$2:$E$367,4,FALSE),")")))</f>
        <v>45193</v>
      </c>
      <c r="I40" s="43">
        <f t="shared" si="0"/>
        <v>38</v>
      </c>
      <c r="J40" s="79" t="str">
        <f t="shared" si="1"/>
        <v/>
      </c>
      <c r="K40" s="79" t="str">
        <f ca="1">IF(J40="","",SUMIFS('Day summary'!$I$2:$I$367,'Day summary'!$D$2:$D$367,I40,'Day summary'!$B$2:$B$367,"&lt;"&amp;TODAY())*24-SUMIFS('Day summary'!$G$2:$G$367,'Day summary'!$D$2:$D$367,I40,'Day summary'!$B$2:$B$367,"&lt;"&amp;TODAY())*24)</f>
        <v/>
      </c>
      <c r="L40" s="80" t="str">
        <f>IF(SUMIFS(TableTime[[Duration]:[Duration]],TableTime[[Week]:[Week]],$I40,TableTime[[Activity]:[Activity]],L$1)*24=0,"",SUMIFS(TableTime[[Duration]:[Duration]],TableTime[[Week]:[Week]],$I40,TableTime[[Activity]:[Activity]],L$1)*24)</f>
        <v/>
      </c>
      <c r="M40" s="81" t="str">
        <f>IF(SUMIFS(TableTime[[Duration]:[Duration]],TableTime[[Week]:[Week]],$I40,TableTime[[Activity]:[Activity]],M$1)*24=0,"",SUMIFS(TableTime[[Duration]:[Duration]],TableTime[[Week]:[Week]],$I40,TableTime[[Activity]:[Activity]],M$1)*24)</f>
        <v/>
      </c>
      <c r="N40" s="81" t="str">
        <f>IF(SUMIFS(TableTime[[Duration]:[Duration]],TableTime[[Week]:[Week]],$I40,TableTime[[Activity]:[Activity]],N$1)*24=0,"",SUMIFS(TableTime[[Duration]:[Duration]],TableTime[[Week]:[Week]],$I40,TableTime[[Activity]:[Activity]],N$1)*24)</f>
        <v/>
      </c>
      <c r="O40" s="82" t="str">
        <f>IF(SUMIFS(TableTime[[Duration]:[Duration]],TableTime[[Week]:[Week]],$I40,TableTime[[Activity]:[Activity]],O$1)*24=0,"",SUMIFS(TableTime[[Duration]:[Duration]],TableTime[[Week]:[Week]],$I40,TableTime[[Activity]:[Activity]],O$1)*24)</f>
        <v/>
      </c>
      <c r="P40" s="82" t="str">
        <f>IF(SUMIFS(TableTime[[Duration]:[Duration]],TableTime[[Week]:[Week]],$I40,TableTime[[Activity]:[Activity]],P$1)*24=0,"",SUMIFS(TableTime[[Duration]:[Duration]],TableTime[[Week]:[Week]],$I40,TableTime[[Activity]:[Activity]],P$1)*24)</f>
        <v/>
      </c>
      <c r="Q40" s="83" t="str">
        <f>IF(SUMIFS(TableTime[[Duration]:[Duration]],TableTime[[Week]:[Week]],$I40,TableTime[[Activity]:[Activity]],Q$1)*24=0,"",SUMIFS(TableTime[[Duration]:[Duration]],TableTime[[Week]:[Week]],$I40,TableTime[[Activity]:[Activity]],Q$1)*24)</f>
        <v/>
      </c>
      <c r="R40" s="134" t="str">
        <f>IF(SUMIFS(TableTime[[Duration]:[Duration]],TableTime[[Week]:[Week]],$I40,TableTime[[Activity]:[Activity]],R$1)*24=0,"",SUMIFS(TableTime[[Duration]:[Duration]],TableTime[[Week]:[Week]],$I40,TableTime[[Activity]:[Activity]],R$1)*24)</f>
        <v/>
      </c>
      <c r="S40" s="83" t="str">
        <f>IF(SUMIFS(TableTime[[Duration]:[Duration]],TableTime[[Week]:[Week]],$I40,TableTime[[Activity]:[Activity]],S$1)*24=0,"",SUMIFS(TableTime[[Duration]:[Duration]],TableTime[[Week]:[Week]],$I40,TableTime[[Activity]:[Activity]],S$1)*24)</f>
        <v/>
      </c>
      <c r="U40" s="191"/>
      <c r="V40" s="8">
        <f t="shared" si="3"/>
        <v>45187</v>
      </c>
      <c r="W40" s="8">
        <f t="shared" ref="W40:AB40" si="41">V40+1</f>
        <v>45188</v>
      </c>
      <c r="X40" s="8">
        <f t="shared" si="41"/>
        <v>45189</v>
      </c>
      <c r="Y40" s="8">
        <f t="shared" si="41"/>
        <v>45190</v>
      </c>
      <c r="Z40" s="8">
        <f t="shared" si="41"/>
        <v>45191</v>
      </c>
      <c r="AA40" s="8">
        <f t="shared" si="41"/>
        <v>45192</v>
      </c>
      <c r="AB40" s="8">
        <f t="shared" si="41"/>
        <v>45193</v>
      </c>
      <c r="AC40">
        <f t="shared" si="5"/>
        <v>38</v>
      </c>
    </row>
    <row r="41" spans="1:29" x14ac:dyDescent="0.35">
      <c r="A41" s="197" t="s">
        <v>47</v>
      </c>
      <c r="B41" s="18">
        <f>IF(V41="","",IF(VLOOKUP(V41,'Day summary'!$B$2:$E$367,4,FALSE)="",V41,CONCATENATE(DAY(V41)," (",VLOOKUP(V41,'Day summary'!$B$2:$E$367,4,FALSE),")")))</f>
        <v>45194</v>
      </c>
      <c r="C41" s="18">
        <f>IF(W41="","",IF(VLOOKUP(W41,'Day summary'!$B$2:$E$367,4,FALSE)="",W41,CONCATENATE(DAY(W41)," (",VLOOKUP(W41,'Day summary'!$B$2:$E$367,4,FALSE),")")))</f>
        <v>45195</v>
      </c>
      <c r="D41" s="18">
        <f>IF(X41="","",IF(VLOOKUP(X41,'Day summary'!$B$2:$E$367,4,FALSE)="",X41,CONCATENATE(DAY(X41)," (",VLOOKUP(X41,'Day summary'!$B$2:$E$367,4,FALSE),")")))</f>
        <v>45196</v>
      </c>
      <c r="E41" s="18">
        <f>IF(Y41="","",IF(VLOOKUP(Y41,'Day summary'!$B$2:$E$367,4,FALSE)="",Y41,CONCATENATE(DAY(Y41)," (",VLOOKUP(Y41,'Day summary'!$B$2:$E$367,4,FALSE),")")))</f>
        <v>45197</v>
      </c>
      <c r="F41" s="26">
        <f>IF(Z41="","",IF(VLOOKUP(Z41,'Day summary'!$B$2:$E$367,4,FALSE)="",Z41,CONCATENATE(DAY(Z41)," (",VLOOKUP(Z41,'Day summary'!$B$2:$E$367,4,FALSE),")")))</f>
        <v>45198</v>
      </c>
      <c r="G41" s="30">
        <f>IF(AA41="","",IF(VLOOKUP(AA41,'Day summary'!$B$2:$E$367,4,FALSE)="",AA41,CONCATENATE(DAY(AA41)," (",VLOOKUP(AA41,'Day summary'!$B$2:$E$367,4,FALSE),")")))</f>
        <v>45199</v>
      </c>
      <c r="H41" s="31">
        <f>IF(AB41="","",IF(VLOOKUP(AB41,'Day summary'!$B$2:$E$367,4,FALSE)="",AB41,CONCATENATE(DAY(AB41)," (",VLOOKUP(AB41,'Day summary'!$B$2:$E$367,4,FALSE),")")))</f>
        <v>45200</v>
      </c>
      <c r="I41" s="43">
        <f t="shared" si="0"/>
        <v>39</v>
      </c>
      <c r="J41" s="79" t="str">
        <f t="shared" si="1"/>
        <v/>
      </c>
      <c r="K41" s="79" t="str">
        <f ca="1">IF(J41="","",SUMIFS('Day summary'!$I$2:$I$367,'Day summary'!$D$2:$D$367,I41,'Day summary'!$B$2:$B$367,"&lt;"&amp;TODAY())*24-SUMIFS('Day summary'!$G$2:$G$367,'Day summary'!$D$2:$D$367,I41,'Day summary'!$B$2:$B$367,"&lt;"&amp;TODAY())*24)</f>
        <v/>
      </c>
      <c r="L41" s="80" t="str">
        <f>IF(SUMIFS(TableTime[[Duration]:[Duration]],TableTime[[Week]:[Week]],$I41,TableTime[[Activity]:[Activity]],L$1)*24=0,"",SUMIFS(TableTime[[Duration]:[Duration]],TableTime[[Week]:[Week]],$I41,TableTime[[Activity]:[Activity]],L$1)*24)</f>
        <v/>
      </c>
      <c r="M41" s="81" t="str">
        <f>IF(SUMIFS(TableTime[[Duration]:[Duration]],TableTime[[Week]:[Week]],$I41,TableTime[[Activity]:[Activity]],M$1)*24=0,"",SUMIFS(TableTime[[Duration]:[Duration]],TableTime[[Week]:[Week]],$I41,TableTime[[Activity]:[Activity]],M$1)*24)</f>
        <v/>
      </c>
      <c r="N41" s="81" t="str">
        <f>IF(SUMIFS(TableTime[[Duration]:[Duration]],TableTime[[Week]:[Week]],$I41,TableTime[[Activity]:[Activity]],N$1)*24=0,"",SUMIFS(TableTime[[Duration]:[Duration]],TableTime[[Week]:[Week]],$I41,TableTime[[Activity]:[Activity]],N$1)*24)</f>
        <v/>
      </c>
      <c r="O41" s="82" t="str">
        <f>IF(SUMIFS(TableTime[[Duration]:[Duration]],TableTime[[Week]:[Week]],$I41,TableTime[[Activity]:[Activity]],O$1)*24=0,"",SUMIFS(TableTime[[Duration]:[Duration]],TableTime[[Week]:[Week]],$I41,TableTime[[Activity]:[Activity]],O$1)*24)</f>
        <v/>
      </c>
      <c r="P41" s="82" t="str">
        <f>IF(SUMIFS(TableTime[[Duration]:[Duration]],TableTime[[Week]:[Week]],$I41,TableTime[[Activity]:[Activity]],P$1)*24=0,"",SUMIFS(TableTime[[Duration]:[Duration]],TableTime[[Week]:[Week]],$I41,TableTime[[Activity]:[Activity]],P$1)*24)</f>
        <v/>
      </c>
      <c r="Q41" s="83" t="str">
        <f>IF(SUMIFS(TableTime[[Duration]:[Duration]],TableTime[[Week]:[Week]],$I41,TableTime[[Activity]:[Activity]],Q$1)*24=0,"",SUMIFS(TableTime[[Duration]:[Duration]],TableTime[[Week]:[Week]],$I41,TableTime[[Activity]:[Activity]],Q$1)*24)</f>
        <v/>
      </c>
      <c r="R41" s="134" t="str">
        <f>IF(SUMIFS(TableTime[[Duration]:[Duration]],TableTime[[Week]:[Week]],$I41,TableTime[[Activity]:[Activity]],R$1)*24=0,"",SUMIFS(TableTime[[Duration]:[Duration]],TableTime[[Week]:[Week]],$I41,TableTime[[Activity]:[Activity]],R$1)*24)</f>
        <v/>
      </c>
      <c r="S41" s="83" t="str">
        <f>IF(SUMIFS(TableTime[[Duration]:[Duration]],TableTime[[Week]:[Week]],$I41,TableTime[[Activity]:[Activity]],S$1)*24=0,"",SUMIFS(TableTime[[Duration]:[Duration]],TableTime[[Week]:[Week]],$I41,TableTime[[Activity]:[Activity]],S$1)*24)</f>
        <v/>
      </c>
      <c r="U41" s="191" t="s">
        <v>48</v>
      </c>
      <c r="V41" s="8">
        <f t="shared" si="3"/>
        <v>45194</v>
      </c>
      <c r="W41" s="8">
        <f t="shared" ref="W41:AB41" si="42">V41+1</f>
        <v>45195</v>
      </c>
      <c r="X41" s="8">
        <f t="shared" si="42"/>
        <v>45196</v>
      </c>
      <c r="Y41" s="8">
        <f t="shared" si="42"/>
        <v>45197</v>
      </c>
      <c r="Z41" s="8">
        <f t="shared" si="42"/>
        <v>45198</v>
      </c>
      <c r="AA41" s="8">
        <f t="shared" si="42"/>
        <v>45199</v>
      </c>
      <c r="AB41" s="8">
        <f t="shared" si="42"/>
        <v>45200</v>
      </c>
      <c r="AC41">
        <f t="shared" si="5"/>
        <v>39</v>
      </c>
    </row>
    <row r="42" spans="1:29" x14ac:dyDescent="0.35">
      <c r="A42" s="197"/>
      <c r="B42" s="18">
        <f>IF(V42="","",IF(VLOOKUP(V42,'Day summary'!$B$2:$E$367,4,FALSE)="",V42,CONCATENATE(DAY(V42)," (",VLOOKUP(V42,'Day summary'!$B$2:$E$367,4,FALSE),")")))</f>
        <v>45201</v>
      </c>
      <c r="C42" s="18">
        <f>IF(W42="","",IF(VLOOKUP(W42,'Day summary'!$B$2:$E$367,4,FALSE)="",W42,CONCATENATE(DAY(W42)," (",VLOOKUP(W42,'Day summary'!$B$2:$E$367,4,FALSE),")")))</f>
        <v>45202</v>
      </c>
      <c r="D42" s="18">
        <f>IF(X42="","",IF(VLOOKUP(X42,'Day summary'!$B$2:$E$367,4,FALSE)="",X42,CONCATENATE(DAY(X42)," (",VLOOKUP(X42,'Day summary'!$B$2:$E$367,4,FALSE),")")))</f>
        <v>45203</v>
      </c>
      <c r="E42" s="18">
        <f>IF(Y42="","",IF(VLOOKUP(Y42,'Day summary'!$B$2:$E$367,4,FALSE)="",Y42,CONCATENATE(DAY(Y42)," (",VLOOKUP(Y42,'Day summary'!$B$2:$E$367,4,FALSE),")")))</f>
        <v>45204</v>
      </c>
      <c r="F42" s="26">
        <f>IF(Z42="","",IF(VLOOKUP(Z42,'Day summary'!$B$2:$E$367,4,FALSE)="",Z42,CONCATENATE(DAY(Z42)," (",VLOOKUP(Z42,'Day summary'!$B$2:$E$367,4,FALSE),")")))</f>
        <v>45205</v>
      </c>
      <c r="G42" s="30">
        <f>IF(AA42="","",IF(VLOOKUP(AA42,'Day summary'!$B$2:$E$367,4,FALSE)="",AA42,CONCATENATE(DAY(AA42)," (",VLOOKUP(AA42,'Day summary'!$B$2:$E$367,4,FALSE),")")))</f>
        <v>45206</v>
      </c>
      <c r="H42" s="31">
        <f>IF(AB42="","",IF(VLOOKUP(AB42,'Day summary'!$B$2:$E$367,4,FALSE)="",AB42,CONCATENATE(DAY(AB42)," (",VLOOKUP(AB42,'Day summary'!$B$2:$E$367,4,FALSE),")")))</f>
        <v>45207</v>
      </c>
      <c r="I42" s="43">
        <f t="shared" si="0"/>
        <v>40</v>
      </c>
      <c r="J42" s="79" t="str">
        <f t="shared" si="1"/>
        <v/>
      </c>
      <c r="K42" s="79" t="str">
        <f ca="1">IF(J42="","",SUMIFS('Day summary'!$I$2:$I$367,'Day summary'!$D$2:$D$367,I42,'Day summary'!$B$2:$B$367,"&lt;"&amp;TODAY())*24-SUMIFS('Day summary'!$G$2:$G$367,'Day summary'!$D$2:$D$367,I42,'Day summary'!$B$2:$B$367,"&lt;"&amp;TODAY())*24)</f>
        <v/>
      </c>
      <c r="L42" s="80" t="str">
        <f>IF(SUMIFS(TableTime[[Duration]:[Duration]],TableTime[[Week]:[Week]],$I42,TableTime[[Activity]:[Activity]],L$1)*24=0,"",SUMIFS(TableTime[[Duration]:[Duration]],TableTime[[Week]:[Week]],$I42,TableTime[[Activity]:[Activity]],L$1)*24)</f>
        <v/>
      </c>
      <c r="M42" s="81" t="str">
        <f>IF(SUMIFS(TableTime[[Duration]:[Duration]],TableTime[[Week]:[Week]],$I42,TableTime[[Activity]:[Activity]],M$1)*24=0,"",SUMIFS(TableTime[[Duration]:[Duration]],TableTime[[Week]:[Week]],$I42,TableTime[[Activity]:[Activity]],M$1)*24)</f>
        <v/>
      </c>
      <c r="N42" s="81" t="str">
        <f>IF(SUMIFS(TableTime[[Duration]:[Duration]],TableTime[[Week]:[Week]],$I42,TableTime[[Activity]:[Activity]],N$1)*24=0,"",SUMIFS(TableTime[[Duration]:[Duration]],TableTime[[Week]:[Week]],$I42,TableTime[[Activity]:[Activity]],N$1)*24)</f>
        <v/>
      </c>
      <c r="O42" s="82" t="str">
        <f>IF(SUMIFS(TableTime[[Duration]:[Duration]],TableTime[[Week]:[Week]],$I42,TableTime[[Activity]:[Activity]],O$1)*24=0,"",SUMIFS(TableTime[[Duration]:[Duration]],TableTime[[Week]:[Week]],$I42,TableTime[[Activity]:[Activity]],O$1)*24)</f>
        <v/>
      </c>
      <c r="P42" s="82" t="str">
        <f>IF(SUMIFS(TableTime[[Duration]:[Duration]],TableTime[[Week]:[Week]],$I42,TableTime[[Activity]:[Activity]],P$1)*24=0,"",SUMIFS(TableTime[[Duration]:[Duration]],TableTime[[Week]:[Week]],$I42,TableTime[[Activity]:[Activity]],P$1)*24)</f>
        <v/>
      </c>
      <c r="Q42" s="83" t="str">
        <f>IF(SUMIFS(TableTime[[Duration]:[Duration]],TableTime[[Week]:[Week]],$I42,TableTime[[Activity]:[Activity]],Q$1)*24=0,"",SUMIFS(TableTime[[Duration]:[Duration]],TableTime[[Week]:[Week]],$I42,TableTime[[Activity]:[Activity]],Q$1)*24)</f>
        <v/>
      </c>
      <c r="R42" s="134" t="str">
        <f>IF(SUMIFS(TableTime[[Duration]:[Duration]],TableTime[[Week]:[Week]],$I42,TableTime[[Activity]:[Activity]],R$1)*24=0,"",SUMIFS(TableTime[[Duration]:[Duration]],TableTime[[Week]:[Week]],$I42,TableTime[[Activity]:[Activity]],R$1)*24)</f>
        <v/>
      </c>
      <c r="S42" s="83" t="str">
        <f>IF(SUMIFS(TableTime[[Duration]:[Duration]],TableTime[[Week]:[Week]],$I42,TableTime[[Activity]:[Activity]],S$1)*24=0,"",SUMIFS(TableTime[[Duration]:[Duration]],TableTime[[Week]:[Week]],$I42,TableTime[[Activity]:[Activity]],S$1)*24)</f>
        <v/>
      </c>
      <c r="U42" s="191"/>
      <c r="V42" s="8">
        <f t="shared" si="3"/>
        <v>45201</v>
      </c>
      <c r="W42" s="8">
        <f t="shared" ref="W42:AB42" si="43">V42+1</f>
        <v>45202</v>
      </c>
      <c r="X42" s="8">
        <f t="shared" si="43"/>
        <v>45203</v>
      </c>
      <c r="Y42" s="8">
        <f t="shared" si="43"/>
        <v>45204</v>
      </c>
      <c r="Z42" s="8">
        <f t="shared" si="43"/>
        <v>45205</v>
      </c>
      <c r="AA42" s="8">
        <f t="shared" si="43"/>
        <v>45206</v>
      </c>
      <c r="AB42" s="8">
        <f t="shared" si="43"/>
        <v>45207</v>
      </c>
      <c r="AC42">
        <f t="shared" si="5"/>
        <v>40</v>
      </c>
    </row>
    <row r="43" spans="1:29" x14ac:dyDescent="0.35">
      <c r="A43" s="197"/>
      <c r="B43" s="18">
        <f>IF(V43="","",IF(VLOOKUP(V43,'Day summary'!$B$2:$E$367,4,FALSE)="",V43,CONCATENATE(DAY(V43)," (",VLOOKUP(V43,'Day summary'!$B$2:$E$367,4,FALSE),")")))</f>
        <v>45208</v>
      </c>
      <c r="C43" s="18">
        <f>IF(W43="","",IF(VLOOKUP(W43,'Day summary'!$B$2:$E$367,4,FALSE)="",W43,CONCATENATE(DAY(W43)," (",VLOOKUP(W43,'Day summary'!$B$2:$E$367,4,FALSE),")")))</f>
        <v>45209</v>
      </c>
      <c r="D43" s="18">
        <f>IF(X43="","",IF(VLOOKUP(X43,'Day summary'!$B$2:$E$367,4,FALSE)="",X43,CONCATENATE(DAY(X43)," (",VLOOKUP(X43,'Day summary'!$B$2:$E$367,4,FALSE),")")))</f>
        <v>45210</v>
      </c>
      <c r="E43" s="18">
        <f>IF(Y43="","",IF(VLOOKUP(Y43,'Day summary'!$B$2:$E$367,4,FALSE)="",Y43,CONCATENATE(DAY(Y43)," (",VLOOKUP(Y43,'Day summary'!$B$2:$E$367,4,FALSE),")")))</f>
        <v>45211</v>
      </c>
      <c r="F43" s="26">
        <f>IF(Z43="","",IF(VLOOKUP(Z43,'Day summary'!$B$2:$E$367,4,FALSE)="",Z43,CONCATENATE(DAY(Z43)," (",VLOOKUP(Z43,'Day summary'!$B$2:$E$367,4,FALSE),")")))</f>
        <v>45212</v>
      </c>
      <c r="G43" s="30">
        <f>IF(AA43="","",IF(VLOOKUP(AA43,'Day summary'!$B$2:$E$367,4,FALSE)="",AA43,CONCATENATE(DAY(AA43)," (",VLOOKUP(AA43,'Day summary'!$B$2:$E$367,4,FALSE),")")))</f>
        <v>45213</v>
      </c>
      <c r="H43" s="31">
        <f>IF(AB43="","",IF(VLOOKUP(AB43,'Day summary'!$B$2:$E$367,4,FALSE)="",AB43,CONCATENATE(DAY(AB43)," (",VLOOKUP(AB43,'Day summary'!$B$2:$E$367,4,FALSE),")")))</f>
        <v>45214</v>
      </c>
      <c r="I43" s="43">
        <f t="shared" si="0"/>
        <v>41</v>
      </c>
      <c r="J43" s="79" t="str">
        <f t="shared" si="1"/>
        <v/>
      </c>
      <c r="K43" s="79" t="str">
        <f ca="1">IF(J43="","",SUMIFS('Day summary'!$I$2:$I$367,'Day summary'!$D$2:$D$367,I43,'Day summary'!$B$2:$B$367,"&lt;"&amp;TODAY())*24-SUMIFS('Day summary'!$G$2:$G$367,'Day summary'!$D$2:$D$367,I43,'Day summary'!$B$2:$B$367,"&lt;"&amp;TODAY())*24)</f>
        <v/>
      </c>
      <c r="L43" s="80" t="str">
        <f>IF(SUMIFS(TableTime[[Duration]:[Duration]],TableTime[[Week]:[Week]],$I43,TableTime[[Activity]:[Activity]],L$1)*24=0,"",SUMIFS(TableTime[[Duration]:[Duration]],TableTime[[Week]:[Week]],$I43,TableTime[[Activity]:[Activity]],L$1)*24)</f>
        <v/>
      </c>
      <c r="M43" s="81" t="str">
        <f>IF(SUMIFS(TableTime[[Duration]:[Duration]],TableTime[[Week]:[Week]],$I43,TableTime[[Activity]:[Activity]],M$1)*24=0,"",SUMIFS(TableTime[[Duration]:[Duration]],TableTime[[Week]:[Week]],$I43,TableTime[[Activity]:[Activity]],M$1)*24)</f>
        <v/>
      </c>
      <c r="N43" s="81" t="str">
        <f>IF(SUMIFS(TableTime[[Duration]:[Duration]],TableTime[[Week]:[Week]],$I43,TableTime[[Activity]:[Activity]],N$1)*24=0,"",SUMIFS(TableTime[[Duration]:[Duration]],TableTime[[Week]:[Week]],$I43,TableTime[[Activity]:[Activity]],N$1)*24)</f>
        <v/>
      </c>
      <c r="O43" s="82" t="str">
        <f>IF(SUMIFS(TableTime[[Duration]:[Duration]],TableTime[[Week]:[Week]],$I43,TableTime[[Activity]:[Activity]],O$1)*24=0,"",SUMIFS(TableTime[[Duration]:[Duration]],TableTime[[Week]:[Week]],$I43,TableTime[[Activity]:[Activity]],O$1)*24)</f>
        <v/>
      </c>
      <c r="P43" s="82" t="str">
        <f>IF(SUMIFS(TableTime[[Duration]:[Duration]],TableTime[[Week]:[Week]],$I43,TableTime[[Activity]:[Activity]],P$1)*24=0,"",SUMIFS(TableTime[[Duration]:[Duration]],TableTime[[Week]:[Week]],$I43,TableTime[[Activity]:[Activity]],P$1)*24)</f>
        <v/>
      </c>
      <c r="Q43" s="83" t="str">
        <f>IF(SUMIFS(TableTime[[Duration]:[Duration]],TableTime[[Week]:[Week]],$I43,TableTime[[Activity]:[Activity]],Q$1)*24=0,"",SUMIFS(TableTime[[Duration]:[Duration]],TableTime[[Week]:[Week]],$I43,TableTime[[Activity]:[Activity]],Q$1)*24)</f>
        <v/>
      </c>
      <c r="R43" s="134" t="str">
        <f>IF(SUMIFS(TableTime[[Duration]:[Duration]],TableTime[[Week]:[Week]],$I43,TableTime[[Activity]:[Activity]],R$1)*24=0,"",SUMIFS(TableTime[[Duration]:[Duration]],TableTime[[Week]:[Week]],$I43,TableTime[[Activity]:[Activity]],R$1)*24)</f>
        <v/>
      </c>
      <c r="S43" s="83" t="str">
        <f>IF(SUMIFS(TableTime[[Duration]:[Duration]],TableTime[[Week]:[Week]],$I43,TableTime[[Activity]:[Activity]],S$1)*24=0,"",SUMIFS(TableTime[[Duration]:[Duration]],TableTime[[Week]:[Week]],$I43,TableTime[[Activity]:[Activity]],S$1)*24)</f>
        <v/>
      </c>
      <c r="U43" s="191"/>
      <c r="V43" s="8">
        <f t="shared" si="3"/>
        <v>45208</v>
      </c>
      <c r="W43" s="8">
        <f t="shared" ref="W43:AB43" si="44">V43+1</f>
        <v>45209</v>
      </c>
      <c r="X43" s="8">
        <f t="shared" si="44"/>
        <v>45210</v>
      </c>
      <c r="Y43" s="8">
        <f t="shared" si="44"/>
        <v>45211</v>
      </c>
      <c r="Z43" s="8">
        <f t="shared" si="44"/>
        <v>45212</v>
      </c>
      <c r="AA43" s="8">
        <f t="shared" si="44"/>
        <v>45213</v>
      </c>
      <c r="AB43" s="8">
        <f t="shared" si="44"/>
        <v>45214</v>
      </c>
      <c r="AC43">
        <f t="shared" si="5"/>
        <v>41</v>
      </c>
    </row>
    <row r="44" spans="1:29" x14ac:dyDescent="0.35">
      <c r="A44" s="197"/>
      <c r="B44" s="18">
        <f>IF(V44="","",IF(VLOOKUP(V44,'Day summary'!$B$2:$E$367,4,FALSE)="",V44,CONCATENATE(DAY(V44)," (",VLOOKUP(V44,'Day summary'!$B$2:$E$367,4,FALSE),")")))</f>
        <v>45215</v>
      </c>
      <c r="C44" s="18">
        <f>IF(W44="","",IF(VLOOKUP(W44,'Day summary'!$B$2:$E$367,4,FALSE)="",W44,CONCATENATE(DAY(W44)," (",VLOOKUP(W44,'Day summary'!$B$2:$E$367,4,FALSE),")")))</f>
        <v>45216</v>
      </c>
      <c r="D44" s="18">
        <f>IF(X44="","",IF(VLOOKUP(X44,'Day summary'!$B$2:$E$367,4,FALSE)="",X44,CONCATENATE(DAY(X44)," (",VLOOKUP(X44,'Day summary'!$B$2:$E$367,4,FALSE),")")))</f>
        <v>45217</v>
      </c>
      <c r="E44" s="18">
        <f>IF(Y44="","",IF(VLOOKUP(Y44,'Day summary'!$B$2:$E$367,4,FALSE)="",Y44,CONCATENATE(DAY(Y44)," (",VLOOKUP(Y44,'Day summary'!$B$2:$E$367,4,FALSE),")")))</f>
        <v>45218</v>
      </c>
      <c r="F44" s="26">
        <f>IF(Z44="","",IF(VLOOKUP(Z44,'Day summary'!$B$2:$E$367,4,FALSE)="",Z44,CONCATENATE(DAY(Z44)," (",VLOOKUP(Z44,'Day summary'!$B$2:$E$367,4,FALSE),")")))</f>
        <v>45219</v>
      </c>
      <c r="G44" s="30">
        <f>IF(AA44="","",IF(VLOOKUP(AA44,'Day summary'!$B$2:$E$367,4,FALSE)="",AA44,CONCATENATE(DAY(AA44)," (",VLOOKUP(AA44,'Day summary'!$B$2:$E$367,4,FALSE),")")))</f>
        <v>45220</v>
      </c>
      <c r="H44" s="31">
        <f>IF(AB44="","",IF(VLOOKUP(AB44,'Day summary'!$B$2:$E$367,4,FALSE)="",AB44,CONCATENATE(DAY(AB44)," (",VLOOKUP(AB44,'Day summary'!$B$2:$E$367,4,FALSE),")")))</f>
        <v>45221</v>
      </c>
      <c r="I44" s="43">
        <f t="shared" si="0"/>
        <v>42</v>
      </c>
      <c r="J44" s="79" t="str">
        <f t="shared" si="1"/>
        <v/>
      </c>
      <c r="K44" s="79" t="str">
        <f ca="1">IF(J44="","",SUMIFS('Day summary'!$I$2:$I$367,'Day summary'!$D$2:$D$367,I44,'Day summary'!$B$2:$B$367,"&lt;"&amp;TODAY())*24-SUMIFS('Day summary'!$G$2:$G$367,'Day summary'!$D$2:$D$367,I44,'Day summary'!$B$2:$B$367,"&lt;"&amp;TODAY())*24)</f>
        <v/>
      </c>
      <c r="L44" s="80" t="str">
        <f>IF(SUMIFS(TableTime[[Duration]:[Duration]],TableTime[[Week]:[Week]],$I44,TableTime[[Activity]:[Activity]],L$1)*24=0,"",SUMIFS(TableTime[[Duration]:[Duration]],TableTime[[Week]:[Week]],$I44,TableTime[[Activity]:[Activity]],L$1)*24)</f>
        <v/>
      </c>
      <c r="M44" s="81" t="str">
        <f>IF(SUMIFS(TableTime[[Duration]:[Duration]],TableTime[[Week]:[Week]],$I44,TableTime[[Activity]:[Activity]],M$1)*24=0,"",SUMIFS(TableTime[[Duration]:[Duration]],TableTime[[Week]:[Week]],$I44,TableTime[[Activity]:[Activity]],M$1)*24)</f>
        <v/>
      </c>
      <c r="N44" s="81" t="str">
        <f>IF(SUMIFS(TableTime[[Duration]:[Duration]],TableTime[[Week]:[Week]],$I44,TableTime[[Activity]:[Activity]],N$1)*24=0,"",SUMIFS(TableTime[[Duration]:[Duration]],TableTime[[Week]:[Week]],$I44,TableTime[[Activity]:[Activity]],N$1)*24)</f>
        <v/>
      </c>
      <c r="O44" s="82" t="str">
        <f>IF(SUMIFS(TableTime[[Duration]:[Duration]],TableTime[[Week]:[Week]],$I44,TableTime[[Activity]:[Activity]],O$1)*24=0,"",SUMIFS(TableTime[[Duration]:[Duration]],TableTime[[Week]:[Week]],$I44,TableTime[[Activity]:[Activity]],O$1)*24)</f>
        <v/>
      </c>
      <c r="P44" s="82" t="str">
        <f>IF(SUMIFS(TableTime[[Duration]:[Duration]],TableTime[[Week]:[Week]],$I44,TableTime[[Activity]:[Activity]],P$1)*24=0,"",SUMIFS(TableTime[[Duration]:[Duration]],TableTime[[Week]:[Week]],$I44,TableTime[[Activity]:[Activity]],P$1)*24)</f>
        <v/>
      </c>
      <c r="Q44" s="83" t="str">
        <f>IF(SUMIFS(TableTime[[Duration]:[Duration]],TableTime[[Week]:[Week]],$I44,TableTime[[Activity]:[Activity]],Q$1)*24=0,"",SUMIFS(TableTime[[Duration]:[Duration]],TableTime[[Week]:[Week]],$I44,TableTime[[Activity]:[Activity]],Q$1)*24)</f>
        <v/>
      </c>
      <c r="R44" s="134" t="str">
        <f>IF(SUMIFS(TableTime[[Duration]:[Duration]],TableTime[[Week]:[Week]],$I44,TableTime[[Activity]:[Activity]],R$1)*24=0,"",SUMIFS(TableTime[[Duration]:[Duration]],TableTime[[Week]:[Week]],$I44,TableTime[[Activity]:[Activity]],R$1)*24)</f>
        <v/>
      </c>
      <c r="S44" s="83" t="str">
        <f>IF(SUMIFS(TableTime[[Duration]:[Duration]],TableTime[[Week]:[Week]],$I44,TableTime[[Activity]:[Activity]],S$1)*24=0,"",SUMIFS(TableTime[[Duration]:[Duration]],TableTime[[Week]:[Week]],$I44,TableTime[[Activity]:[Activity]],S$1)*24)</f>
        <v/>
      </c>
      <c r="U44" s="191"/>
      <c r="V44" s="8">
        <f t="shared" si="3"/>
        <v>45215</v>
      </c>
      <c r="W44" s="8">
        <f t="shared" ref="W44:AB44" si="45">V44+1</f>
        <v>45216</v>
      </c>
      <c r="X44" s="8">
        <f t="shared" si="45"/>
        <v>45217</v>
      </c>
      <c r="Y44" s="8">
        <f t="shared" si="45"/>
        <v>45218</v>
      </c>
      <c r="Z44" s="8">
        <f t="shared" si="45"/>
        <v>45219</v>
      </c>
      <c r="AA44" s="8">
        <f t="shared" si="45"/>
        <v>45220</v>
      </c>
      <c r="AB44" s="8">
        <f t="shared" si="45"/>
        <v>45221</v>
      </c>
      <c r="AC44">
        <f t="shared" si="5"/>
        <v>42</v>
      </c>
    </row>
    <row r="45" spans="1:29" x14ac:dyDescent="0.35">
      <c r="A45" s="197"/>
      <c r="B45" s="18">
        <f>IF(V45="","",IF(VLOOKUP(V45,'Day summary'!$B$2:$E$367,4,FALSE)="",V45,CONCATENATE(DAY(V45)," (",VLOOKUP(V45,'Day summary'!$B$2:$E$367,4,FALSE),")")))</f>
        <v>45222</v>
      </c>
      <c r="C45" s="18">
        <f>IF(W45="","",IF(VLOOKUP(W45,'Day summary'!$B$2:$E$367,4,FALSE)="",W45,CONCATENATE(DAY(W45)," (",VLOOKUP(W45,'Day summary'!$B$2:$E$367,4,FALSE),")")))</f>
        <v>45223</v>
      </c>
      <c r="D45" s="18">
        <f>IF(X45="","",IF(VLOOKUP(X45,'Day summary'!$B$2:$E$367,4,FALSE)="",X45,CONCATENATE(DAY(X45)," (",VLOOKUP(X45,'Day summary'!$B$2:$E$367,4,FALSE),")")))</f>
        <v>45224</v>
      </c>
      <c r="E45" s="18">
        <f>IF(Y45="","",IF(VLOOKUP(Y45,'Day summary'!$B$2:$E$367,4,FALSE)="",Y45,CONCATENATE(DAY(Y45)," (",VLOOKUP(Y45,'Day summary'!$B$2:$E$367,4,FALSE),")")))</f>
        <v>45225</v>
      </c>
      <c r="F45" s="26">
        <f>IF(Z45="","",IF(VLOOKUP(Z45,'Day summary'!$B$2:$E$367,4,FALSE)="",Z45,CONCATENATE(DAY(Z45)," (",VLOOKUP(Z45,'Day summary'!$B$2:$E$367,4,FALSE),")")))</f>
        <v>45226</v>
      </c>
      <c r="G45" s="30">
        <f>IF(AA45="","",IF(VLOOKUP(AA45,'Day summary'!$B$2:$E$367,4,FALSE)="",AA45,CONCATENATE(DAY(AA45)," (",VLOOKUP(AA45,'Day summary'!$B$2:$E$367,4,FALSE),")")))</f>
        <v>45227</v>
      </c>
      <c r="H45" s="31">
        <f>IF(AB45="","",IF(VLOOKUP(AB45,'Day summary'!$B$2:$E$367,4,FALSE)="",AB45,CONCATENATE(DAY(AB45)," (",VLOOKUP(AB45,'Day summary'!$B$2:$E$367,4,FALSE),")")))</f>
        <v>45228</v>
      </c>
      <c r="I45" s="43">
        <f t="shared" si="0"/>
        <v>43</v>
      </c>
      <c r="J45" s="79" t="str">
        <f t="shared" si="1"/>
        <v/>
      </c>
      <c r="K45" s="79" t="str">
        <f ca="1">IF(J45="","",SUMIFS('Day summary'!$I$2:$I$367,'Day summary'!$D$2:$D$367,I45,'Day summary'!$B$2:$B$367,"&lt;"&amp;TODAY())*24-SUMIFS('Day summary'!$G$2:$G$367,'Day summary'!$D$2:$D$367,I45,'Day summary'!$B$2:$B$367,"&lt;"&amp;TODAY())*24)</f>
        <v/>
      </c>
      <c r="L45" s="80" t="str">
        <f>IF(SUMIFS(TableTime[[Duration]:[Duration]],TableTime[[Week]:[Week]],$I45,TableTime[[Activity]:[Activity]],L$1)*24=0,"",SUMIFS(TableTime[[Duration]:[Duration]],TableTime[[Week]:[Week]],$I45,TableTime[[Activity]:[Activity]],L$1)*24)</f>
        <v/>
      </c>
      <c r="M45" s="81" t="str">
        <f>IF(SUMIFS(TableTime[[Duration]:[Duration]],TableTime[[Week]:[Week]],$I45,TableTime[[Activity]:[Activity]],M$1)*24=0,"",SUMIFS(TableTime[[Duration]:[Duration]],TableTime[[Week]:[Week]],$I45,TableTime[[Activity]:[Activity]],M$1)*24)</f>
        <v/>
      </c>
      <c r="N45" s="81" t="str">
        <f>IF(SUMIFS(TableTime[[Duration]:[Duration]],TableTime[[Week]:[Week]],$I45,TableTime[[Activity]:[Activity]],N$1)*24=0,"",SUMIFS(TableTime[[Duration]:[Duration]],TableTime[[Week]:[Week]],$I45,TableTime[[Activity]:[Activity]],N$1)*24)</f>
        <v/>
      </c>
      <c r="O45" s="82" t="str">
        <f>IF(SUMIFS(TableTime[[Duration]:[Duration]],TableTime[[Week]:[Week]],$I45,TableTime[[Activity]:[Activity]],O$1)*24=0,"",SUMIFS(TableTime[[Duration]:[Duration]],TableTime[[Week]:[Week]],$I45,TableTime[[Activity]:[Activity]],O$1)*24)</f>
        <v/>
      </c>
      <c r="P45" s="82" t="str">
        <f>IF(SUMIFS(TableTime[[Duration]:[Duration]],TableTime[[Week]:[Week]],$I45,TableTime[[Activity]:[Activity]],P$1)*24=0,"",SUMIFS(TableTime[[Duration]:[Duration]],TableTime[[Week]:[Week]],$I45,TableTime[[Activity]:[Activity]],P$1)*24)</f>
        <v/>
      </c>
      <c r="Q45" s="83" t="str">
        <f>IF(SUMIFS(TableTime[[Duration]:[Duration]],TableTime[[Week]:[Week]],$I45,TableTime[[Activity]:[Activity]],Q$1)*24=0,"",SUMIFS(TableTime[[Duration]:[Duration]],TableTime[[Week]:[Week]],$I45,TableTime[[Activity]:[Activity]],Q$1)*24)</f>
        <v/>
      </c>
      <c r="R45" s="134" t="str">
        <f>IF(SUMIFS(TableTime[[Duration]:[Duration]],TableTime[[Week]:[Week]],$I45,TableTime[[Activity]:[Activity]],R$1)*24=0,"",SUMIFS(TableTime[[Duration]:[Duration]],TableTime[[Week]:[Week]],$I45,TableTime[[Activity]:[Activity]],R$1)*24)</f>
        <v/>
      </c>
      <c r="S45" s="83" t="str">
        <f>IF(SUMIFS(TableTime[[Duration]:[Duration]],TableTime[[Week]:[Week]],$I45,TableTime[[Activity]:[Activity]],S$1)*24=0,"",SUMIFS(TableTime[[Duration]:[Duration]],TableTime[[Week]:[Week]],$I45,TableTime[[Activity]:[Activity]],S$1)*24)</f>
        <v/>
      </c>
      <c r="U45" s="191"/>
      <c r="V45" s="8">
        <f t="shared" si="3"/>
        <v>45222</v>
      </c>
      <c r="W45" s="8">
        <f t="shared" ref="W45:AB45" si="46">V45+1</f>
        <v>45223</v>
      </c>
      <c r="X45" s="8">
        <f t="shared" si="46"/>
        <v>45224</v>
      </c>
      <c r="Y45" s="8">
        <f t="shared" si="46"/>
        <v>45225</v>
      </c>
      <c r="Z45" s="8">
        <f t="shared" si="46"/>
        <v>45226</v>
      </c>
      <c r="AA45" s="8">
        <f t="shared" si="46"/>
        <v>45227</v>
      </c>
      <c r="AB45" s="8">
        <f t="shared" si="46"/>
        <v>45228</v>
      </c>
      <c r="AC45">
        <f t="shared" si="5"/>
        <v>43</v>
      </c>
    </row>
    <row r="46" spans="1:29" x14ac:dyDescent="0.35">
      <c r="A46" s="193" t="s">
        <v>49</v>
      </c>
      <c r="B46" s="18">
        <f>IF(V46="","",IF(VLOOKUP(V46,'Day summary'!$B$2:$E$367,4,FALSE)="",V46,CONCATENATE(DAY(V46)," (",VLOOKUP(V46,'Day summary'!$B$2:$E$367,4,FALSE),")")))</f>
        <v>45229</v>
      </c>
      <c r="C46" s="18">
        <f>IF(W46="","",IF(VLOOKUP(W46,'Day summary'!$B$2:$E$367,4,FALSE)="",W46,CONCATENATE(DAY(W46)," (",VLOOKUP(W46,'Day summary'!$B$2:$E$367,4,FALSE),")")))</f>
        <v>45230</v>
      </c>
      <c r="D46" s="18">
        <f>IF(X46="","",IF(VLOOKUP(X46,'Day summary'!$B$2:$E$367,4,FALSE)="",X46,CONCATENATE(DAY(X46)," (",VLOOKUP(X46,'Day summary'!$B$2:$E$367,4,FALSE),")")))</f>
        <v>45231</v>
      </c>
      <c r="E46" s="18">
        <f>IF(Y46="","",IF(VLOOKUP(Y46,'Day summary'!$B$2:$E$367,4,FALSE)="",Y46,CONCATENATE(DAY(Y46)," (",VLOOKUP(Y46,'Day summary'!$B$2:$E$367,4,FALSE),")")))</f>
        <v>45232</v>
      </c>
      <c r="F46" s="26">
        <f>IF(Z46="","",IF(VLOOKUP(Z46,'Day summary'!$B$2:$E$367,4,FALSE)="",Z46,CONCATENATE(DAY(Z46)," (",VLOOKUP(Z46,'Day summary'!$B$2:$E$367,4,FALSE),")")))</f>
        <v>45233</v>
      </c>
      <c r="G46" s="30">
        <f>IF(AA46="","",IF(VLOOKUP(AA46,'Day summary'!$B$2:$E$367,4,FALSE)="",AA46,CONCATENATE(DAY(AA46)," (",VLOOKUP(AA46,'Day summary'!$B$2:$E$367,4,FALSE),")")))</f>
        <v>45234</v>
      </c>
      <c r="H46" s="31">
        <f>IF(AB46="","",IF(VLOOKUP(AB46,'Day summary'!$B$2:$E$367,4,FALSE)="",AB46,CONCATENATE(DAY(AB46)," (",VLOOKUP(AB46,'Day summary'!$B$2:$E$367,4,FALSE),")")))</f>
        <v>45235</v>
      </c>
      <c r="I46" s="43">
        <f t="shared" si="0"/>
        <v>44</v>
      </c>
      <c r="J46" s="79" t="str">
        <f t="shared" si="1"/>
        <v/>
      </c>
      <c r="K46" s="79" t="str">
        <f ca="1">IF(J46="","",SUMIFS('Day summary'!$I$2:$I$367,'Day summary'!$D$2:$D$367,I46,'Day summary'!$B$2:$B$367,"&lt;"&amp;TODAY())*24-SUMIFS('Day summary'!$G$2:$G$367,'Day summary'!$D$2:$D$367,I46,'Day summary'!$B$2:$B$367,"&lt;"&amp;TODAY())*24)</f>
        <v/>
      </c>
      <c r="L46" s="80" t="str">
        <f>IF(SUMIFS(TableTime[[Duration]:[Duration]],TableTime[[Week]:[Week]],$I46,TableTime[[Activity]:[Activity]],L$1)*24=0,"",SUMIFS(TableTime[[Duration]:[Duration]],TableTime[[Week]:[Week]],$I46,TableTime[[Activity]:[Activity]],L$1)*24)</f>
        <v/>
      </c>
      <c r="M46" s="81" t="str">
        <f>IF(SUMIFS(TableTime[[Duration]:[Duration]],TableTime[[Week]:[Week]],$I46,TableTime[[Activity]:[Activity]],M$1)*24=0,"",SUMIFS(TableTime[[Duration]:[Duration]],TableTime[[Week]:[Week]],$I46,TableTime[[Activity]:[Activity]],M$1)*24)</f>
        <v/>
      </c>
      <c r="N46" s="81" t="str">
        <f>IF(SUMIFS(TableTime[[Duration]:[Duration]],TableTime[[Week]:[Week]],$I46,TableTime[[Activity]:[Activity]],N$1)*24=0,"",SUMIFS(TableTime[[Duration]:[Duration]],TableTime[[Week]:[Week]],$I46,TableTime[[Activity]:[Activity]],N$1)*24)</f>
        <v/>
      </c>
      <c r="O46" s="82" t="str">
        <f>IF(SUMIFS(TableTime[[Duration]:[Duration]],TableTime[[Week]:[Week]],$I46,TableTime[[Activity]:[Activity]],O$1)*24=0,"",SUMIFS(TableTime[[Duration]:[Duration]],TableTime[[Week]:[Week]],$I46,TableTime[[Activity]:[Activity]],O$1)*24)</f>
        <v/>
      </c>
      <c r="P46" s="82" t="str">
        <f>IF(SUMIFS(TableTime[[Duration]:[Duration]],TableTime[[Week]:[Week]],$I46,TableTime[[Activity]:[Activity]],P$1)*24=0,"",SUMIFS(TableTime[[Duration]:[Duration]],TableTime[[Week]:[Week]],$I46,TableTime[[Activity]:[Activity]],P$1)*24)</f>
        <v/>
      </c>
      <c r="Q46" s="83" t="str">
        <f>IF(SUMIFS(TableTime[[Duration]:[Duration]],TableTime[[Week]:[Week]],$I46,TableTime[[Activity]:[Activity]],Q$1)*24=0,"",SUMIFS(TableTime[[Duration]:[Duration]],TableTime[[Week]:[Week]],$I46,TableTime[[Activity]:[Activity]],Q$1)*24)</f>
        <v/>
      </c>
      <c r="R46" s="134" t="str">
        <f>IF(SUMIFS(TableTime[[Duration]:[Duration]],TableTime[[Week]:[Week]],$I46,TableTime[[Activity]:[Activity]],R$1)*24=0,"",SUMIFS(TableTime[[Duration]:[Duration]],TableTime[[Week]:[Week]],$I46,TableTime[[Activity]:[Activity]],R$1)*24)</f>
        <v/>
      </c>
      <c r="S46" s="83" t="str">
        <f>IF(SUMIFS(TableTime[[Duration]:[Duration]],TableTime[[Week]:[Week]],$I46,TableTime[[Activity]:[Activity]],S$1)*24=0,"",SUMIFS(TableTime[[Duration]:[Duration]],TableTime[[Week]:[Week]],$I46,TableTime[[Activity]:[Activity]],S$1)*24)</f>
        <v/>
      </c>
      <c r="U46" s="191" t="s">
        <v>50</v>
      </c>
      <c r="V46" s="8">
        <f t="shared" si="3"/>
        <v>45229</v>
      </c>
      <c r="W46" s="8">
        <f t="shared" ref="W46:AB46" si="47">V46+1</f>
        <v>45230</v>
      </c>
      <c r="X46" s="8">
        <f t="shared" si="47"/>
        <v>45231</v>
      </c>
      <c r="Y46" s="8">
        <f t="shared" si="47"/>
        <v>45232</v>
      </c>
      <c r="Z46" s="8">
        <f t="shared" si="47"/>
        <v>45233</v>
      </c>
      <c r="AA46" s="8">
        <f t="shared" si="47"/>
        <v>45234</v>
      </c>
      <c r="AB46" s="8">
        <f t="shared" si="47"/>
        <v>45235</v>
      </c>
      <c r="AC46">
        <f t="shared" si="5"/>
        <v>44</v>
      </c>
    </row>
    <row r="47" spans="1:29" x14ac:dyDescent="0.35">
      <c r="A47" s="193"/>
      <c r="B47" s="18">
        <f>IF(V47="","",IF(VLOOKUP(V47,'Day summary'!$B$2:$E$367,4,FALSE)="",V47,CONCATENATE(DAY(V47)," (",VLOOKUP(V47,'Day summary'!$B$2:$E$367,4,FALSE),")")))</f>
        <v>45236</v>
      </c>
      <c r="C47" s="18">
        <f>IF(W47="","",IF(VLOOKUP(W47,'Day summary'!$B$2:$E$367,4,FALSE)="",W47,CONCATENATE(DAY(W47)," (",VLOOKUP(W47,'Day summary'!$B$2:$E$367,4,FALSE),")")))</f>
        <v>45237</v>
      </c>
      <c r="D47" s="18">
        <f>IF(X47="","",IF(VLOOKUP(X47,'Day summary'!$B$2:$E$367,4,FALSE)="",X47,CONCATENATE(DAY(X47)," (",VLOOKUP(X47,'Day summary'!$B$2:$E$367,4,FALSE),")")))</f>
        <v>45238</v>
      </c>
      <c r="E47" s="18">
        <f>IF(Y47="","",IF(VLOOKUP(Y47,'Day summary'!$B$2:$E$367,4,FALSE)="",Y47,CONCATENATE(DAY(Y47)," (",VLOOKUP(Y47,'Day summary'!$B$2:$E$367,4,FALSE),")")))</f>
        <v>45239</v>
      </c>
      <c r="F47" s="26">
        <f>IF(Z47="","",IF(VLOOKUP(Z47,'Day summary'!$B$2:$E$367,4,FALSE)="",Z47,CONCATENATE(DAY(Z47)," (",VLOOKUP(Z47,'Day summary'!$B$2:$E$367,4,FALSE),")")))</f>
        <v>45240</v>
      </c>
      <c r="G47" s="30">
        <f>IF(AA47="","",IF(VLOOKUP(AA47,'Day summary'!$B$2:$E$367,4,FALSE)="",AA47,CONCATENATE(DAY(AA47)," (",VLOOKUP(AA47,'Day summary'!$B$2:$E$367,4,FALSE),")")))</f>
        <v>45241</v>
      </c>
      <c r="H47" s="31">
        <f>IF(AB47="","",IF(VLOOKUP(AB47,'Day summary'!$B$2:$E$367,4,FALSE)="",AB47,CONCATENATE(DAY(AB47)," (",VLOOKUP(AB47,'Day summary'!$B$2:$E$367,4,FALSE),")")))</f>
        <v>45242</v>
      </c>
      <c r="I47" s="43">
        <f t="shared" si="0"/>
        <v>45</v>
      </c>
      <c r="J47" s="79" t="str">
        <f t="shared" si="1"/>
        <v/>
      </c>
      <c r="K47" s="79" t="str">
        <f ca="1">IF(J47="","",SUMIFS('Day summary'!$I$2:$I$367,'Day summary'!$D$2:$D$367,I47,'Day summary'!$B$2:$B$367,"&lt;"&amp;TODAY())*24-SUMIFS('Day summary'!$G$2:$G$367,'Day summary'!$D$2:$D$367,I47,'Day summary'!$B$2:$B$367,"&lt;"&amp;TODAY())*24)</f>
        <v/>
      </c>
      <c r="L47" s="80" t="str">
        <f>IF(SUMIFS(TableTime[[Duration]:[Duration]],TableTime[[Week]:[Week]],$I47,TableTime[[Activity]:[Activity]],L$1)*24=0,"",SUMIFS(TableTime[[Duration]:[Duration]],TableTime[[Week]:[Week]],$I47,TableTime[[Activity]:[Activity]],L$1)*24)</f>
        <v/>
      </c>
      <c r="M47" s="81" t="str">
        <f>IF(SUMIFS(TableTime[[Duration]:[Duration]],TableTime[[Week]:[Week]],$I47,TableTime[[Activity]:[Activity]],M$1)*24=0,"",SUMIFS(TableTime[[Duration]:[Duration]],TableTime[[Week]:[Week]],$I47,TableTime[[Activity]:[Activity]],M$1)*24)</f>
        <v/>
      </c>
      <c r="N47" s="81" t="str">
        <f>IF(SUMIFS(TableTime[[Duration]:[Duration]],TableTime[[Week]:[Week]],$I47,TableTime[[Activity]:[Activity]],N$1)*24=0,"",SUMIFS(TableTime[[Duration]:[Duration]],TableTime[[Week]:[Week]],$I47,TableTime[[Activity]:[Activity]],N$1)*24)</f>
        <v/>
      </c>
      <c r="O47" s="82" t="str">
        <f>IF(SUMIFS(TableTime[[Duration]:[Duration]],TableTime[[Week]:[Week]],$I47,TableTime[[Activity]:[Activity]],O$1)*24=0,"",SUMIFS(TableTime[[Duration]:[Duration]],TableTime[[Week]:[Week]],$I47,TableTime[[Activity]:[Activity]],O$1)*24)</f>
        <v/>
      </c>
      <c r="P47" s="82" t="str">
        <f>IF(SUMIFS(TableTime[[Duration]:[Duration]],TableTime[[Week]:[Week]],$I47,TableTime[[Activity]:[Activity]],P$1)*24=0,"",SUMIFS(TableTime[[Duration]:[Duration]],TableTime[[Week]:[Week]],$I47,TableTime[[Activity]:[Activity]],P$1)*24)</f>
        <v/>
      </c>
      <c r="Q47" s="83" t="str">
        <f>IF(SUMIFS(TableTime[[Duration]:[Duration]],TableTime[[Week]:[Week]],$I47,TableTime[[Activity]:[Activity]],Q$1)*24=0,"",SUMIFS(TableTime[[Duration]:[Duration]],TableTime[[Week]:[Week]],$I47,TableTime[[Activity]:[Activity]],Q$1)*24)</f>
        <v/>
      </c>
      <c r="R47" s="134" t="str">
        <f>IF(SUMIFS(TableTime[[Duration]:[Duration]],TableTime[[Week]:[Week]],$I47,TableTime[[Activity]:[Activity]],R$1)*24=0,"",SUMIFS(TableTime[[Duration]:[Duration]],TableTime[[Week]:[Week]],$I47,TableTime[[Activity]:[Activity]],R$1)*24)</f>
        <v/>
      </c>
      <c r="S47" s="83" t="str">
        <f>IF(SUMIFS(TableTime[[Duration]:[Duration]],TableTime[[Week]:[Week]],$I47,TableTime[[Activity]:[Activity]],S$1)*24=0,"",SUMIFS(TableTime[[Duration]:[Duration]],TableTime[[Week]:[Week]],$I47,TableTime[[Activity]:[Activity]],S$1)*24)</f>
        <v/>
      </c>
      <c r="U47" s="191"/>
      <c r="V47" s="8">
        <f t="shared" si="3"/>
        <v>45236</v>
      </c>
      <c r="W47" s="8">
        <f t="shared" ref="W47:AB47" si="48">V47+1</f>
        <v>45237</v>
      </c>
      <c r="X47" s="8">
        <f t="shared" si="48"/>
        <v>45238</v>
      </c>
      <c r="Y47" s="8">
        <f t="shared" si="48"/>
        <v>45239</v>
      </c>
      <c r="Z47" s="8">
        <f t="shared" si="48"/>
        <v>45240</v>
      </c>
      <c r="AA47" s="8">
        <f t="shared" si="48"/>
        <v>45241</v>
      </c>
      <c r="AB47" s="8">
        <f t="shared" si="48"/>
        <v>45242</v>
      </c>
      <c r="AC47">
        <f t="shared" si="5"/>
        <v>45</v>
      </c>
    </row>
    <row r="48" spans="1:29" x14ac:dyDescent="0.35">
      <c r="A48" s="193"/>
      <c r="B48" s="18">
        <f>IF(V48="","",IF(VLOOKUP(V48,'Day summary'!$B$2:$E$367,4,FALSE)="",V48,CONCATENATE(DAY(V48)," (",VLOOKUP(V48,'Day summary'!$B$2:$E$367,4,FALSE),")")))</f>
        <v>45243</v>
      </c>
      <c r="C48" s="18">
        <f>IF(W48="","",IF(VLOOKUP(W48,'Day summary'!$B$2:$E$367,4,FALSE)="",W48,CONCATENATE(DAY(W48)," (",VLOOKUP(W48,'Day summary'!$B$2:$E$367,4,FALSE),")")))</f>
        <v>45244</v>
      </c>
      <c r="D48" s="18">
        <f>IF(X48="","",IF(VLOOKUP(X48,'Day summary'!$B$2:$E$367,4,FALSE)="",X48,CONCATENATE(DAY(X48)," (",VLOOKUP(X48,'Day summary'!$B$2:$E$367,4,FALSE),")")))</f>
        <v>45245</v>
      </c>
      <c r="E48" s="18">
        <f>IF(Y48="","",IF(VLOOKUP(Y48,'Day summary'!$B$2:$E$367,4,FALSE)="",Y48,CONCATENATE(DAY(Y48)," (",VLOOKUP(Y48,'Day summary'!$B$2:$E$367,4,FALSE),")")))</f>
        <v>45246</v>
      </c>
      <c r="F48" s="26">
        <f>IF(Z48="","",IF(VLOOKUP(Z48,'Day summary'!$B$2:$E$367,4,FALSE)="",Z48,CONCATENATE(DAY(Z48)," (",VLOOKUP(Z48,'Day summary'!$B$2:$E$367,4,FALSE),")")))</f>
        <v>45247</v>
      </c>
      <c r="G48" s="30">
        <f>IF(AA48="","",IF(VLOOKUP(AA48,'Day summary'!$B$2:$E$367,4,FALSE)="",AA48,CONCATENATE(DAY(AA48)," (",VLOOKUP(AA48,'Day summary'!$B$2:$E$367,4,FALSE),")")))</f>
        <v>45248</v>
      </c>
      <c r="H48" s="31">
        <f>IF(AB48="","",IF(VLOOKUP(AB48,'Day summary'!$B$2:$E$367,4,FALSE)="",AB48,CONCATENATE(DAY(AB48)," (",VLOOKUP(AB48,'Day summary'!$B$2:$E$367,4,FALSE),")")))</f>
        <v>45249</v>
      </c>
      <c r="I48" s="43">
        <f t="shared" si="0"/>
        <v>46</v>
      </c>
      <c r="J48" s="79" t="str">
        <f t="shared" si="1"/>
        <v/>
      </c>
      <c r="K48" s="79" t="str">
        <f ca="1">IF(J48="","",SUMIFS('Day summary'!$I$2:$I$367,'Day summary'!$D$2:$D$367,I48,'Day summary'!$B$2:$B$367,"&lt;"&amp;TODAY())*24-SUMIFS('Day summary'!$G$2:$G$367,'Day summary'!$D$2:$D$367,I48,'Day summary'!$B$2:$B$367,"&lt;"&amp;TODAY())*24)</f>
        <v/>
      </c>
      <c r="L48" s="80" t="str">
        <f>IF(SUMIFS(TableTime[[Duration]:[Duration]],TableTime[[Week]:[Week]],$I48,TableTime[[Activity]:[Activity]],L$1)*24=0,"",SUMIFS(TableTime[[Duration]:[Duration]],TableTime[[Week]:[Week]],$I48,TableTime[[Activity]:[Activity]],L$1)*24)</f>
        <v/>
      </c>
      <c r="M48" s="81" t="str">
        <f>IF(SUMIFS(TableTime[[Duration]:[Duration]],TableTime[[Week]:[Week]],$I48,TableTime[[Activity]:[Activity]],M$1)*24=0,"",SUMIFS(TableTime[[Duration]:[Duration]],TableTime[[Week]:[Week]],$I48,TableTime[[Activity]:[Activity]],M$1)*24)</f>
        <v/>
      </c>
      <c r="N48" s="81" t="str">
        <f>IF(SUMIFS(TableTime[[Duration]:[Duration]],TableTime[[Week]:[Week]],$I48,TableTime[[Activity]:[Activity]],N$1)*24=0,"",SUMIFS(TableTime[[Duration]:[Duration]],TableTime[[Week]:[Week]],$I48,TableTime[[Activity]:[Activity]],N$1)*24)</f>
        <v/>
      </c>
      <c r="O48" s="82" t="str">
        <f>IF(SUMIFS(TableTime[[Duration]:[Duration]],TableTime[[Week]:[Week]],$I48,TableTime[[Activity]:[Activity]],O$1)*24=0,"",SUMIFS(TableTime[[Duration]:[Duration]],TableTime[[Week]:[Week]],$I48,TableTime[[Activity]:[Activity]],O$1)*24)</f>
        <v/>
      </c>
      <c r="P48" s="82" t="str">
        <f>IF(SUMIFS(TableTime[[Duration]:[Duration]],TableTime[[Week]:[Week]],$I48,TableTime[[Activity]:[Activity]],P$1)*24=0,"",SUMIFS(TableTime[[Duration]:[Duration]],TableTime[[Week]:[Week]],$I48,TableTime[[Activity]:[Activity]],P$1)*24)</f>
        <v/>
      </c>
      <c r="Q48" s="83" t="str">
        <f>IF(SUMIFS(TableTime[[Duration]:[Duration]],TableTime[[Week]:[Week]],$I48,TableTime[[Activity]:[Activity]],Q$1)*24=0,"",SUMIFS(TableTime[[Duration]:[Duration]],TableTime[[Week]:[Week]],$I48,TableTime[[Activity]:[Activity]],Q$1)*24)</f>
        <v/>
      </c>
      <c r="R48" s="134" t="str">
        <f>IF(SUMIFS(TableTime[[Duration]:[Duration]],TableTime[[Week]:[Week]],$I48,TableTime[[Activity]:[Activity]],R$1)*24=0,"",SUMIFS(TableTime[[Duration]:[Duration]],TableTime[[Week]:[Week]],$I48,TableTime[[Activity]:[Activity]],R$1)*24)</f>
        <v/>
      </c>
      <c r="S48" s="83" t="str">
        <f>IF(SUMIFS(TableTime[[Duration]:[Duration]],TableTime[[Week]:[Week]],$I48,TableTime[[Activity]:[Activity]],S$1)*24=0,"",SUMIFS(TableTime[[Duration]:[Duration]],TableTime[[Week]:[Week]],$I48,TableTime[[Activity]:[Activity]],S$1)*24)</f>
        <v/>
      </c>
      <c r="U48" s="191"/>
      <c r="V48" s="8">
        <f t="shared" si="3"/>
        <v>45243</v>
      </c>
      <c r="W48" s="8">
        <f t="shared" ref="W48:AB48" si="49">V48+1</f>
        <v>45244</v>
      </c>
      <c r="X48" s="8">
        <f t="shared" si="49"/>
        <v>45245</v>
      </c>
      <c r="Y48" s="8">
        <f t="shared" si="49"/>
        <v>45246</v>
      </c>
      <c r="Z48" s="8">
        <f t="shared" si="49"/>
        <v>45247</v>
      </c>
      <c r="AA48" s="8">
        <f t="shared" si="49"/>
        <v>45248</v>
      </c>
      <c r="AB48" s="8">
        <f t="shared" si="49"/>
        <v>45249</v>
      </c>
      <c r="AC48">
        <f t="shared" si="5"/>
        <v>46</v>
      </c>
    </row>
    <row r="49" spans="1:29" x14ac:dyDescent="0.35">
      <c r="A49" s="193"/>
      <c r="B49" s="18">
        <f>IF(V49="","",IF(VLOOKUP(V49,'Day summary'!$B$2:$E$367,4,FALSE)="",V49,CONCATENATE(DAY(V49)," (",VLOOKUP(V49,'Day summary'!$B$2:$E$367,4,FALSE),")")))</f>
        <v>45250</v>
      </c>
      <c r="C49" s="18">
        <f>IF(W49="","",IF(VLOOKUP(W49,'Day summary'!$B$2:$E$367,4,FALSE)="",W49,CONCATENATE(DAY(W49)," (",VLOOKUP(W49,'Day summary'!$B$2:$E$367,4,FALSE),")")))</f>
        <v>45251</v>
      </c>
      <c r="D49" s="18">
        <f>IF(X49="","",IF(VLOOKUP(X49,'Day summary'!$B$2:$E$367,4,FALSE)="",X49,CONCATENATE(DAY(X49)," (",VLOOKUP(X49,'Day summary'!$B$2:$E$367,4,FALSE),")")))</f>
        <v>45252</v>
      </c>
      <c r="E49" s="18">
        <f>IF(Y49="","",IF(VLOOKUP(Y49,'Day summary'!$B$2:$E$367,4,FALSE)="",Y49,CONCATENATE(DAY(Y49)," (",VLOOKUP(Y49,'Day summary'!$B$2:$E$367,4,FALSE),")")))</f>
        <v>45253</v>
      </c>
      <c r="F49" s="26">
        <f>IF(Z49="","",IF(VLOOKUP(Z49,'Day summary'!$B$2:$E$367,4,FALSE)="",Z49,CONCATENATE(DAY(Z49)," (",VLOOKUP(Z49,'Day summary'!$B$2:$E$367,4,FALSE),")")))</f>
        <v>45254</v>
      </c>
      <c r="G49" s="30">
        <f>IF(AA49="","",IF(VLOOKUP(AA49,'Day summary'!$B$2:$E$367,4,FALSE)="",AA49,CONCATENATE(DAY(AA49)," (",VLOOKUP(AA49,'Day summary'!$B$2:$E$367,4,FALSE),")")))</f>
        <v>45255</v>
      </c>
      <c r="H49" s="31">
        <f>IF(AB49="","",IF(VLOOKUP(AB49,'Day summary'!$B$2:$E$367,4,FALSE)="",AB49,CONCATENATE(DAY(AB49)," (",VLOOKUP(AB49,'Day summary'!$B$2:$E$367,4,FALSE),")")))</f>
        <v>45256</v>
      </c>
      <c r="I49" s="43">
        <f t="shared" si="0"/>
        <v>47</v>
      </c>
      <c r="J49" s="79" t="str">
        <f t="shared" si="1"/>
        <v/>
      </c>
      <c r="K49" s="79" t="str">
        <f ca="1">IF(J49="","",SUMIFS('Day summary'!$I$2:$I$367,'Day summary'!$D$2:$D$367,I49,'Day summary'!$B$2:$B$367,"&lt;"&amp;TODAY())*24-SUMIFS('Day summary'!$G$2:$G$367,'Day summary'!$D$2:$D$367,I49,'Day summary'!$B$2:$B$367,"&lt;"&amp;TODAY())*24)</f>
        <v/>
      </c>
      <c r="L49" s="80" t="str">
        <f>IF(SUMIFS(TableTime[[Duration]:[Duration]],TableTime[[Week]:[Week]],$I49,TableTime[[Activity]:[Activity]],L$1)*24=0,"",SUMIFS(TableTime[[Duration]:[Duration]],TableTime[[Week]:[Week]],$I49,TableTime[[Activity]:[Activity]],L$1)*24)</f>
        <v/>
      </c>
      <c r="M49" s="81" t="str">
        <f>IF(SUMIFS(TableTime[[Duration]:[Duration]],TableTime[[Week]:[Week]],$I49,TableTime[[Activity]:[Activity]],M$1)*24=0,"",SUMIFS(TableTime[[Duration]:[Duration]],TableTime[[Week]:[Week]],$I49,TableTime[[Activity]:[Activity]],M$1)*24)</f>
        <v/>
      </c>
      <c r="N49" s="81" t="str">
        <f>IF(SUMIFS(TableTime[[Duration]:[Duration]],TableTime[[Week]:[Week]],$I49,TableTime[[Activity]:[Activity]],N$1)*24=0,"",SUMIFS(TableTime[[Duration]:[Duration]],TableTime[[Week]:[Week]],$I49,TableTime[[Activity]:[Activity]],N$1)*24)</f>
        <v/>
      </c>
      <c r="O49" s="82" t="str">
        <f>IF(SUMIFS(TableTime[[Duration]:[Duration]],TableTime[[Week]:[Week]],$I49,TableTime[[Activity]:[Activity]],O$1)*24=0,"",SUMIFS(TableTime[[Duration]:[Duration]],TableTime[[Week]:[Week]],$I49,TableTime[[Activity]:[Activity]],O$1)*24)</f>
        <v/>
      </c>
      <c r="P49" s="82" t="str">
        <f>IF(SUMIFS(TableTime[[Duration]:[Duration]],TableTime[[Week]:[Week]],$I49,TableTime[[Activity]:[Activity]],P$1)*24=0,"",SUMIFS(TableTime[[Duration]:[Duration]],TableTime[[Week]:[Week]],$I49,TableTime[[Activity]:[Activity]],P$1)*24)</f>
        <v/>
      </c>
      <c r="Q49" s="83" t="str">
        <f>IF(SUMIFS(TableTime[[Duration]:[Duration]],TableTime[[Week]:[Week]],$I49,TableTime[[Activity]:[Activity]],Q$1)*24=0,"",SUMIFS(TableTime[[Duration]:[Duration]],TableTime[[Week]:[Week]],$I49,TableTime[[Activity]:[Activity]],Q$1)*24)</f>
        <v/>
      </c>
      <c r="R49" s="134" t="str">
        <f>IF(SUMIFS(TableTime[[Duration]:[Duration]],TableTime[[Week]:[Week]],$I49,TableTime[[Activity]:[Activity]],R$1)*24=0,"",SUMIFS(TableTime[[Duration]:[Duration]],TableTime[[Week]:[Week]],$I49,TableTime[[Activity]:[Activity]],R$1)*24)</f>
        <v/>
      </c>
      <c r="S49" s="83" t="str">
        <f>IF(SUMIFS(TableTime[[Duration]:[Duration]],TableTime[[Week]:[Week]],$I49,TableTime[[Activity]:[Activity]],S$1)*24=0,"",SUMIFS(TableTime[[Duration]:[Duration]],TableTime[[Week]:[Week]],$I49,TableTime[[Activity]:[Activity]],S$1)*24)</f>
        <v/>
      </c>
      <c r="U49" s="191"/>
      <c r="V49" s="8">
        <f t="shared" si="3"/>
        <v>45250</v>
      </c>
      <c r="W49" s="8">
        <f t="shared" ref="W49:AB49" si="50">V49+1</f>
        <v>45251</v>
      </c>
      <c r="X49" s="8">
        <f t="shared" si="50"/>
        <v>45252</v>
      </c>
      <c r="Y49" s="8">
        <f t="shared" si="50"/>
        <v>45253</v>
      </c>
      <c r="Z49" s="8">
        <f t="shared" si="50"/>
        <v>45254</v>
      </c>
      <c r="AA49" s="8">
        <f t="shared" si="50"/>
        <v>45255</v>
      </c>
      <c r="AB49" s="8">
        <f t="shared" si="50"/>
        <v>45256</v>
      </c>
      <c r="AC49">
        <f t="shared" si="5"/>
        <v>47</v>
      </c>
    </row>
    <row r="50" spans="1:29" x14ac:dyDescent="0.35">
      <c r="A50" s="194" t="s">
        <v>51</v>
      </c>
      <c r="B50" s="18">
        <f>IF(V50="","",IF(VLOOKUP(V50,'Day summary'!$B$2:$E$367,4,FALSE)="",V50,CONCATENATE(DAY(V50)," (",VLOOKUP(V50,'Day summary'!$B$2:$E$367,4,FALSE),")")))</f>
        <v>45257</v>
      </c>
      <c r="C50" s="18">
        <f>IF(W50="","",IF(VLOOKUP(W50,'Day summary'!$B$2:$E$367,4,FALSE)="",W50,CONCATENATE(DAY(W50)," (",VLOOKUP(W50,'Day summary'!$B$2:$E$367,4,FALSE),")")))</f>
        <v>45258</v>
      </c>
      <c r="D50" s="18">
        <f>IF(X50="","",IF(VLOOKUP(X50,'Day summary'!$B$2:$E$367,4,FALSE)="",X50,CONCATENATE(DAY(X50)," (",VLOOKUP(X50,'Day summary'!$B$2:$E$367,4,FALSE),")")))</f>
        <v>45259</v>
      </c>
      <c r="E50" s="18">
        <f>IF(Y50="","",IF(VLOOKUP(Y50,'Day summary'!$B$2:$E$367,4,FALSE)="",Y50,CONCATENATE(DAY(Y50)," (",VLOOKUP(Y50,'Day summary'!$B$2:$E$367,4,FALSE),")")))</f>
        <v>45260</v>
      </c>
      <c r="F50" s="26">
        <f>IF(Z50="","",IF(VLOOKUP(Z50,'Day summary'!$B$2:$E$367,4,FALSE)="",Z50,CONCATENATE(DAY(Z50)," (",VLOOKUP(Z50,'Day summary'!$B$2:$E$367,4,FALSE),")")))</f>
        <v>45261</v>
      </c>
      <c r="G50" s="30">
        <f>IF(AA50="","",IF(VLOOKUP(AA50,'Day summary'!$B$2:$E$367,4,FALSE)="",AA50,CONCATENATE(DAY(AA50)," (",VLOOKUP(AA50,'Day summary'!$B$2:$E$367,4,FALSE),")")))</f>
        <v>45262</v>
      </c>
      <c r="H50" s="31">
        <f>IF(AB50="","",IF(VLOOKUP(AB50,'Day summary'!$B$2:$E$367,4,FALSE)="",AB50,CONCATENATE(DAY(AB50)," (",VLOOKUP(AB50,'Day summary'!$B$2:$E$367,4,FALSE),")")))</f>
        <v>45263</v>
      </c>
      <c r="I50" s="43">
        <f t="shared" si="0"/>
        <v>48</v>
      </c>
      <c r="J50" s="79" t="str">
        <f t="shared" si="1"/>
        <v/>
      </c>
      <c r="K50" s="79" t="str">
        <f ca="1">IF(J50="","",SUMIFS('Day summary'!$I$2:$I$367,'Day summary'!$D$2:$D$367,I50,'Day summary'!$B$2:$B$367,"&lt;"&amp;TODAY())*24-SUMIFS('Day summary'!$G$2:$G$367,'Day summary'!$D$2:$D$367,I50,'Day summary'!$B$2:$B$367,"&lt;"&amp;TODAY())*24)</f>
        <v/>
      </c>
      <c r="L50" s="80" t="str">
        <f>IF(SUMIFS(TableTime[[Duration]:[Duration]],TableTime[[Week]:[Week]],$I50,TableTime[[Activity]:[Activity]],L$1)*24=0,"",SUMIFS(TableTime[[Duration]:[Duration]],TableTime[[Week]:[Week]],$I50,TableTime[[Activity]:[Activity]],L$1)*24)</f>
        <v/>
      </c>
      <c r="M50" s="81" t="str">
        <f>IF(SUMIFS(TableTime[[Duration]:[Duration]],TableTime[[Week]:[Week]],$I50,TableTime[[Activity]:[Activity]],M$1)*24=0,"",SUMIFS(TableTime[[Duration]:[Duration]],TableTime[[Week]:[Week]],$I50,TableTime[[Activity]:[Activity]],M$1)*24)</f>
        <v/>
      </c>
      <c r="N50" s="81" t="str">
        <f>IF(SUMIFS(TableTime[[Duration]:[Duration]],TableTime[[Week]:[Week]],$I50,TableTime[[Activity]:[Activity]],N$1)*24=0,"",SUMIFS(TableTime[[Duration]:[Duration]],TableTime[[Week]:[Week]],$I50,TableTime[[Activity]:[Activity]],N$1)*24)</f>
        <v/>
      </c>
      <c r="O50" s="82" t="str">
        <f>IF(SUMIFS(TableTime[[Duration]:[Duration]],TableTime[[Week]:[Week]],$I50,TableTime[[Activity]:[Activity]],O$1)*24=0,"",SUMIFS(TableTime[[Duration]:[Duration]],TableTime[[Week]:[Week]],$I50,TableTime[[Activity]:[Activity]],O$1)*24)</f>
        <v/>
      </c>
      <c r="P50" s="82" t="str">
        <f>IF(SUMIFS(TableTime[[Duration]:[Duration]],TableTime[[Week]:[Week]],$I50,TableTime[[Activity]:[Activity]],P$1)*24=0,"",SUMIFS(TableTime[[Duration]:[Duration]],TableTime[[Week]:[Week]],$I50,TableTime[[Activity]:[Activity]],P$1)*24)</f>
        <v/>
      </c>
      <c r="Q50" s="83" t="str">
        <f>IF(SUMIFS(TableTime[[Duration]:[Duration]],TableTime[[Week]:[Week]],$I50,TableTime[[Activity]:[Activity]],Q$1)*24=0,"",SUMIFS(TableTime[[Duration]:[Duration]],TableTime[[Week]:[Week]],$I50,TableTime[[Activity]:[Activity]],Q$1)*24)</f>
        <v/>
      </c>
      <c r="R50" s="134" t="str">
        <f>IF(SUMIFS(TableTime[[Duration]:[Duration]],TableTime[[Week]:[Week]],$I50,TableTime[[Activity]:[Activity]],R$1)*24=0,"",SUMIFS(TableTime[[Duration]:[Duration]],TableTime[[Week]:[Week]],$I50,TableTime[[Activity]:[Activity]],R$1)*24)</f>
        <v/>
      </c>
      <c r="S50" s="83" t="str">
        <f>IF(SUMIFS(TableTime[[Duration]:[Duration]],TableTime[[Week]:[Week]],$I50,TableTime[[Activity]:[Activity]],S$1)*24=0,"",SUMIFS(TableTime[[Duration]:[Duration]],TableTime[[Week]:[Week]],$I50,TableTime[[Activity]:[Activity]],S$1)*24)</f>
        <v/>
      </c>
      <c r="U50" s="191" t="s">
        <v>52</v>
      </c>
      <c r="V50" s="8">
        <f t="shared" si="3"/>
        <v>45257</v>
      </c>
      <c r="W50" s="8">
        <f t="shared" ref="W50:AB50" si="51">V50+1</f>
        <v>45258</v>
      </c>
      <c r="X50" s="8">
        <f t="shared" si="51"/>
        <v>45259</v>
      </c>
      <c r="Y50" s="8">
        <f t="shared" si="51"/>
        <v>45260</v>
      </c>
      <c r="Z50" s="8">
        <f t="shared" si="51"/>
        <v>45261</v>
      </c>
      <c r="AA50" s="8">
        <f t="shared" si="51"/>
        <v>45262</v>
      </c>
      <c r="AB50" s="8">
        <f t="shared" si="51"/>
        <v>45263</v>
      </c>
      <c r="AC50">
        <f t="shared" si="5"/>
        <v>48</v>
      </c>
    </row>
    <row r="51" spans="1:29" x14ac:dyDescent="0.35">
      <c r="A51" s="194"/>
      <c r="B51" s="18">
        <f>IF(V51="","",IF(VLOOKUP(V51,'Day summary'!$B$2:$E$367,4,FALSE)="",V51,CONCATENATE(DAY(V51)," (",VLOOKUP(V51,'Day summary'!$B$2:$E$367,4,FALSE),")")))</f>
        <v>45264</v>
      </c>
      <c r="C51" s="18">
        <f>IF(W51="","",IF(VLOOKUP(W51,'Day summary'!$B$2:$E$367,4,FALSE)="",W51,CONCATENATE(DAY(W51)," (",VLOOKUP(W51,'Day summary'!$B$2:$E$367,4,FALSE),")")))</f>
        <v>45265</v>
      </c>
      <c r="D51" s="18">
        <f>IF(X51="","",IF(VLOOKUP(X51,'Day summary'!$B$2:$E$367,4,FALSE)="",X51,CONCATENATE(DAY(X51)," (",VLOOKUP(X51,'Day summary'!$B$2:$E$367,4,FALSE),")")))</f>
        <v>45266</v>
      </c>
      <c r="E51" s="18">
        <f>IF(Y51="","",IF(VLOOKUP(Y51,'Day summary'!$B$2:$E$367,4,FALSE)="",Y51,CONCATENATE(DAY(Y51)," (",VLOOKUP(Y51,'Day summary'!$B$2:$E$367,4,FALSE),")")))</f>
        <v>45267</v>
      </c>
      <c r="F51" s="26">
        <f>IF(Z51="","",IF(VLOOKUP(Z51,'Day summary'!$B$2:$E$367,4,FALSE)="",Z51,CONCATENATE(DAY(Z51)," (",VLOOKUP(Z51,'Day summary'!$B$2:$E$367,4,FALSE),")")))</f>
        <v>45268</v>
      </c>
      <c r="G51" s="30">
        <f>IF(AA51="","",IF(VLOOKUP(AA51,'Day summary'!$B$2:$E$367,4,FALSE)="",AA51,CONCATENATE(DAY(AA51)," (",VLOOKUP(AA51,'Day summary'!$B$2:$E$367,4,FALSE),")")))</f>
        <v>45269</v>
      </c>
      <c r="H51" s="31">
        <f>IF(AB51="","",IF(VLOOKUP(AB51,'Day summary'!$B$2:$E$367,4,FALSE)="",AB51,CONCATENATE(DAY(AB51)," (",VLOOKUP(AB51,'Day summary'!$B$2:$E$367,4,FALSE),")")))</f>
        <v>45270</v>
      </c>
      <c r="I51" s="43">
        <f t="shared" si="0"/>
        <v>49</v>
      </c>
      <c r="J51" s="79" t="str">
        <f t="shared" si="1"/>
        <v/>
      </c>
      <c r="K51" s="79" t="str">
        <f ca="1">IF(J51="","",SUMIFS('Day summary'!$I$2:$I$367,'Day summary'!$D$2:$D$367,I51,'Day summary'!$B$2:$B$367,"&lt;"&amp;TODAY())*24-SUMIFS('Day summary'!$G$2:$G$367,'Day summary'!$D$2:$D$367,I51,'Day summary'!$B$2:$B$367,"&lt;"&amp;TODAY())*24)</f>
        <v/>
      </c>
      <c r="L51" s="80" t="str">
        <f>IF(SUMIFS(TableTime[[Duration]:[Duration]],TableTime[[Week]:[Week]],$I51,TableTime[[Activity]:[Activity]],L$1)*24=0,"",SUMIFS(TableTime[[Duration]:[Duration]],TableTime[[Week]:[Week]],$I51,TableTime[[Activity]:[Activity]],L$1)*24)</f>
        <v/>
      </c>
      <c r="M51" s="81" t="str">
        <f>IF(SUMIFS(TableTime[[Duration]:[Duration]],TableTime[[Week]:[Week]],$I51,TableTime[[Activity]:[Activity]],M$1)*24=0,"",SUMIFS(TableTime[[Duration]:[Duration]],TableTime[[Week]:[Week]],$I51,TableTime[[Activity]:[Activity]],M$1)*24)</f>
        <v/>
      </c>
      <c r="N51" s="81" t="str">
        <f>IF(SUMIFS(TableTime[[Duration]:[Duration]],TableTime[[Week]:[Week]],$I51,TableTime[[Activity]:[Activity]],N$1)*24=0,"",SUMIFS(TableTime[[Duration]:[Duration]],TableTime[[Week]:[Week]],$I51,TableTime[[Activity]:[Activity]],N$1)*24)</f>
        <v/>
      </c>
      <c r="O51" s="82" t="str">
        <f>IF(SUMIFS(TableTime[[Duration]:[Duration]],TableTime[[Week]:[Week]],$I51,TableTime[[Activity]:[Activity]],O$1)*24=0,"",SUMIFS(TableTime[[Duration]:[Duration]],TableTime[[Week]:[Week]],$I51,TableTime[[Activity]:[Activity]],O$1)*24)</f>
        <v/>
      </c>
      <c r="P51" s="82" t="str">
        <f>IF(SUMIFS(TableTime[[Duration]:[Duration]],TableTime[[Week]:[Week]],$I51,TableTime[[Activity]:[Activity]],P$1)*24=0,"",SUMIFS(TableTime[[Duration]:[Duration]],TableTime[[Week]:[Week]],$I51,TableTime[[Activity]:[Activity]],P$1)*24)</f>
        <v/>
      </c>
      <c r="Q51" s="83" t="str">
        <f>IF(SUMIFS(TableTime[[Duration]:[Duration]],TableTime[[Week]:[Week]],$I51,TableTime[[Activity]:[Activity]],Q$1)*24=0,"",SUMIFS(TableTime[[Duration]:[Duration]],TableTime[[Week]:[Week]],$I51,TableTime[[Activity]:[Activity]],Q$1)*24)</f>
        <v/>
      </c>
      <c r="R51" s="134" t="str">
        <f>IF(SUMIFS(TableTime[[Duration]:[Duration]],TableTime[[Week]:[Week]],$I51,TableTime[[Activity]:[Activity]],R$1)*24=0,"",SUMIFS(TableTime[[Duration]:[Duration]],TableTime[[Week]:[Week]],$I51,TableTime[[Activity]:[Activity]],R$1)*24)</f>
        <v/>
      </c>
      <c r="S51" s="83" t="str">
        <f>IF(SUMIFS(TableTime[[Duration]:[Duration]],TableTime[[Week]:[Week]],$I51,TableTime[[Activity]:[Activity]],S$1)*24=0,"",SUMIFS(TableTime[[Duration]:[Duration]],TableTime[[Week]:[Week]],$I51,TableTime[[Activity]:[Activity]],S$1)*24)</f>
        <v/>
      </c>
      <c r="U51" s="191"/>
      <c r="V51" s="8">
        <f t="shared" si="3"/>
        <v>45264</v>
      </c>
      <c r="W51" s="8">
        <f t="shared" ref="W51:AB51" si="52">V51+1</f>
        <v>45265</v>
      </c>
      <c r="X51" s="8">
        <f t="shared" si="52"/>
        <v>45266</v>
      </c>
      <c r="Y51" s="8">
        <f t="shared" si="52"/>
        <v>45267</v>
      </c>
      <c r="Z51" s="8">
        <f t="shared" si="52"/>
        <v>45268</v>
      </c>
      <c r="AA51" s="8">
        <f t="shared" si="52"/>
        <v>45269</v>
      </c>
      <c r="AB51" s="8">
        <f t="shared" si="52"/>
        <v>45270</v>
      </c>
      <c r="AC51">
        <f t="shared" si="5"/>
        <v>49</v>
      </c>
    </row>
    <row r="52" spans="1:29" x14ac:dyDescent="0.35">
      <c r="A52" s="194"/>
      <c r="B52" s="18">
        <f>IF(V52="","",IF(VLOOKUP(V52,'Day summary'!$B$2:$E$367,4,FALSE)="",V52,CONCATENATE(DAY(V52)," (",VLOOKUP(V52,'Day summary'!$B$2:$E$367,4,FALSE),")")))</f>
        <v>45271</v>
      </c>
      <c r="C52" s="18">
        <f>IF(W52="","",IF(VLOOKUP(W52,'Day summary'!$B$2:$E$367,4,FALSE)="",W52,CONCATENATE(DAY(W52)," (",VLOOKUP(W52,'Day summary'!$B$2:$E$367,4,FALSE),")")))</f>
        <v>45272</v>
      </c>
      <c r="D52" s="18">
        <f>IF(X52="","",IF(VLOOKUP(X52,'Day summary'!$B$2:$E$367,4,FALSE)="",X52,CONCATENATE(DAY(X52)," (",VLOOKUP(X52,'Day summary'!$B$2:$E$367,4,FALSE),")")))</f>
        <v>45273</v>
      </c>
      <c r="E52" s="18">
        <f>IF(Y52="","",IF(VLOOKUP(Y52,'Day summary'!$B$2:$E$367,4,FALSE)="",Y52,CONCATENATE(DAY(Y52)," (",VLOOKUP(Y52,'Day summary'!$B$2:$E$367,4,FALSE),")")))</f>
        <v>45274</v>
      </c>
      <c r="F52" s="26">
        <f>IF(Z52="","",IF(VLOOKUP(Z52,'Day summary'!$B$2:$E$367,4,FALSE)="",Z52,CONCATENATE(DAY(Z52)," (",VLOOKUP(Z52,'Day summary'!$B$2:$E$367,4,FALSE),")")))</f>
        <v>45275</v>
      </c>
      <c r="G52" s="30">
        <f>IF(AA52="","",IF(VLOOKUP(AA52,'Day summary'!$B$2:$E$367,4,FALSE)="",AA52,CONCATENATE(DAY(AA52)," (",VLOOKUP(AA52,'Day summary'!$B$2:$E$367,4,FALSE),")")))</f>
        <v>45276</v>
      </c>
      <c r="H52" s="31">
        <f>IF(AB52="","",IF(VLOOKUP(AB52,'Day summary'!$B$2:$E$367,4,FALSE)="",AB52,CONCATENATE(DAY(AB52)," (",VLOOKUP(AB52,'Day summary'!$B$2:$E$367,4,FALSE),")")))</f>
        <v>45277</v>
      </c>
      <c r="I52" s="43">
        <f t="shared" si="0"/>
        <v>50</v>
      </c>
      <c r="J52" s="79" t="str">
        <f t="shared" si="1"/>
        <v/>
      </c>
      <c r="K52" s="79" t="str">
        <f ca="1">IF(J52="","",SUMIFS('Day summary'!$I$2:$I$367,'Day summary'!$D$2:$D$367,I52,'Day summary'!$B$2:$B$367,"&lt;"&amp;TODAY())*24-SUMIFS('Day summary'!$G$2:$G$367,'Day summary'!$D$2:$D$367,I52,'Day summary'!$B$2:$B$367,"&lt;"&amp;TODAY())*24)</f>
        <v/>
      </c>
      <c r="L52" s="80" t="str">
        <f>IF(SUMIFS(TableTime[[Duration]:[Duration]],TableTime[[Week]:[Week]],$I52,TableTime[[Activity]:[Activity]],L$1)*24=0,"",SUMIFS(TableTime[[Duration]:[Duration]],TableTime[[Week]:[Week]],$I52,TableTime[[Activity]:[Activity]],L$1)*24)</f>
        <v/>
      </c>
      <c r="M52" s="81" t="str">
        <f>IF(SUMIFS(TableTime[[Duration]:[Duration]],TableTime[[Week]:[Week]],$I52,TableTime[[Activity]:[Activity]],M$1)*24=0,"",SUMIFS(TableTime[[Duration]:[Duration]],TableTime[[Week]:[Week]],$I52,TableTime[[Activity]:[Activity]],M$1)*24)</f>
        <v/>
      </c>
      <c r="N52" s="81" t="str">
        <f>IF(SUMIFS(TableTime[[Duration]:[Duration]],TableTime[[Week]:[Week]],$I52,TableTime[[Activity]:[Activity]],N$1)*24=0,"",SUMIFS(TableTime[[Duration]:[Duration]],TableTime[[Week]:[Week]],$I52,TableTime[[Activity]:[Activity]],N$1)*24)</f>
        <v/>
      </c>
      <c r="O52" s="82" t="str">
        <f>IF(SUMIFS(TableTime[[Duration]:[Duration]],TableTime[[Week]:[Week]],$I52,TableTime[[Activity]:[Activity]],O$1)*24=0,"",SUMIFS(TableTime[[Duration]:[Duration]],TableTime[[Week]:[Week]],$I52,TableTime[[Activity]:[Activity]],O$1)*24)</f>
        <v/>
      </c>
      <c r="P52" s="82" t="str">
        <f>IF(SUMIFS(TableTime[[Duration]:[Duration]],TableTime[[Week]:[Week]],$I52,TableTime[[Activity]:[Activity]],P$1)*24=0,"",SUMIFS(TableTime[[Duration]:[Duration]],TableTime[[Week]:[Week]],$I52,TableTime[[Activity]:[Activity]],P$1)*24)</f>
        <v/>
      </c>
      <c r="Q52" s="83" t="str">
        <f>IF(SUMIFS(TableTime[[Duration]:[Duration]],TableTime[[Week]:[Week]],$I52,TableTime[[Activity]:[Activity]],Q$1)*24=0,"",SUMIFS(TableTime[[Duration]:[Duration]],TableTime[[Week]:[Week]],$I52,TableTime[[Activity]:[Activity]],Q$1)*24)</f>
        <v/>
      </c>
      <c r="R52" s="134" t="str">
        <f>IF(SUMIFS(TableTime[[Duration]:[Duration]],TableTime[[Week]:[Week]],$I52,TableTime[[Activity]:[Activity]],R$1)*24=0,"",SUMIFS(TableTime[[Duration]:[Duration]],TableTime[[Week]:[Week]],$I52,TableTime[[Activity]:[Activity]],R$1)*24)</f>
        <v/>
      </c>
      <c r="S52" s="83" t="str">
        <f>IF(SUMIFS(TableTime[[Duration]:[Duration]],TableTime[[Week]:[Week]],$I52,TableTime[[Activity]:[Activity]],S$1)*24=0,"",SUMIFS(TableTime[[Duration]:[Duration]],TableTime[[Week]:[Week]],$I52,TableTime[[Activity]:[Activity]],S$1)*24)</f>
        <v/>
      </c>
      <c r="U52" s="191"/>
      <c r="V52" s="8">
        <f t="shared" si="3"/>
        <v>45271</v>
      </c>
      <c r="W52" s="8">
        <f t="shared" ref="W52:AB52" si="53">V52+1</f>
        <v>45272</v>
      </c>
      <c r="X52" s="8">
        <f t="shared" si="53"/>
        <v>45273</v>
      </c>
      <c r="Y52" s="8">
        <f t="shared" si="53"/>
        <v>45274</v>
      </c>
      <c r="Z52" s="8">
        <f t="shared" si="53"/>
        <v>45275</v>
      </c>
      <c r="AA52" s="8">
        <f t="shared" si="53"/>
        <v>45276</v>
      </c>
      <c r="AB52" s="8">
        <f t="shared" si="53"/>
        <v>45277</v>
      </c>
      <c r="AC52">
        <f t="shared" si="5"/>
        <v>50</v>
      </c>
    </row>
    <row r="53" spans="1:29" x14ac:dyDescent="0.35">
      <c r="A53" s="194"/>
      <c r="B53" s="18">
        <f>IF(V53="","",IF(VLOOKUP(V53,'Day summary'!$B$2:$E$367,4,FALSE)="",V53,CONCATENATE(DAY(V53)," (",VLOOKUP(V53,'Day summary'!$B$2:$E$367,4,FALSE),")")))</f>
        <v>45278</v>
      </c>
      <c r="C53" s="18">
        <f>IF(W53="","",IF(VLOOKUP(W53,'Day summary'!$B$2:$E$367,4,FALSE)="",W53,CONCATENATE(DAY(W53)," (",VLOOKUP(W53,'Day summary'!$B$2:$E$367,4,FALSE),")")))</f>
        <v>45279</v>
      </c>
      <c r="D53" s="18">
        <f>IF(X53="","",IF(VLOOKUP(X53,'Day summary'!$B$2:$E$367,4,FALSE)="",X53,CONCATENATE(DAY(X53)," (",VLOOKUP(X53,'Day summary'!$B$2:$E$367,4,FALSE),")")))</f>
        <v>45280</v>
      </c>
      <c r="E53" s="18">
        <f>IF(Y53="","",IF(VLOOKUP(Y53,'Day summary'!$B$2:$E$367,4,FALSE)="",Y53,CONCATENATE(DAY(Y53)," (",VLOOKUP(Y53,'Day summary'!$B$2:$E$367,4,FALSE),")")))</f>
        <v>45281</v>
      </c>
      <c r="F53" s="26">
        <f>IF(Z53="","",IF(VLOOKUP(Z53,'Day summary'!$B$2:$E$367,4,FALSE)="",Z53,CONCATENATE(DAY(Z53)," (",VLOOKUP(Z53,'Day summary'!$B$2:$E$367,4,FALSE),")")))</f>
        <v>45282</v>
      </c>
      <c r="G53" s="30">
        <f>IF(AA53="","",IF(VLOOKUP(AA53,'Day summary'!$B$2:$E$367,4,FALSE)="",AA53,CONCATENATE(DAY(AA53)," (",VLOOKUP(AA53,'Day summary'!$B$2:$E$367,4,FALSE),")")))</f>
        <v>45283</v>
      </c>
      <c r="H53" s="31">
        <f>IF(AB53="","",IF(VLOOKUP(AB53,'Day summary'!$B$2:$E$367,4,FALSE)="",AB53,CONCATENATE(DAY(AB53)," (",VLOOKUP(AB53,'Day summary'!$B$2:$E$367,4,FALSE),")")))</f>
        <v>45284</v>
      </c>
      <c r="I53" s="43">
        <f t="shared" si="0"/>
        <v>51</v>
      </c>
      <c r="J53" s="79" t="str">
        <f t="shared" si="1"/>
        <v/>
      </c>
      <c r="K53" s="79" t="str">
        <f ca="1">IF(J53="","",SUMIFS('Day summary'!$I$2:$I$367,'Day summary'!$D$2:$D$367,I53,'Day summary'!$B$2:$B$367,"&lt;"&amp;TODAY())*24-SUMIFS('Day summary'!$G$2:$G$367,'Day summary'!$D$2:$D$367,I53,'Day summary'!$B$2:$B$367,"&lt;"&amp;TODAY())*24)</f>
        <v/>
      </c>
      <c r="L53" s="80" t="str">
        <f>IF(SUMIFS(TableTime[[Duration]:[Duration]],TableTime[[Week]:[Week]],$I53,TableTime[[Activity]:[Activity]],L$1)*24=0,"",SUMIFS(TableTime[[Duration]:[Duration]],TableTime[[Week]:[Week]],$I53,TableTime[[Activity]:[Activity]],L$1)*24)</f>
        <v/>
      </c>
      <c r="M53" s="81" t="str">
        <f>IF(SUMIFS(TableTime[[Duration]:[Duration]],TableTime[[Week]:[Week]],$I53,TableTime[[Activity]:[Activity]],M$1)*24=0,"",SUMIFS(TableTime[[Duration]:[Duration]],TableTime[[Week]:[Week]],$I53,TableTime[[Activity]:[Activity]],M$1)*24)</f>
        <v/>
      </c>
      <c r="N53" s="81" t="str">
        <f>IF(SUMIFS(TableTime[[Duration]:[Duration]],TableTime[[Week]:[Week]],$I53,TableTime[[Activity]:[Activity]],N$1)*24=0,"",SUMIFS(TableTime[[Duration]:[Duration]],TableTime[[Week]:[Week]],$I53,TableTime[[Activity]:[Activity]],N$1)*24)</f>
        <v/>
      </c>
      <c r="O53" s="82" t="str">
        <f>IF(SUMIFS(TableTime[[Duration]:[Duration]],TableTime[[Week]:[Week]],$I53,TableTime[[Activity]:[Activity]],O$1)*24=0,"",SUMIFS(TableTime[[Duration]:[Duration]],TableTime[[Week]:[Week]],$I53,TableTime[[Activity]:[Activity]],O$1)*24)</f>
        <v/>
      </c>
      <c r="P53" s="82" t="str">
        <f>IF(SUMIFS(TableTime[[Duration]:[Duration]],TableTime[[Week]:[Week]],$I53,TableTime[[Activity]:[Activity]],P$1)*24=0,"",SUMIFS(TableTime[[Duration]:[Duration]],TableTime[[Week]:[Week]],$I53,TableTime[[Activity]:[Activity]],P$1)*24)</f>
        <v/>
      </c>
      <c r="Q53" s="83" t="str">
        <f>IF(SUMIFS(TableTime[[Duration]:[Duration]],TableTime[[Week]:[Week]],$I53,TableTime[[Activity]:[Activity]],Q$1)*24=0,"",SUMIFS(TableTime[[Duration]:[Duration]],TableTime[[Week]:[Week]],$I53,TableTime[[Activity]:[Activity]],Q$1)*24)</f>
        <v/>
      </c>
      <c r="R53" s="134" t="str">
        <f>IF(SUMIFS(TableTime[[Duration]:[Duration]],TableTime[[Week]:[Week]],$I53,TableTime[[Activity]:[Activity]],R$1)*24=0,"",SUMIFS(TableTime[[Duration]:[Duration]],TableTime[[Week]:[Week]],$I53,TableTime[[Activity]:[Activity]],R$1)*24)</f>
        <v/>
      </c>
      <c r="S53" s="83" t="str">
        <f>IF(SUMIFS(TableTime[[Duration]:[Duration]],TableTime[[Week]:[Week]],$I53,TableTime[[Activity]:[Activity]],S$1)*24=0,"",SUMIFS(TableTime[[Duration]:[Duration]],TableTime[[Week]:[Week]],$I53,TableTime[[Activity]:[Activity]],S$1)*24)</f>
        <v/>
      </c>
      <c r="U53" s="191"/>
      <c r="V53" s="8">
        <f t="shared" si="3"/>
        <v>45278</v>
      </c>
      <c r="W53" s="8">
        <f t="shared" ref="W53:AB53" si="54">V53+1</f>
        <v>45279</v>
      </c>
      <c r="X53" s="8">
        <f t="shared" si="54"/>
        <v>45280</v>
      </c>
      <c r="Y53" s="8">
        <f t="shared" si="54"/>
        <v>45281</v>
      </c>
      <c r="Z53" s="8">
        <f t="shared" si="54"/>
        <v>45282</v>
      </c>
      <c r="AA53" s="8">
        <f t="shared" si="54"/>
        <v>45283</v>
      </c>
      <c r="AB53" s="8">
        <f t="shared" si="54"/>
        <v>45284</v>
      </c>
      <c r="AC53">
        <f t="shared" si="5"/>
        <v>51</v>
      </c>
    </row>
    <row r="54" spans="1:29" x14ac:dyDescent="0.35">
      <c r="A54" s="194"/>
      <c r="B54" s="18" t="str">
        <f>IF(V54="","",IF(VLOOKUP(V54,'Day summary'!$B$2:$E$367,4,FALSE)="",V54,CONCATENATE(DAY(V54)," (",VLOOKUP(V54,'Day summary'!$B$2:$E$367,4,FALSE),")")))</f>
        <v>25 (PH)</v>
      </c>
      <c r="C54" s="18" t="str">
        <f>IF(W54="","",IF(VLOOKUP(W54,'Day summary'!$B$2:$E$367,4,FALSE)="",W54,CONCATENATE(DAY(W54)," (",VLOOKUP(W54,'Day summary'!$B$2:$E$367,4,FALSE),")")))</f>
        <v>26 (PH)</v>
      </c>
      <c r="D54" s="18" t="str">
        <f>IF(X54="","",IF(VLOOKUP(X54,'Day summary'!$B$2:$E$367,4,FALSE)="",X54,CONCATENATE(DAY(X54)," (",VLOOKUP(X54,'Day summary'!$B$2:$E$367,4,FALSE),")")))</f>
        <v>27 (PH)</v>
      </c>
      <c r="E54" s="18" t="str">
        <f>IF(Y54="","",IF(VLOOKUP(Y54,'Day summary'!$B$2:$E$367,4,FALSE)="",Y54,CONCATENATE(DAY(Y54)," (",VLOOKUP(Y54,'Day summary'!$B$2:$E$367,4,FALSE),")")))</f>
        <v>28 (PH)</v>
      </c>
      <c r="F54" s="26" t="str">
        <f>IF(Z54="","",IF(VLOOKUP(Z54,'Day summary'!$B$2:$E$367,4,FALSE)="",Z54,CONCATENATE(DAY(Z54)," (",VLOOKUP(Z54,'Day summary'!$B$2:$E$367,4,FALSE),")")))</f>
        <v>29 (PH)</v>
      </c>
      <c r="G54" s="30">
        <f>IF(AA54="","",IF(VLOOKUP(AA54,'Day summary'!$B$2:$E$367,4,FALSE)="",AA54,CONCATENATE(DAY(AA54)," (",VLOOKUP(AA54,'Day summary'!$B$2:$E$367,4,FALSE),")")))</f>
        <v>45290</v>
      </c>
      <c r="H54" s="31">
        <f>IF(AB54="","",IF(VLOOKUP(AB54,'Day summary'!$B$2:$E$367,4,FALSE)="",AB54,CONCATENATE(DAY(AB54)," (",VLOOKUP(AB54,'Day summary'!$B$2:$E$367,4,FALSE),")")))</f>
        <v>45291</v>
      </c>
      <c r="I54" s="43">
        <f t="shared" si="0"/>
        <v>52</v>
      </c>
      <c r="J54" s="79" t="str">
        <f t="shared" si="1"/>
        <v/>
      </c>
      <c r="K54" s="79" t="str">
        <f ca="1">IF(J54="","",SUMIFS('Day summary'!$I$2:$I$367,'Day summary'!$C$2:$C$367,12,'Day summary'!$D$2:$D$367,I54,'Day summary'!$B$2:$B$367,"&lt;"&amp;TODAY())*24-SUMIFS('Day summary'!$G$2:$G$367,'Day summary'!$C$2:$C$367,12,'Day summary'!$D$2:$D$367,I54,'Day summary'!$B$2:$B$367,"&lt;"&amp;TODAY())*24)</f>
        <v/>
      </c>
      <c r="L54" s="80" t="str">
        <f>IF(IF($I54&gt;51,SUMIFS(TableTime[[Duration]:[Duration]],TableTime[[Month]:[Month]],12,TableTime[[Week]:[Week]],$I54,TableTime[[Activity]:[Activity]],L$1)*24,SUMIFS(TableTime[[Duration]:[Duration]],TableTime[[Week]:[Week]],$I54,TableTime[[Activity]:[Activity]],L$1)*24)=0,"",IF($I54&gt;51,SUMIFS(TableTime[[Duration]:[Duration]],TableTime[[Month]:[Month]],12,TableTime[[Week]:[Week]],$I54,TableTime[[Activity]:[Activity]],L$1)*24,SUMIFS(TableTime[[Duration]:[Duration]],TableTime[[Week]:[Week]],$I54,TableTime[[Activity]:[Activity]],L$1)*24))</f>
        <v/>
      </c>
      <c r="M54" s="81" t="str">
        <f>IF(IF($I54&gt;51,SUMIFS(TableTime[[Duration]:[Duration]],TableTime[[Month]:[Month]],12,TableTime[[Week]:[Week]],$I54,TableTime[[Activity]:[Activity]],M$1)*24,SUMIFS(TableTime[[Duration]:[Duration]],TableTime[[Week]:[Week]],$I54,TableTime[[Activity]:[Activity]],M$1)*24)=0,"",IF($I54&gt;51,SUMIFS(TableTime[[Duration]:[Duration]],TableTime[[Month]:[Month]],12,TableTime[[Week]:[Week]],$I54,TableTime[[Activity]:[Activity]],M$1)*24,SUMIFS(TableTime[[Duration]:[Duration]],TableTime[[Week]:[Week]],$I54,TableTime[[Activity]:[Activity]],M$1)*24))</f>
        <v/>
      </c>
      <c r="N54" s="81" t="str">
        <f>IF(IF($I54&gt;51,SUMIFS(TableTime[[Duration]:[Duration]],TableTime[[Month]:[Month]],12,TableTime[[Week]:[Week]],$I54,TableTime[[Activity]:[Activity]],N$1)*24,SUMIFS(TableTime[[Duration]:[Duration]],TableTime[[Week]:[Week]],$I54,TableTime[[Activity]:[Activity]],N$1)*24)=0,"",IF($I54&gt;51,SUMIFS(TableTime[[Duration]:[Duration]],TableTime[[Month]:[Month]],12,TableTime[[Week]:[Week]],$I54,TableTime[[Activity]:[Activity]],N$1)*24,SUMIFS(TableTime[[Duration]:[Duration]],TableTime[[Week]:[Week]],$I54,TableTime[[Activity]:[Activity]],N$1)*24))</f>
        <v/>
      </c>
      <c r="O54" s="82" t="str">
        <f>IF(IF($I54&gt;51,SUMIFS(TableTime[[Duration]:[Duration]],TableTime[[Month]:[Month]],12,TableTime[[Week]:[Week]],$I54,TableTime[[Activity]:[Activity]],O$1)*24,SUMIFS(TableTime[[Duration]:[Duration]],TableTime[[Week]:[Week]],$I54,TableTime[[Activity]:[Activity]],O$1)*24)=0,"",IF($I54&gt;51,SUMIFS(TableTime[[Duration]:[Duration]],TableTime[[Month]:[Month]],12,TableTime[[Week]:[Week]],$I54,TableTime[[Activity]:[Activity]],O$1)*24,SUMIFS(TableTime[[Duration]:[Duration]],TableTime[[Week]:[Week]],$I54,TableTime[[Activity]:[Activity]],O$1)*24))</f>
        <v/>
      </c>
      <c r="P54" s="82" t="str">
        <f>IF(IF($I54&gt;51,SUMIFS(TableTime[[Duration]:[Duration]],TableTime[[Month]:[Month]],12,TableTime[[Week]:[Week]],$I54,TableTime[[Activity]:[Activity]],P$1)*24,SUMIFS(TableTime[[Duration]:[Duration]],TableTime[[Week]:[Week]],$I54,TableTime[[Activity]:[Activity]],P$1)*24)=0,"",IF($I54&gt;51,SUMIFS(TableTime[[Duration]:[Duration]],TableTime[[Month]:[Month]],12,TableTime[[Week]:[Week]],$I54,TableTime[[Activity]:[Activity]],P$1)*24,SUMIFS(TableTime[[Duration]:[Duration]],TableTime[[Week]:[Week]],$I54,TableTime[[Activity]:[Activity]],P$1)*24))</f>
        <v/>
      </c>
      <c r="Q54" s="83" t="str">
        <f>IF(IF($I54&gt;51,SUMIFS(TableTime[[Duration]:[Duration]],TableTime[[Month]:[Month]],12,TableTime[[Week]:[Week]],$I54,TableTime[[Activity]:[Activity]],Q$1)*24,SUMIFS(TableTime[[Duration]:[Duration]],TableTime[[Week]:[Week]],$I54,TableTime[[Activity]:[Activity]],Q$1)*24)=0,"",IF($I54&gt;51,SUMIFS(TableTime[[Duration]:[Duration]],TableTime[[Month]:[Month]],12,TableTime[[Week]:[Week]],$I54,TableTime[[Activity]:[Activity]],Q$1)*24,SUMIFS(TableTime[[Duration]:[Duration]],TableTime[[Week]:[Week]],$I54,TableTime[[Activity]:[Activity]],Q$1)*24))</f>
        <v/>
      </c>
      <c r="R54" s="134" t="str">
        <f>IF(IF($I54&gt;51,SUMIFS(TableTime[[Duration]:[Duration]],TableTime[[Month]:[Month]],12,TableTime[[Week]:[Week]],$I54,TableTime[[Activity]:[Activity]],R$1)*24,SUMIFS(TableTime[[Duration]:[Duration]],TableTime[[Week]:[Week]],$I54,TableTime[[Activity]:[Activity]],R$1)*24)=0,"",IF($I54&gt;51,SUMIFS(TableTime[[Duration]:[Duration]],TableTime[[Month]:[Month]],12,TableTime[[Week]:[Week]],$I54,TableTime[[Activity]:[Activity]],R$1)*24,SUMIFS(TableTime[[Duration]:[Duration]],TableTime[[Week]:[Week]],$I54,TableTime[[Activity]:[Activity]],R$1)*24))</f>
        <v/>
      </c>
      <c r="S54" s="83" t="str">
        <f>IF(IF($I54&gt;51,SUMIFS(TableTime[[Duration]:[Duration]],TableTime[[Month]:[Month]],12,TableTime[[Week]:[Week]],$I54,TableTime[[Activity]:[Activity]],S$1)*24,SUMIFS(TableTime[[Duration]:[Duration]],TableTime[[Week]:[Week]],$I54,TableTime[[Activity]:[Activity]],S$1)*24)=0,"",IF($I54&gt;51,SUMIFS(TableTime[[Duration]:[Duration]],TableTime[[Month]:[Month]],12,TableTime[[Week]:[Week]],$I54,TableTime[[Activity]:[Activity]],S$1)*24,SUMIFS(TableTime[[Duration]:[Duration]],TableTime[[Week]:[Week]],$I54,TableTime[[Activity]:[Activity]],S$1)*24))</f>
        <v/>
      </c>
      <c r="U54" s="191"/>
      <c r="V54" s="8">
        <f t="shared" si="3"/>
        <v>45285</v>
      </c>
      <c r="W54" s="8">
        <f>IF(YEAR($V$54+1)=Year,$V$54+1,"")</f>
        <v>45286</v>
      </c>
      <c r="X54" s="8">
        <f>IF(YEAR($V$54+2)=Year,$V$54+2,"")</f>
        <v>45287</v>
      </c>
      <c r="Y54" s="8">
        <f>IF(YEAR($V$54+3)=Year,$V$54+3,"")</f>
        <v>45288</v>
      </c>
      <c r="Z54" s="8">
        <f>IF(YEAR($V$54+4)=Year,$V$54+4,"")</f>
        <v>45289</v>
      </c>
      <c r="AA54" s="8">
        <f>IF(YEAR($V$54+5)=Year,$V$54+5,"")</f>
        <v>45290</v>
      </c>
      <c r="AB54" s="8">
        <f>IF(YEAR($V$54+6)=Year,$V$54+6,"")</f>
        <v>45291</v>
      </c>
      <c r="AC54">
        <f t="shared" si="5"/>
        <v>52</v>
      </c>
    </row>
    <row r="55" spans="1:29" ht="15" thickBot="1" x14ac:dyDescent="0.4">
      <c r="A55" s="198"/>
      <c r="B55" s="23" t="str">
        <f>IF(V55="","",IF(VLOOKUP(V55,'Day summary'!$B$2:$E$367,4,FALSE)="",V55,CONCATENATE(DAY(V55)," (",VLOOKUP(V55,'Day summary'!$B$2:$E$367,4,FALSE),")")))</f>
        <v/>
      </c>
      <c r="C55" s="23"/>
      <c r="D55" s="23"/>
      <c r="E55" s="23"/>
      <c r="F55" s="27"/>
      <c r="G55" s="32"/>
      <c r="H55" s="33"/>
      <c r="I55" s="44" t="str">
        <f t="shared" si="0"/>
        <v/>
      </c>
      <c r="J55" s="84" t="str">
        <f t="shared" si="1"/>
        <v/>
      </c>
      <c r="K55" s="84" t="str">
        <f ca="1">IF(J55="","",SUMIFS('Day summary'!$I$2:$I$367,'Day summary'!$C$2:$C$367,12,'Day summary'!$D$2:$D$367,I55,'Day summary'!$B$2:$B$367,"&lt;"&amp;TODAY())*24-SUMIFS('Day summary'!$G$2:$G$367,'Day summary'!$C$2:$C$367,12,'Day summary'!$D$2:$D$367,I55,'Day summary'!$B$2:$B$367,"&lt;"&amp;TODAY())*24)</f>
        <v/>
      </c>
      <c r="L55" s="85" t="str">
        <f>IF(IF($I55&gt;51,SUMIFS(TableTime[[Duration]:[Duration]],TableTime[[Month]:[Month]],12,TableTime[[Week]:[Week]],$I55,TableTime[[Activity]:[Activity]],L$1)*24,SUMIFS(TableTime[[Duration]:[Duration]],TableTime[[Week]:[Week]],$I55,TableTime[[Activity]:[Activity]],L$1)*24)=0,"",IF($I55&gt;51,SUMIFS(TableTime[[Duration]:[Duration]],TableTime[[Month]:[Month]],12,TableTime[[Week]:[Week]],$I55,TableTime[[Activity]:[Activity]],L$1)*24,SUMIFS(TableTime[[Duration]:[Duration]],TableTime[[Week]:[Week]],$I55,TableTime[[Activity]:[Activity]],L$1)*24))</f>
        <v/>
      </c>
      <c r="M55" s="86" t="str">
        <f>IF(IF($I55&gt;51,SUMIFS(TableTime[[Duration]:[Duration]],TableTime[[Month]:[Month]],12,TableTime[[Week]:[Week]],$I55,TableTime[[Activity]:[Activity]],M$1)*24,SUMIFS(TableTime[[Duration]:[Duration]],TableTime[[Week]:[Week]],$I55,TableTime[[Activity]:[Activity]],M$1)*24)=0,"",IF($I55&gt;51,SUMIFS(TableTime[[Duration]:[Duration]],TableTime[[Month]:[Month]],12,TableTime[[Week]:[Week]],$I55,TableTime[[Activity]:[Activity]],M$1)*24,SUMIFS(TableTime[[Duration]:[Duration]],TableTime[[Week]:[Week]],$I55,TableTime[[Activity]:[Activity]],M$1)*24))</f>
        <v/>
      </c>
      <c r="N55" s="86" t="str">
        <f>IF(IF($I55&gt;51,SUMIFS(TableTime[[Duration]:[Duration]],TableTime[[Month]:[Month]],12,TableTime[[Week]:[Week]],$I55,TableTime[[Activity]:[Activity]],N$1)*24,SUMIFS(TableTime[[Duration]:[Duration]],TableTime[[Week]:[Week]],$I55,TableTime[[Activity]:[Activity]],N$1)*24)=0,"",IF($I55&gt;51,SUMIFS(TableTime[[Duration]:[Duration]],TableTime[[Month]:[Month]],12,TableTime[[Week]:[Week]],$I55,TableTime[[Activity]:[Activity]],N$1)*24,SUMIFS(TableTime[[Duration]:[Duration]],TableTime[[Week]:[Week]],$I55,TableTime[[Activity]:[Activity]],N$1)*24))</f>
        <v/>
      </c>
      <c r="O55" s="87" t="str">
        <f>IF(IF($I55&gt;51,SUMIFS(TableTime[[Duration]:[Duration]],TableTime[[Month]:[Month]],12,TableTime[[Week]:[Week]],$I55,TableTime[[Activity]:[Activity]],O$1)*24,SUMIFS(TableTime[[Duration]:[Duration]],TableTime[[Week]:[Week]],$I55,TableTime[[Activity]:[Activity]],O$1)*24)=0,"",IF($I55&gt;51,SUMIFS(TableTime[[Duration]:[Duration]],TableTime[[Month]:[Month]],12,TableTime[[Week]:[Week]],$I55,TableTime[[Activity]:[Activity]],O$1)*24,SUMIFS(TableTime[[Duration]:[Duration]],TableTime[[Week]:[Week]],$I55,TableTime[[Activity]:[Activity]],O$1)*24))</f>
        <v/>
      </c>
      <c r="P55" s="87" t="str">
        <f>IF(IF($I55&gt;51,SUMIFS(TableTime[[Duration]:[Duration]],TableTime[[Month]:[Month]],12,TableTime[[Week]:[Week]],$I55,TableTime[[Activity]:[Activity]],P$1)*24,SUMIFS(TableTime[[Duration]:[Duration]],TableTime[[Week]:[Week]],$I55,TableTime[[Activity]:[Activity]],P$1)*24)=0,"",IF($I55&gt;51,SUMIFS(TableTime[[Duration]:[Duration]],TableTime[[Month]:[Month]],12,TableTime[[Week]:[Week]],$I55,TableTime[[Activity]:[Activity]],P$1)*24,SUMIFS(TableTime[[Duration]:[Duration]],TableTime[[Week]:[Week]],$I55,TableTime[[Activity]:[Activity]],P$1)*24))</f>
        <v/>
      </c>
      <c r="Q55" s="88" t="str">
        <f>IF(IF($I55&gt;51,SUMIFS(TableTime[[Duration]:[Duration]],TableTime[[Month]:[Month]],12,TableTime[[Week]:[Week]],$I55,TableTime[[Activity]:[Activity]],Q$1)*24,SUMIFS(TableTime[[Duration]:[Duration]],TableTime[[Week]:[Week]],$I55,TableTime[[Activity]:[Activity]],Q$1)*24)=0,"",IF($I55&gt;51,SUMIFS(TableTime[[Duration]:[Duration]],TableTime[[Month]:[Month]],12,TableTime[[Week]:[Week]],$I55,TableTime[[Activity]:[Activity]],Q$1)*24,SUMIFS(TableTime[[Duration]:[Duration]],TableTime[[Week]:[Week]],$I55,TableTime[[Activity]:[Activity]],Q$1)*24))</f>
        <v/>
      </c>
      <c r="R55" s="135" t="str">
        <f>IF(IF($I55&gt;51,SUMIFS(TableTime[[Duration]:[Duration]],TableTime[[Month]:[Month]],12,TableTime[[Week]:[Week]],$I55,TableTime[[Activity]:[Activity]],R$1)*24,SUMIFS(TableTime[[Duration]:[Duration]],TableTime[[Week]:[Week]],$I55,TableTime[[Activity]:[Activity]],R$1)*24)=0,"",IF($I55&gt;51,SUMIFS(TableTime[[Duration]:[Duration]],TableTime[[Month]:[Month]],12,TableTime[[Week]:[Week]],$I55,TableTime[[Activity]:[Activity]],R$1)*24,SUMIFS(TableTime[[Duration]:[Duration]],TableTime[[Week]:[Week]],$I55,TableTime[[Activity]:[Activity]],R$1)*24))</f>
        <v/>
      </c>
      <c r="S55" s="88" t="str">
        <f>IF(IF($I55&gt;51,SUMIFS(TableTime[[Duration]:[Duration]],TableTime[[Month]:[Month]],12,TableTime[[Week]:[Week]],$I55,TableTime[[Activity]:[Activity]],S$1)*24,SUMIFS(TableTime[[Duration]:[Duration]],TableTime[[Week]:[Week]],$I55,TableTime[[Activity]:[Activity]],S$1)*24)=0,"",IF($I55&gt;51,SUMIFS(TableTime[[Duration]:[Duration]],TableTime[[Month]:[Month]],12,TableTime[[Week]:[Week]],$I55,TableTime[[Activity]:[Activity]],S$1)*24,SUMIFS(TableTime[[Duration]:[Duration]],TableTime[[Week]:[Week]],$I55,TableTime[[Activity]:[Activity]],S$1)*24))</f>
        <v/>
      </c>
      <c r="U55" s="191"/>
      <c r="V55" s="8" t="str">
        <f>IF(YEAR($V$54+7)=Year,$V$54+7,"")</f>
        <v/>
      </c>
      <c r="W55" s="8"/>
      <c r="X55" s="8"/>
      <c r="Y55" s="8"/>
      <c r="Z55" s="8"/>
      <c r="AA55" s="8"/>
      <c r="AB55" s="8"/>
      <c r="AC55" t="str">
        <f t="shared" si="5"/>
        <v/>
      </c>
    </row>
  </sheetData>
  <sheetProtection sheet="1" selectLockedCells="1" selectUnlockedCells="1"/>
  <mergeCells count="24">
    <mergeCell ref="A46:A49"/>
    <mergeCell ref="A50:A55"/>
    <mergeCell ref="A24:A27"/>
    <mergeCell ref="A28:A31"/>
    <mergeCell ref="A32:A36"/>
    <mergeCell ref="A37:A40"/>
    <mergeCell ref="A41:A45"/>
    <mergeCell ref="A2:A6"/>
    <mergeCell ref="A7:A10"/>
    <mergeCell ref="A11:A14"/>
    <mergeCell ref="A15:A18"/>
    <mergeCell ref="A19:A23"/>
    <mergeCell ref="U50:U55"/>
    <mergeCell ref="U2:U6"/>
    <mergeCell ref="U7:U10"/>
    <mergeCell ref="U11:U14"/>
    <mergeCell ref="U15:U18"/>
    <mergeCell ref="U19:U23"/>
    <mergeCell ref="U24:U27"/>
    <mergeCell ref="U28:U31"/>
    <mergeCell ref="U32:U36"/>
    <mergeCell ref="U37:U40"/>
    <mergeCell ref="U41:U45"/>
    <mergeCell ref="U46:U49"/>
  </mergeCells>
  <conditionalFormatting sqref="B2:H55">
    <cfRule type="timePeriod" dxfId="18" priority="1" timePeriod="today">
      <formula>FLOOR(B2,1)=TODAY()</formula>
    </cfRule>
    <cfRule type="containsText" dxfId="17" priority="2" operator="containsText" text="PH">
      <formula>NOT(ISERROR(SEARCH("PH",B2)))</formula>
    </cfRule>
    <cfRule type="containsText" dxfId="16" priority="3" operator="containsText" text="H/2">
      <formula>NOT(ISERROR(SEARCH("H/2",B2)))</formula>
    </cfRule>
    <cfRule type="containsText" dxfId="15" priority="4" operator="containsText" text="H">
      <formula>NOT(ISERROR(SEARCH("H",B2)))</formula>
    </cfRule>
    <cfRule type="containsText" dxfId="14" priority="5" operator="containsText" text="N/A">
      <formula>NOT(ISERROR(SEARCH("N/A",B2)))</formula>
    </cfRule>
    <cfRule type="containsText" dxfId="13" priority="6" operator="containsText" text="DO">
      <formula>NOT(ISERROR(SEARCH("DO",B2)))</formula>
    </cfRule>
    <cfRule type="containsText" dxfId="12" priority="7" operator="containsText" text="S">
      <formula>NOT(ISERROR(SEARCH("S",B2)))</formula>
    </cfRule>
    <cfRule type="cellIs" dxfId="11" priority="8" operator="between">
      <formula>DATE(Year,12,1)</formula>
      <formula>DATE(Year,12,31)</formula>
    </cfRule>
    <cfRule type="cellIs" dxfId="10" priority="9" operator="between">
      <formula>DATE(Year,11,1)</formula>
      <formula>DATE(Year,11,30)</formula>
    </cfRule>
    <cfRule type="cellIs" dxfId="9" priority="10" operator="between">
      <formula>DATE(Year,10,1)</formula>
      <formula>DATE(Year,10,31)</formula>
    </cfRule>
    <cfRule type="cellIs" dxfId="8" priority="11" operator="between">
      <formula>DATE(Year,9,1)</formula>
      <formula>DATE(Year,9,30)</formula>
    </cfRule>
    <cfRule type="cellIs" dxfId="7" priority="12" operator="between">
      <formula>DATE(Year,8,1)</formula>
      <formula>DATE(Year,8,31)</formula>
    </cfRule>
    <cfRule type="cellIs" dxfId="6" priority="13" operator="between">
      <formula>DATE(Year,7,1)</formula>
      <formula>DATE(Year,7,31)</formula>
    </cfRule>
    <cfRule type="cellIs" dxfId="5" priority="14" operator="between">
      <formula>DATE(Year,6,1)</formula>
      <formula>DATE(Year,6,30)</formula>
    </cfRule>
    <cfRule type="cellIs" dxfId="4" priority="15" operator="between">
      <formula>DATE(Year,5,1)</formula>
      <formula>DATE(Year,5,31)</formula>
    </cfRule>
    <cfRule type="cellIs" dxfId="3" priority="16" operator="between">
      <formula>DATE(Year,4,1)</formula>
      <formula>DATE(Year,4,30)</formula>
    </cfRule>
    <cfRule type="cellIs" dxfId="2" priority="17" operator="between">
      <formula>DATE(Year,3,1)</formula>
      <formula>DATE(Year,3,31)</formula>
    </cfRule>
    <cfRule type="cellIs" dxfId="1" priority="18" operator="between">
      <formula>DATE(Year,2,1)</formula>
      <formula>DATE(Year,2,29)</formula>
    </cfRule>
    <cfRule type="cellIs" dxfId="0" priority="19" operator="between">
      <formula>DATE(Year,1,1)</formula>
      <formula>DATE(Year,1,31)</formula>
    </cfRule>
  </conditionalFormatting>
  <conditionalFormatting sqref="K2:K55">
    <cfRule type="dataBar" priority="2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{00000000-000E-0000-0200-000021000000}</x14:id>
        </ext>
      </extLst>
    </cfRule>
  </conditionalFormatting>
  <conditionalFormatting sqref="L2:S55">
    <cfRule type="dataBar" priority="20">
      <dataBar>
        <cfvo type="num" val="0"/>
        <cfvo type="max"/>
        <color theme="3" tint="0.79998168889431442"/>
      </dataBar>
      <extLst>
        <ext xmlns:x14="http://schemas.microsoft.com/office/spreadsheetml/2009/9/main" uri="{B025F937-C7B1-47D3-B67F-A62EFF666E3E}">
          <x14:id>{381688BE-C2FE-4298-B1F5-060A7C9CE68A}</x14:id>
        </ext>
      </extLst>
    </cfRule>
  </conditionalFormatting>
  <pageMargins left="0.7" right="0.7" top="0.75" bottom="0.75" header="0.3" footer="0.3"/>
  <pageSetup paperSize="9" orientation="portrait" horizont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200-000021000000}">
            <x14:dataBar border="1" negativeBarBorderColorSameAsPositive="0" axisPosition="middle">
              <x14:cfvo type="min"/>
              <x14:cfvo type="max"/>
              <x14:borderColor theme="5" tint="0.59999389629810485"/>
              <x14:negativeFillColor theme="6" tint="0.59999389629810485"/>
              <x14:negativeBorderColor theme="6" tint="0.59999389629810485"/>
              <x14:axisColor theme="1"/>
            </x14:dataBar>
          </x14:cfRule>
          <xm:sqref>K2:K55</xm:sqref>
        </x14:conditionalFormatting>
        <x14:conditionalFormatting xmlns:xm="http://schemas.microsoft.com/office/excel/2006/main">
          <x14:cfRule type="dataBar" id="{381688BE-C2FE-4298-B1F5-060A7C9CE68A}">
            <x14:dataBar border="1" direction="rightToLeft" negativeBarColorSameAsPositive="1">
              <x14:cfvo type="num">
                <xm:f>0</xm:f>
              </x14:cfvo>
              <x14:cfvo type="max"/>
              <x14:borderColor theme="3" tint="0.79998168889431442"/>
              <x14:axisColor rgb="FF000000"/>
            </x14:dataBar>
          </x14:cfRule>
          <xm:sqref>L2:S55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T24"/>
  <sheetViews>
    <sheetView showGridLines="0" workbookViewId="0">
      <selection activeCell="C2" sqref="C2"/>
    </sheetView>
  </sheetViews>
  <sheetFormatPr defaultColWidth="10.81640625" defaultRowHeight="14.5" x14ac:dyDescent="0.35"/>
  <cols>
    <col min="1" max="1" width="7.1796875" customWidth="1"/>
    <col min="4" max="4" width="10.81640625" customWidth="1"/>
    <col min="5" max="5" width="12.54296875" bestFit="1" customWidth="1"/>
    <col min="7" max="7" width="10.81640625" customWidth="1"/>
    <col min="10" max="10" width="13.1796875" bestFit="1" customWidth="1"/>
    <col min="11" max="11" width="11.453125" customWidth="1"/>
  </cols>
  <sheetData>
    <row r="1" spans="2:20" ht="15" thickBot="1" x14ac:dyDescent="0.4"/>
    <row r="2" spans="2:20" ht="15" thickBot="1" x14ac:dyDescent="0.4">
      <c r="B2" s="7" t="s">
        <v>53</v>
      </c>
      <c r="C2" s="111">
        <v>2023</v>
      </c>
      <c r="E2" s="95" t="s">
        <v>54</v>
      </c>
      <c r="F2" s="112">
        <v>8</v>
      </c>
      <c r="G2" s="36" t="s">
        <v>55</v>
      </c>
    </row>
    <row r="3" spans="2:20" ht="15" thickBot="1" x14ac:dyDescent="0.4"/>
    <row r="4" spans="2:20" x14ac:dyDescent="0.35">
      <c r="C4" s="168" t="s">
        <v>75</v>
      </c>
      <c r="D4" s="168" t="s">
        <v>91</v>
      </c>
      <c r="E4" s="166" t="s">
        <v>56</v>
      </c>
      <c r="F4" s="166" t="s">
        <v>92</v>
      </c>
      <c r="G4" s="166" t="s">
        <v>75</v>
      </c>
    </row>
    <row r="5" spans="2:20" ht="15" thickBot="1" x14ac:dyDescent="0.4">
      <c r="C5" s="169">
        <f>Year-1</f>
        <v>2022</v>
      </c>
      <c r="D5" s="169">
        <f>Year</f>
        <v>2023</v>
      </c>
      <c r="E5" s="167" t="s">
        <v>93</v>
      </c>
      <c r="F5" s="167" t="s">
        <v>93</v>
      </c>
      <c r="G5" s="167" t="s">
        <v>93</v>
      </c>
    </row>
    <row r="6" spans="2:20" x14ac:dyDescent="0.35">
      <c r="B6" s="37" t="s">
        <v>57</v>
      </c>
      <c r="C6" s="164">
        <v>0</v>
      </c>
      <c r="D6" s="164">
        <v>30</v>
      </c>
      <c r="E6" s="165">
        <f>C6+D6</f>
        <v>30</v>
      </c>
      <c r="F6" s="165">
        <f>F24</f>
        <v>0</v>
      </c>
      <c r="G6" s="165">
        <f>E6-F6</f>
        <v>30</v>
      </c>
      <c r="H6" s="34" t="s">
        <v>58</v>
      </c>
    </row>
    <row r="7" spans="2:20" ht="15" thickBot="1" x14ac:dyDescent="0.4">
      <c r="B7" s="96" t="s">
        <v>59</v>
      </c>
      <c r="C7" s="113">
        <v>0</v>
      </c>
      <c r="D7" s="113">
        <v>0</v>
      </c>
      <c r="E7" s="98">
        <f>C7+D7</f>
        <v>0</v>
      </c>
      <c r="F7" s="98">
        <f>G24</f>
        <v>0</v>
      </c>
      <c r="G7" s="98">
        <f>E7-F7</f>
        <v>0</v>
      </c>
      <c r="H7" s="97" t="s">
        <v>58</v>
      </c>
    </row>
    <row r="8" spans="2:20" ht="15" thickBot="1" x14ac:dyDescent="0.4">
      <c r="B8" s="96" t="s">
        <v>60</v>
      </c>
      <c r="C8" s="183">
        <v>0</v>
      </c>
      <c r="D8" s="184"/>
      <c r="E8" s="185"/>
      <c r="F8" s="188">
        <f ca="1">SUMIF('Day summary'!B2:B367,"&lt;"&amp;TODAY(),'Day summary'!I2:I367)*24-SUMIF('Day summary'!B2:B367,"&lt;"&amp;TODAY(),'Day summary'!G2:G367)*24</f>
        <v>-328.00000000000017</v>
      </c>
      <c r="G8" s="185">
        <f ca="1">C8+F8</f>
        <v>-328.00000000000017</v>
      </c>
      <c r="H8" s="186" t="s">
        <v>61</v>
      </c>
    </row>
    <row r="9" spans="2:20" ht="15" thickBot="1" x14ac:dyDescent="0.4"/>
    <row r="10" spans="2:20" x14ac:dyDescent="0.35">
      <c r="B10" s="94" t="s">
        <v>3</v>
      </c>
      <c r="C10" s="9" t="s">
        <v>62</v>
      </c>
      <c r="D10" s="9" t="s">
        <v>63</v>
      </c>
      <c r="E10" s="9" t="s">
        <v>64</v>
      </c>
      <c r="F10" s="9" t="s">
        <v>65</v>
      </c>
      <c r="G10" s="9" t="s">
        <v>66</v>
      </c>
      <c r="H10" s="9" t="s">
        <v>67</v>
      </c>
      <c r="I10" s="187" t="s">
        <v>68</v>
      </c>
      <c r="J10" s="45" t="s">
        <v>69</v>
      </c>
      <c r="K10" s="46" t="s">
        <v>70</v>
      </c>
      <c r="L10" s="9" t="s">
        <v>60</v>
      </c>
      <c r="M10" s="189" t="str">
        <f>Projects!C2</f>
        <v>Project 1</v>
      </c>
      <c r="N10" s="9" t="str">
        <f>Projects!C3</f>
        <v>Project 2</v>
      </c>
      <c r="O10" s="9" t="str">
        <f>Projects!C4</f>
        <v>Project 3</v>
      </c>
      <c r="P10" s="9" t="str">
        <f>Projects!C5</f>
        <v>General</v>
      </c>
      <c r="Q10" s="9" t="str">
        <f>Projects!C6</f>
        <v>Training</v>
      </c>
      <c r="R10" s="46" t="str">
        <f>Projects!C7</f>
        <v>Issue</v>
      </c>
      <c r="S10" s="9" t="str">
        <f>Projects!C8</f>
        <v>Personal 1</v>
      </c>
      <c r="T10" s="190" t="str">
        <f>Projects!C9</f>
        <v>Personal 2</v>
      </c>
    </row>
    <row r="11" spans="2:20" ht="15" thickBot="1" x14ac:dyDescent="0.4">
      <c r="B11" s="40"/>
      <c r="C11" s="41" t="s">
        <v>71</v>
      </c>
      <c r="D11" s="41" t="s">
        <v>72</v>
      </c>
      <c r="E11" s="41" t="s">
        <v>19</v>
      </c>
      <c r="F11" s="41" t="s">
        <v>18</v>
      </c>
      <c r="G11" s="41" t="s">
        <v>17</v>
      </c>
      <c r="H11" s="41" t="s">
        <v>73</v>
      </c>
      <c r="I11" s="41" t="s">
        <v>74</v>
      </c>
      <c r="J11" s="50"/>
      <c r="K11" s="51"/>
      <c r="L11" s="144"/>
      <c r="M11" s="149"/>
      <c r="N11" s="145"/>
      <c r="O11" s="145"/>
      <c r="P11" s="145"/>
      <c r="Q11" s="145"/>
      <c r="R11" s="170"/>
      <c r="S11" s="145"/>
      <c r="T11" s="150"/>
    </row>
    <row r="12" spans="2:20" x14ac:dyDescent="0.35">
      <c r="B12" s="77">
        <f>DATE(Year,1,1)</f>
        <v>44927</v>
      </c>
      <c r="C12" s="10">
        <f>IF(COUNTIFS('Day summary'!$F$2:$F$367,C$11,'Day summary'!$C$2:$C$367,MONTH($B12))=0,"-",COUNTIFS('Day summary'!$F$2:$F$367,C$11,'Day summary'!$C$2:$C$367,MONTH($B12)))</f>
        <v>21</v>
      </c>
      <c r="D12" s="11">
        <f>IF(COUNTIFS('Day summary'!$F$2:$F$367,D$11,'Day summary'!$C$2:$C$367,MONTH($B12))=0,"-",COUNTIFS('Day summary'!$F$2:$F$367,D$11,'Day summary'!$C$2:$C$367,MONTH($B12)))</f>
        <v>9</v>
      </c>
      <c r="E12" s="11">
        <f>IF(COUNTIFS('Day summary'!$F$2:$F$367,E$11,'Day summary'!$C$2:$C$367,MONTH($B12))=0,"-",COUNTIFS('Day summary'!$F$2:$F$367,E$11,'Day summary'!$C$2:$C$367,MONTH($B12)))</f>
        <v>1</v>
      </c>
      <c r="F12" s="55" t="str">
        <f>IF(COUNTIFS('Day summary'!$F$2:$F$367,F$11,'Day summary'!$C$2:$C$367,MONTH($B12))+COUNTIFS('Day summary'!$F$2:$F$367,"H/2",'Day summary'!$C$2:$C$367,MONTH($B12))/2=0,"-",COUNTIFS('Day summary'!$F$2:$F$367,F$11,'Day summary'!$C$2:$C$367,MONTH($B12))+COUNTIFS('Day summary'!$F$2:$F$367,"H/2",'Day summary'!$C$2:$C$367,MONTH($B12))/2)</f>
        <v>-</v>
      </c>
      <c r="G12" s="11" t="str">
        <f>IF(COUNTIFS('Day summary'!$F$2:$F$367,G$11,'Day summary'!$C$2:$C$367,MONTH($B12))=0,"-",COUNTIFS('Day summary'!$F$2:$F$367,G$11,'Day summary'!$C$2:$C$367,MONTH($B12)))</f>
        <v>-</v>
      </c>
      <c r="H12" s="11" t="str">
        <f>IF(COUNTIFS('Day summary'!$F$2:$F$367,H$11,'Day summary'!$C$2:$C$367,MONTH($B12))=0,"-",COUNTIFS('Day summary'!$F$2:$F$367,H$11,'Day summary'!$C$2:$C$367,MONTH($B12)))</f>
        <v>-</v>
      </c>
      <c r="I12" s="11" t="str">
        <f>IF(COUNTIFS('Day summary'!$F$2:$F$367,I$11,'Day summary'!$C$2:$C$367,MONTH($B12))=0,"-",COUNTIFS('Day summary'!$F$2:$F$367,I$11,'Day summary'!$C$2:$C$367,MONTH($B12)))</f>
        <v>-</v>
      </c>
      <c r="J12" s="14">
        <f>SUMIFS('Day summary'!G$2:G$367,'Day summary'!$C$2:$C$367,MONTH($B12))*24</f>
        <v>167.99999999999994</v>
      </c>
      <c r="K12" s="52" t="str">
        <f>IF(SUMIFS('Day summary'!I$2:I$367,'Day summary'!$C$2:$C$367,MONTH($B12))*24=0,"-",SUMIFS('Day summary'!I$2:I$367,'Day summary'!$C$2:$C$367,MONTH($B12))*24)</f>
        <v>-</v>
      </c>
      <c r="L12" s="146" t="str">
        <f t="shared" ref="L12:L23" ca="1" si="0">IF(K12="-","",IF(TODAY()&gt;=DATE(Year,MONTH(B12)+1,1),K12-J12,""))</f>
        <v/>
      </c>
      <c r="M12" s="153" t="str">
        <f>IF(SUMIFS(TableTime[[Duration]:[Duration]],TableTime[[Month]:[Month]],MONTH($B12),TableTime[[Activity]:[Activity]],M$10)*24=0,"-",SUMIFS(TableTime[[Duration]:[Duration]],TableTime[[Month]:[Month]],MONTH($B12),TableTime[[Activity]:[Activity]],M$10)*24)</f>
        <v>-</v>
      </c>
      <c r="N12" s="154" t="str">
        <f>IF(SUMIFS(TableTime[[Duration]:[Duration]],TableTime[[Month]:[Month]],MONTH($B12),TableTime[[Activity]:[Activity]],N$10)*24=0,"-",SUMIFS(TableTime[[Duration]:[Duration]],TableTime[[Month]:[Month]],MONTH($B12),TableTime[[Activity]:[Activity]],N$10)*24)</f>
        <v>-</v>
      </c>
      <c r="O12" s="154" t="str">
        <f>IF(SUMIFS(TableTime[[Duration]:[Duration]],TableTime[[Month]:[Month]],MONTH($B12),TableTime[[Activity]:[Activity]],O$10)*24=0,"-",SUMIFS(TableTime[[Duration]:[Duration]],TableTime[[Month]:[Month]],MONTH($B12),TableTime[[Activity]:[Activity]],O$10)*24)</f>
        <v>-</v>
      </c>
      <c r="P12" s="154" t="str">
        <f>IF(SUMIFS(TableTime[[Duration]:[Duration]],TableTime[[Month]:[Month]],MONTH($B12),TableTime[[Activity]:[Activity]],P$10)*24=0,"-",SUMIFS(TableTime[[Duration]:[Duration]],TableTime[[Month]:[Month]],MONTH($B12),TableTime[[Activity]:[Activity]],P$10)*24)</f>
        <v>-</v>
      </c>
      <c r="Q12" s="154" t="str">
        <f>IF(SUMIFS(TableTime[[Duration]:[Duration]],TableTime[[Month]:[Month]],MONTH($B12),TableTime[[Activity]:[Activity]],Q$10)*24=0,"-",SUMIFS(TableTime[[Duration]:[Duration]],TableTime[[Month]:[Month]],MONTH($B12),TableTime[[Activity]:[Activity]],Q$10)*24)</f>
        <v>-</v>
      </c>
      <c r="R12" s="52" t="str">
        <f>IF(SUMIFS(TableTime[[Duration]:[Duration]],TableTime[[Month]:[Month]],MONTH($B12),TableTime[[Activity]:[Activity]],R$10)*24=0,"-",SUMIFS(TableTime[[Duration]:[Duration]],TableTime[[Month]:[Month]],MONTH($B12),TableTime[[Activity]:[Activity]],R$10)*24)</f>
        <v>-</v>
      </c>
      <c r="S12" s="154" t="str">
        <f>IF(SUMIFS(TableTime[[Duration]:[Duration]],TableTime[[Month]:[Month]],MONTH($B12),TableTime[[Activity]:[Activity]],S$10)*24=0,"-",SUMIFS(TableTime[[Duration]:[Duration]],TableTime[[Month]:[Month]],MONTH($B12),TableTime[[Activity]:[Activity]],S$10)*24)</f>
        <v>-</v>
      </c>
      <c r="T12" s="155" t="str">
        <f>IF(SUMIFS(TableTime[[Duration]:[Duration]],TableTime[[Month]:[Month]],MONTH($B12),TableTime[[Activity]:[Activity]],T$10)*24=0,"-",SUMIFS(TableTime[[Duration]:[Duration]],TableTime[[Month]:[Month]],MONTH($B12),TableTime[[Activity]:[Activity]],T$10)*24)</f>
        <v>-</v>
      </c>
    </row>
    <row r="13" spans="2:20" x14ac:dyDescent="0.35">
      <c r="B13" s="89">
        <f>DATE(Year,2,1)</f>
        <v>44958</v>
      </c>
      <c r="C13" s="12">
        <f>IF(COUNTIFS('Day summary'!$F$2:$F$367,C$11,'Day summary'!$C$2:$C$367,MONTH($B13))=0,"-",COUNTIFS('Day summary'!$F$2:$F$367,C$11,'Day summary'!$C$2:$C$367,MONTH($B13)))</f>
        <v>20</v>
      </c>
      <c r="D13" s="13">
        <f>IF(COUNTIFS('Day summary'!$F$2:$F$367,D$11,'Day summary'!$C$2:$C$367,MONTH($B13))=0,"-",COUNTIFS('Day summary'!$F$2:$F$367,D$11,'Day summary'!$C$2:$C$367,MONTH($B13)))</f>
        <v>8</v>
      </c>
      <c r="E13" s="13" t="str">
        <f>IF(COUNTIFS('Day summary'!$F$2:$F$367,E$11,'Day summary'!$C$2:$C$367,MONTH($B13))=0,"-",COUNTIFS('Day summary'!$F$2:$F$367,E$11,'Day summary'!$C$2:$C$367,MONTH($B13)))</f>
        <v>-</v>
      </c>
      <c r="F13" s="2" t="str">
        <f>IF(COUNTIFS('Day summary'!$F$2:$F$367,F$11,'Day summary'!$C$2:$C$367,MONTH($B13))+COUNTIFS('Day summary'!$F$2:$F$367,"H/2",'Day summary'!$C$2:$C$367,MONTH($B13))/2=0,"-",COUNTIFS('Day summary'!$F$2:$F$367,F$11,'Day summary'!$C$2:$C$367,MONTH($B13))+COUNTIFS('Day summary'!$F$2:$F$367,"H/2",'Day summary'!$C$2:$C$367,MONTH($B13))/2)</f>
        <v>-</v>
      </c>
      <c r="G13" s="13" t="str">
        <f>IF(COUNTIFS('Day summary'!$F$2:$F$367,G$11,'Day summary'!$C$2:$C$367,MONTH($B13))=0,"-",COUNTIFS('Day summary'!$F$2:$F$367,G$11,'Day summary'!$C$2:$C$367,MONTH($B13)))</f>
        <v>-</v>
      </c>
      <c r="H13" s="13" t="str">
        <f>IF(COUNTIFS('Day summary'!$F$2:$F$367,H$11,'Day summary'!$C$2:$C$367,MONTH($B13))=0,"-",COUNTIFS('Day summary'!$F$2:$F$367,H$11,'Day summary'!$C$2:$C$367,MONTH($B13)))</f>
        <v>-</v>
      </c>
      <c r="I13" s="13" t="str">
        <f>IF(COUNTIFS('Day summary'!$F$2:$F$367,I$11,'Day summary'!$C$2:$C$367,MONTH($B13))=0,"-",COUNTIFS('Day summary'!$F$2:$F$367,I$11,'Day summary'!$C$2:$C$367,MONTH($B13)))</f>
        <v>-</v>
      </c>
      <c r="J13" s="12">
        <f>SUMIFS('Day summary'!G$2:G$367,'Day summary'!$C$2:$C$367,MONTH($B13))*24</f>
        <v>159.99999999999994</v>
      </c>
      <c r="K13" s="47" t="str">
        <f>IF(SUMIFS('Day summary'!I$2:I$367,'Day summary'!$C$2:$C$367,MONTH($B13))*24=0,"-",SUMIFS('Day summary'!I$2:I$367,'Day summary'!$C$2:$C$367,MONTH($B13))*24)</f>
        <v>-</v>
      </c>
      <c r="L13" s="147" t="str">
        <f t="shared" ca="1" si="0"/>
        <v/>
      </c>
      <c r="M13" s="12" t="str">
        <f>IF(SUMIFS(TableTime[[Duration]:[Duration]],TableTime[[Month]:[Month]],MONTH($B13),TableTime[[Activity]:[Activity]],M$10)*24=0,"-",SUMIFS(TableTime[[Duration]:[Duration]],TableTime[[Month]:[Month]],MONTH($B13),TableTime[[Activity]:[Activity]],M$10)*24)</f>
        <v>-</v>
      </c>
      <c r="N13" s="152" t="str">
        <f>IF(SUMIFS(TableTime[[Duration]:[Duration]],TableTime[[Month]:[Month]],MONTH($B13),TableTime[[Activity]:[Activity]],N$10)*24=0,"-",SUMIFS(TableTime[[Duration]:[Duration]],TableTime[[Month]:[Month]],MONTH($B13),TableTime[[Activity]:[Activity]],N$10)*24)</f>
        <v>-</v>
      </c>
      <c r="O13" s="152" t="str">
        <f>IF(SUMIFS(TableTime[[Duration]:[Duration]],TableTime[[Month]:[Month]],MONTH($B13),TableTime[[Activity]:[Activity]],O$10)*24=0,"-",SUMIFS(TableTime[[Duration]:[Duration]],TableTime[[Month]:[Month]],MONTH($B13),TableTime[[Activity]:[Activity]],O$10)*24)</f>
        <v>-</v>
      </c>
      <c r="P13" s="152" t="str">
        <f>IF(SUMIFS(TableTime[[Duration]:[Duration]],TableTime[[Month]:[Month]],MONTH($B13),TableTime[[Activity]:[Activity]],P$10)*24=0,"-",SUMIFS(TableTime[[Duration]:[Duration]],TableTime[[Month]:[Month]],MONTH($B13),TableTime[[Activity]:[Activity]],P$10)*24)</f>
        <v>-</v>
      </c>
      <c r="Q13" s="152" t="str">
        <f>IF(SUMIFS(TableTime[[Duration]:[Duration]],TableTime[[Month]:[Month]],MONTH($B13),TableTime[[Activity]:[Activity]],Q$10)*24=0,"-",SUMIFS(TableTime[[Duration]:[Duration]],TableTime[[Month]:[Month]],MONTH($B13),TableTime[[Activity]:[Activity]],Q$10)*24)</f>
        <v>-</v>
      </c>
      <c r="R13" s="47" t="str">
        <f>IF(SUMIFS(TableTime[[Duration]:[Duration]],TableTime[[Month]:[Month]],MONTH($B13),TableTime[[Activity]:[Activity]],R$10)*24=0,"-",SUMIFS(TableTime[[Duration]:[Duration]],TableTime[[Month]:[Month]],MONTH($B13),TableTime[[Activity]:[Activity]],R$10)*24)</f>
        <v>-</v>
      </c>
      <c r="S13" s="152" t="str">
        <f>IF(SUMIFS(TableTime[[Duration]:[Duration]],TableTime[[Month]:[Month]],MONTH($B13),TableTime[[Activity]:[Activity]],S$10)*24=0,"-",SUMIFS(TableTime[[Duration]:[Duration]],TableTime[[Month]:[Month]],MONTH($B13),TableTime[[Activity]:[Activity]],S$10)*24)</f>
        <v>-</v>
      </c>
      <c r="T13" s="156" t="str">
        <f>IF(SUMIFS(TableTime[[Duration]:[Duration]],TableTime[[Month]:[Month]],MONTH($B13),TableTime[[Activity]:[Activity]],T$10)*24=0,"-",SUMIFS(TableTime[[Duration]:[Duration]],TableTime[[Month]:[Month]],MONTH($B13),TableTime[[Activity]:[Activity]],T$10)*24)</f>
        <v>-</v>
      </c>
    </row>
    <row r="14" spans="2:20" x14ac:dyDescent="0.35">
      <c r="B14" s="77">
        <f>DATE(Year,3,1)</f>
        <v>44986</v>
      </c>
      <c r="C14" s="14">
        <f>IF(COUNTIFS('Day summary'!$F$2:$F$367,C$11,'Day summary'!$C$2:$C$367,MONTH($B14))=0,"-",COUNTIFS('Day summary'!$F$2:$F$367,C$11,'Day summary'!$C$2:$C$367,MONTH($B14)))</f>
        <v>23</v>
      </c>
      <c r="D14" s="15">
        <f>IF(COUNTIFS('Day summary'!$F$2:$F$367,D$11,'Day summary'!$C$2:$C$367,MONTH($B14))=0,"-",COUNTIFS('Day summary'!$F$2:$F$367,D$11,'Day summary'!$C$2:$C$367,MONTH($B14)))</f>
        <v>8</v>
      </c>
      <c r="E14" s="15" t="str">
        <f>IF(COUNTIFS('Day summary'!$F$2:$F$367,E$11,'Day summary'!$C$2:$C$367,MONTH($B14))=0,"-",COUNTIFS('Day summary'!$F$2:$F$367,E$11,'Day summary'!$C$2:$C$367,MONTH($B14)))</f>
        <v>-</v>
      </c>
      <c r="F14" s="61" t="str">
        <f>IF(COUNTIFS('Day summary'!$F$2:$F$367,F$11,'Day summary'!$C$2:$C$367,MONTH($B14))+COUNTIFS('Day summary'!$F$2:$F$367,"H/2",'Day summary'!$C$2:$C$367,MONTH($B14))/2=0,"-",COUNTIFS('Day summary'!$F$2:$F$367,F$11,'Day summary'!$C$2:$C$367,MONTH($B14))+COUNTIFS('Day summary'!$F$2:$F$367,"H/2",'Day summary'!$C$2:$C$367,MONTH($B14))/2)</f>
        <v>-</v>
      </c>
      <c r="G14" s="15" t="str">
        <f>IF(COUNTIFS('Day summary'!$F$2:$F$367,G$11,'Day summary'!$C$2:$C$367,MONTH($B14))=0,"-",COUNTIFS('Day summary'!$F$2:$F$367,G$11,'Day summary'!$C$2:$C$367,MONTH($B14)))</f>
        <v>-</v>
      </c>
      <c r="H14" s="15" t="str">
        <f>IF(COUNTIFS('Day summary'!$F$2:$F$367,H$11,'Day summary'!$C$2:$C$367,MONTH($B14))=0,"-",COUNTIFS('Day summary'!$F$2:$F$367,H$11,'Day summary'!$C$2:$C$367,MONTH($B14)))</f>
        <v>-</v>
      </c>
      <c r="I14" s="15" t="str">
        <f>IF(COUNTIFS('Day summary'!$F$2:$F$367,I$11,'Day summary'!$C$2:$C$367,MONTH($B14))=0,"-",COUNTIFS('Day summary'!$F$2:$F$367,I$11,'Day summary'!$C$2:$C$367,MONTH($B14)))</f>
        <v>-</v>
      </c>
      <c r="J14" s="14">
        <f>SUMIFS('Day summary'!G$2:G$367,'Day summary'!$C$2:$C$367,MONTH($B14))*24</f>
        <v>183.99999999999991</v>
      </c>
      <c r="K14" s="48" t="str">
        <f>IF(SUMIFS('Day summary'!I$2:I$367,'Day summary'!$C$2:$C$367,MONTH($B14))*24=0,"-",SUMIFS('Day summary'!I$2:I$367,'Day summary'!$C$2:$C$367,MONTH($B14))*24)</f>
        <v>-</v>
      </c>
      <c r="L14" s="148" t="str">
        <f t="shared" ca="1" si="0"/>
        <v/>
      </c>
      <c r="M14" s="14" t="str">
        <f>IF(SUMIFS(TableTime[[Duration]:[Duration]],TableTime[[Month]:[Month]],MONTH($B14),TableTime[[Activity]:[Activity]],M$10)*24=0,"-",SUMIFS(TableTime[[Duration]:[Duration]],TableTime[[Month]:[Month]],MONTH($B14),TableTime[[Activity]:[Activity]],M$10)*24)</f>
        <v>-</v>
      </c>
      <c r="N14" s="151" t="str">
        <f>IF(SUMIFS(TableTime[[Duration]:[Duration]],TableTime[[Month]:[Month]],MONTH($B14),TableTime[[Activity]:[Activity]],N$10)*24=0,"-",SUMIFS(TableTime[[Duration]:[Duration]],TableTime[[Month]:[Month]],MONTH($B14),TableTime[[Activity]:[Activity]],N$10)*24)</f>
        <v>-</v>
      </c>
      <c r="O14" s="151" t="str">
        <f>IF(SUMIFS(TableTime[[Duration]:[Duration]],TableTime[[Month]:[Month]],MONTH($B14),TableTime[[Activity]:[Activity]],O$10)*24=0,"-",SUMIFS(TableTime[[Duration]:[Duration]],TableTime[[Month]:[Month]],MONTH($B14),TableTime[[Activity]:[Activity]],O$10)*24)</f>
        <v>-</v>
      </c>
      <c r="P14" s="151" t="str">
        <f>IF(SUMIFS(TableTime[[Duration]:[Duration]],TableTime[[Month]:[Month]],MONTH($B14),TableTime[[Activity]:[Activity]],P$10)*24=0,"-",SUMIFS(TableTime[[Duration]:[Duration]],TableTime[[Month]:[Month]],MONTH($B14),TableTime[[Activity]:[Activity]],P$10)*24)</f>
        <v>-</v>
      </c>
      <c r="Q14" s="151" t="str">
        <f>IF(SUMIFS(TableTime[[Duration]:[Duration]],TableTime[[Month]:[Month]],MONTH($B14),TableTime[[Activity]:[Activity]],Q$10)*24=0,"-",SUMIFS(TableTime[[Duration]:[Duration]],TableTime[[Month]:[Month]],MONTH($B14),TableTime[[Activity]:[Activity]],Q$10)*24)</f>
        <v>-</v>
      </c>
      <c r="R14" s="48" t="str">
        <f>IF(SUMIFS(TableTime[[Duration]:[Duration]],TableTime[[Month]:[Month]],MONTH($B14),TableTime[[Activity]:[Activity]],R$10)*24=0,"-",SUMIFS(TableTime[[Duration]:[Duration]],TableTime[[Month]:[Month]],MONTH($B14),TableTime[[Activity]:[Activity]],R$10)*24)</f>
        <v>-</v>
      </c>
      <c r="S14" s="151" t="str">
        <f>IF(SUMIFS(TableTime[[Duration]:[Duration]],TableTime[[Month]:[Month]],MONTH($B14),TableTime[[Activity]:[Activity]],S$10)*24=0,"-",SUMIFS(TableTime[[Duration]:[Duration]],TableTime[[Month]:[Month]],MONTH($B14),TableTime[[Activity]:[Activity]],S$10)*24)</f>
        <v>-</v>
      </c>
      <c r="T14" s="157" t="str">
        <f>IF(SUMIFS(TableTime[[Duration]:[Duration]],TableTime[[Month]:[Month]],MONTH($B14),TableTime[[Activity]:[Activity]],T$10)*24=0,"-",SUMIFS(TableTime[[Duration]:[Duration]],TableTime[[Month]:[Month]],MONTH($B14),TableTime[[Activity]:[Activity]],T$10)*24)</f>
        <v>-</v>
      </c>
    </row>
    <row r="15" spans="2:20" x14ac:dyDescent="0.35">
      <c r="B15" s="89">
        <f>DATE(Year,4,1)</f>
        <v>45017</v>
      </c>
      <c r="C15" s="12">
        <f>IF(COUNTIFS('Day summary'!$F$2:$F$367,C$11,'Day summary'!$C$2:$C$367,MONTH($B15))=0,"-",COUNTIFS('Day summary'!$F$2:$F$367,C$11,'Day summary'!$C$2:$C$367,MONTH($B15)))</f>
        <v>17</v>
      </c>
      <c r="D15" s="13">
        <f>IF(COUNTIFS('Day summary'!$F$2:$F$367,D$11,'Day summary'!$C$2:$C$367,MONTH($B15))=0,"-",COUNTIFS('Day summary'!$F$2:$F$367,D$11,'Day summary'!$C$2:$C$367,MONTH($B15)))</f>
        <v>10</v>
      </c>
      <c r="E15" s="13">
        <f>IF(COUNTIFS('Day summary'!$F$2:$F$367,E$11,'Day summary'!$C$2:$C$367,MONTH($B15))=0,"-",COUNTIFS('Day summary'!$F$2:$F$367,E$11,'Day summary'!$C$2:$C$367,MONTH($B15)))</f>
        <v>3</v>
      </c>
      <c r="F15" s="2" t="str">
        <f>IF(COUNTIFS('Day summary'!$F$2:$F$367,F$11,'Day summary'!$C$2:$C$367,MONTH($B15))+COUNTIFS('Day summary'!$F$2:$F$367,"H/2",'Day summary'!$C$2:$C$367,MONTH($B15))/2=0,"-",COUNTIFS('Day summary'!$F$2:$F$367,F$11,'Day summary'!$C$2:$C$367,MONTH($B15))+COUNTIFS('Day summary'!$F$2:$F$367,"H/2",'Day summary'!$C$2:$C$367,MONTH($B15))/2)</f>
        <v>-</v>
      </c>
      <c r="G15" s="13" t="str">
        <f>IF(COUNTIFS('Day summary'!$F$2:$F$367,G$11,'Day summary'!$C$2:$C$367,MONTH($B15))=0,"-",COUNTIFS('Day summary'!$F$2:$F$367,G$11,'Day summary'!$C$2:$C$367,MONTH($B15)))</f>
        <v>-</v>
      </c>
      <c r="H15" s="13" t="str">
        <f>IF(COUNTIFS('Day summary'!$F$2:$F$367,H$11,'Day summary'!$C$2:$C$367,MONTH($B15))=0,"-",COUNTIFS('Day summary'!$F$2:$F$367,H$11,'Day summary'!$C$2:$C$367,MONTH($B15)))</f>
        <v>-</v>
      </c>
      <c r="I15" s="13" t="str">
        <f>IF(COUNTIFS('Day summary'!$F$2:$F$367,I$11,'Day summary'!$C$2:$C$367,MONTH($B15))=0,"-",COUNTIFS('Day summary'!$F$2:$F$367,I$11,'Day summary'!$C$2:$C$367,MONTH($B15)))</f>
        <v>-</v>
      </c>
      <c r="J15" s="12">
        <f>SUMIFS('Day summary'!G$2:G$367,'Day summary'!$C$2:$C$367,MONTH($B15))*24</f>
        <v>135.99999999999997</v>
      </c>
      <c r="K15" s="47" t="str">
        <f>IF(SUMIFS('Day summary'!I$2:I$367,'Day summary'!$C$2:$C$367,MONTH($B15))*24=0,"-",SUMIFS('Day summary'!I$2:I$367,'Day summary'!$C$2:$C$367,MONTH($B15))*24)</f>
        <v>-</v>
      </c>
      <c r="L15" s="147" t="str">
        <f t="shared" ca="1" si="0"/>
        <v/>
      </c>
      <c r="M15" s="12" t="str">
        <f>IF(SUMIFS(TableTime[[Duration]:[Duration]],TableTime[[Month]:[Month]],MONTH($B15),TableTime[[Activity]:[Activity]],M$10)*24=0,"-",SUMIFS(TableTime[[Duration]:[Duration]],TableTime[[Month]:[Month]],MONTH($B15),TableTime[[Activity]:[Activity]],M$10)*24)</f>
        <v>-</v>
      </c>
      <c r="N15" s="152" t="str">
        <f>IF(SUMIFS(TableTime[[Duration]:[Duration]],TableTime[[Month]:[Month]],MONTH($B15),TableTime[[Activity]:[Activity]],N$10)*24=0,"-",SUMIFS(TableTime[[Duration]:[Duration]],TableTime[[Month]:[Month]],MONTH($B15),TableTime[[Activity]:[Activity]],N$10)*24)</f>
        <v>-</v>
      </c>
      <c r="O15" s="152" t="str">
        <f>IF(SUMIFS(TableTime[[Duration]:[Duration]],TableTime[[Month]:[Month]],MONTH($B15),TableTime[[Activity]:[Activity]],O$10)*24=0,"-",SUMIFS(TableTime[[Duration]:[Duration]],TableTime[[Month]:[Month]],MONTH($B15),TableTime[[Activity]:[Activity]],O$10)*24)</f>
        <v>-</v>
      </c>
      <c r="P15" s="152" t="str">
        <f>IF(SUMIFS(TableTime[[Duration]:[Duration]],TableTime[[Month]:[Month]],MONTH($B15),TableTime[[Activity]:[Activity]],P$10)*24=0,"-",SUMIFS(TableTime[[Duration]:[Duration]],TableTime[[Month]:[Month]],MONTH($B15),TableTime[[Activity]:[Activity]],P$10)*24)</f>
        <v>-</v>
      </c>
      <c r="Q15" s="152" t="str">
        <f>IF(SUMIFS(TableTime[[Duration]:[Duration]],TableTime[[Month]:[Month]],MONTH($B15),TableTime[[Activity]:[Activity]],Q$10)*24=0,"-",SUMIFS(TableTime[[Duration]:[Duration]],TableTime[[Month]:[Month]],MONTH($B15),TableTime[[Activity]:[Activity]],Q$10)*24)</f>
        <v>-</v>
      </c>
      <c r="R15" s="47" t="str">
        <f>IF(SUMIFS(TableTime[[Duration]:[Duration]],TableTime[[Month]:[Month]],MONTH($B15),TableTime[[Activity]:[Activity]],R$10)*24=0,"-",SUMIFS(TableTime[[Duration]:[Duration]],TableTime[[Month]:[Month]],MONTH($B15),TableTime[[Activity]:[Activity]],R$10)*24)</f>
        <v>-</v>
      </c>
      <c r="S15" s="152" t="str">
        <f>IF(SUMIFS(TableTime[[Duration]:[Duration]],TableTime[[Month]:[Month]],MONTH($B15),TableTime[[Activity]:[Activity]],S$10)*24=0,"-",SUMIFS(TableTime[[Duration]:[Duration]],TableTime[[Month]:[Month]],MONTH($B15),TableTime[[Activity]:[Activity]],S$10)*24)</f>
        <v>-</v>
      </c>
      <c r="T15" s="156" t="str">
        <f>IF(SUMIFS(TableTime[[Duration]:[Duration]],TableTime[[Month]:[Month]],MONTH($B15),TableTime[[Activity]:[Activity]],T$10)*24=0,"-",SUMIFS(TableTime[[Duration]:[Duration]],TableTime[[Month]:[Month]],MONTH($B15),TableTime[[Activity]:[Activity]],T$10)*24)</f>
        <v>-</v>
      </c>
    </row>
    <row r="16" spans="2:20" x14ac:dyDescent="0.35">
      <c r="B16" s="77">
        <f>DATE(Year,5,1)</f>
        <v>45047</v>
      </c>
      <c r="C16" s="14">
        <f>IF(COUNTIFS('Day summary'!$F$2:$F$367,C$11,'Day summary'!$C$2:$C$367,MONTH($B16))=0,"-",COUNTIFS('Day summary'!$F$2:$F$367,C$11,'Day summary'!$C$2:$C$367,MONTH($B16)))</f>
        <v>21</v>
      </c>
      <c r="D16" s="15">
        <f>IF(COUNTIFS('Day summary'!$F$2:$F$367,D$11,'Day summary'!$C$2:$C$367,MONTH($B16))=0,"-",COUNTIFS('Day summary'!$F$2:$F$367,D$11,'Day summary'!$C$2:$C$367,MONTH($B16)))</f>
        <v>8</v>
      </c>
      <c r="E16" s="15">
        <f>IF(COUNTIFS('Day summary'!$F$2:$F$367,E$11,'Day summary'!$C$2:$C$367,MONTH($B16))=0,"-",COUNTIFS('Day summary'!$F$2:$F$367,E$11,'Day summary'!$C$2:$C$367,MONTH($B16)))</f>
        <v>2</v>
      </c>
      <c r="F16" s="61" t="str">
        <f>IF(COUNTIFS('Day summary'!$F$2:$F$367,F$11,'Day summary'!$C$2:$C$367,MONTH($B16))+COUNTIFS('Day summary'!$F$2:$F$367,"H/2",'Day summary'!$C$2:$C$367,MONTH($B16))/2=0,"-",COUNTIFS('Day summary'!$F$2:$F$367,F$11,'Day summary'!$C$2:$C$367,MONTH($B16))+COUNTIFS('Day summary'!$F$2:$F$367,"H/2",'Day summary'!$C$2:$C$367,MONTH($B16))/2)</f>
        <v>-</v>
      </c>
      <c r="G16" s="15" t="str">
        <f>IF(COUNTIFS('Day summary'!$F$2:$F$367,G$11,'Day summary'!$C$2:$C$367,MONTH($B16))=0,"-",COUNTIFS('Day summary'!$F$2:$F$367,G$11,'Day summary'!$C$2:$C$367,MONTH($B16)))</f>
        <v>-</v>
      </c>
      <c r="H16" s="15" t="str">
        <f>IF(COUNTIFS('Day summary'!$F$2:$F$367,H$11,'Day summary'!$C$2:$C$367,MONTH($B16))=0,"-",COUNTIFS('Day summary'!$F$2:$F$367,H$11,'Day summary'!$C$2:$C$367,MONTH($B16)))</f>
        <v>-</v>
      </c>
      <c r="I16" s="15" t="str">
        <f>IF(COUNTIFS('Day summary'!$F$2:$F$367,I$11,'Day summary'!$C$2:$C$367,MONTH($B16))=0,"-",COUNTIFS('Day summary'!$F$2:$F$367,I$11,'Day summary'!$C$2:$C$367,MONTH($B16)))</f>
        <v>-</v>
      </c>
      <c r="J16" s="14">
        <f>SUMIFS('Day summary'!G$2:G$367,'Day summary'!$C$2:$C$367,MONTH($B16))*24</f>
        <v>167.99999999999994</v>
      </c>
      <c r="K16" s="48" t="str">
        <f>IF(SUMIFS('Day summary'!I$2:I$367,'Day summary'!$C$2:$C$367,MONTH($B16))*24=0,"-",SUMIFS('Day summary'!I$2:I$367,'Day summary'!$C$2:$C$367,MONTH($B16))*24)</f>
        <v>-</v>
      </c>
      <c r="L16" s="148" t="str">
        <f t="shared" ca="1" si="0"/>
        <v/>
      </c>
      <c r="M16" s="14" t="str">
        <f>IF(SUMIFS(TableTime[[Duration]:[Duration]],TableTime[[Month]:[Month]],MONTH($B16),TableTime[[Activity]:[Activity]],M$10)*24=0,"-",SUMIFS(TableTime[[Duration]:[Duration]],TableTime[[Month]:[Month]],MONTH($B16),TableTime[[Activity]:[Activity]],M$10)*24)</f>
        <v>-</v>
      </c>
      <c r="N16" s="151" t="str">
        <f>IF(SUMIFS(TableTime[[Duration]:[Duration]],TableTime[[Month]:[Month]],MONTH($B16),TableTime[[Activity]:[Activity]],N$10)*24=0,"-",SUMIFS(TableTime[[Duration]:[Duration]],TableTime[[Month]:[Month]],MONTH($B16),TableTime[[Activity]:[Activity]],N$10)*24)</f>
        <v>-</v>
      </c>
      <c r="O16" s="151" t="str">
        <f>IF(SUMIFS(TableTime[[Duration]:[Duration]],TableTime[[Month]:[Month]],MONTH($B16),TableTime[[Activity]:[Activity]],O$10)*24=0,"-",SUMIFS(TableTime[[Duration]:[Duration]],TableTime[[Month]:[Month]],MONTH($B16),TableTime[[Activity]:[Activity]],O$10)*24)</f>
        <v>-</v>
      </c>
      <c r="P16" s="151" t="str">
        <f>IF(SUMIFS(TableTime[[Duration]:[Duration]],TableTime[[Month]:[Month]],MONTH($B16),TableTime[[Activity]:[Activity]],P$10)*24=0,"-",SUMIFS(TableTime[[Duration]:[Duration]],TableTime[[Month]:[Month]],MONTH($B16),TableTime[[Activity]:[Activity]],P$10)*24)</f>
        <v>-</v>
      </c>
      <c r="Q16" s="151" t="str">
        <f>IF(SUMIFS(TableTime[[Duration]:[Duration]],TableTime[[Month]:[Month]],MONTH($B16),TableTime[[Activity]:[Activity]],Q$10)*24=0,"-",SUMIFS(TableTime[[Duration]:[Duration]],TableTime[[Month]:[Month]],MONTH($B16),TableTime[[Activity]:[Activity]],Q$10)*24)</f>
        <v>-</v>
      </c>
      <c r="R16" s="48" t="str">
        <f>IF(SUMIFS(TableTime[[Duration]:[Duration]],TableTime[[Month]:[Month]],MONTH($B16),TableTime[[Activity]:[Activity]],R$10)*24=0,"-",SUMIFS(TableTime[[Duration]:[Duration]],TableTime[[Month]:[Month]],MONTH($B16),TableTime[[Activity]:[Activity]],R$10)*24)</f>
        <v>-</v>
      </c>
      <c r="S16" s="151" t="str">
        <f>IF(SUMIFS(TableTime[[Duration]:[Duration]],TableTime[[Month]:[Month]],MONTH($B16),TableTime[[Activity]:[Activity]],S$10)*24=0,"-",SUMIFS(TableTime[[Duration]:[Duration]],TableTime[[Month]:[Month]],MONTH($B16),TableTime[[Activity]:[Activity]],S$10)*24)</f>
        <v>-</v>
      </c>
      <c r="T16" s="157" t="str">
        <f>IF(SUMIFS(TableTime[[Duration]:[Duration]],TableTime[[Month]:[Month]],MONTH($B16),TableTime[[Activity]:[Activity]],T$10)*24=0,"-",SUMIFS(TableTime[[Duration]:[Duration]],TableTime[[Month]:[Month]],MONTH($B16),TableTime[[Activity]:[Activity]],T$10)*24)</f>
        <v>-</v>
      </c>
    </row>
    <row r="17" spans="2:20" x14ac:dyDescent="0.35">
      <c r="B17" s="89">
        <f>DATE(Year,6,1)</f>
        <v>45078</v>
      </c>
      <c r="C17" s="12">
        <f>IF(COUNTIFS('Day summary'!$F$2:$F$367,C$11,'Day summary'!$C$2:$C$367,MONTH($B17))=0,"-",COUNTIFS('Day summary'!$F$2:$F$367,C$11,'Day summary'!$C$2:$C$367,MONTH($B17)))</f>
        <v>22</v>
      </c>
      <c r="D17" s="13">
        <f>IF(COUNTIFS('Day summary'!$F$2:$F$367,D$11,'Day summary'!$C$2:$C$367,MONTH($B17))=0,"-",COUNTIFS('Day summary'!$F$2:$F$367,D$11,'Day summary'!$C$2:$C$367,MONTH($B17)))</f>
        <v>8</v>
      </c>
      <c r="E17" s="13" t="str">
        <f>IF(COUNTIFS('Day summary'!$F$2:$F$367,E$11,'Day summary'!$C$2:$C$367,MONTH($B17))=0,"-",COUNTIFS('Day summary'!$F$2:$F$367,E$11,'Day summary'!$C$2:$C$367,MONTH($B17)))</f>
        <v>-</v>
      </c>
      <c r="F17" s="2" t="str">
        <f>IF(COUNTIFS('Day summary'!$F$2:$F$367,F$11,'Day summary'!$C$2:$C$367,MONTH($B17))+COUNTIFS('Day summary'!$F$2:$F$367,"H/2",'Day summary'!$C$2:$C$367,MONTH($B17))/2=0,"-",COUNTIFS('Day summary'!$F$2:$F$367,F$11,'Day summary'!$C$2:$C$367,MONTH($B17))+COUNTIFS('Day summary'!$F$2:$F$367,"H/2",'Day summary'!$C$2:$C$367,MONTH($B17))/2)</f>
        <v>-</v>
      </c>
      <c r="G17" s="13" t="str">
        <f>IF(COUNTIFS('Day summary'!$F$2:$F$367,G$11,'Day summary'!$C$2:$C$367,MONTH($B17))=0,"-",COUNTIFS('Day summary'!$F$2:$F$367,G$11,'Day summary'!$C$2:$C$367,MONTH($B17)))</f>
        <v>-</v>
      </c>
      <c r="H17" s="13" t="str">
        <f>IF(COUNTIFS('Day summary'!$F$2:$F$367,H$11,'Day summary'!$C$2:$C$367,MONTH($B17))=0,"-",COUNTIFS('Day summary'!$F$2:$F$367,H$11,'Day summary'!$C$2:$C$367,MONTH($B17)))</f>
        <v>-</v>
      </c>
      <c r="I17" s="13" t="str">
        <f>IF(COUNTIFS('Day summary'!$F$2:$F$367,I$11,'Day summary'!$C$2:$C$367,MONTH($B17))=0,"-",COUNTIFS('Day summary'!$F$2:$F$367,I$11,'Day summary'!$C$2:$C$367,MONTH($B17)))</f>
        <v>-</v>
      </c>
      <c r="J17" s="12">
        <f>SUMIFS('Day summary'!G$2:G$367,'Day summary'!$C$2:$C$367,MONTH($B17))*24</f>
        <v>175.99999999999994</v>
      </c>
      <c r="K17" s="47" t="str">
        <f>IF(SUMIFS('Day summary'!I$2:I$367,'Day summary'!$C$2:$C$367,MONTH($B17))*24=0,"-",SUMIFS('Day summary'!I$2:I$367,'Day summary'!$C$2:$C$367,MONTH($B17))*24)</f>
        <v>-</v>
      </c>
      <c r="L17" s="147" t="str">
        <f t="shared" ca="1" si="0"/>
        <v/>
      </c>
      <c r="M17" s="12" t="str">
        <f>IF(SUMIFS(TableTime[[Duration]:[Duration]],TableTime[[Month]:[Month]],MONTH($B17),TableTime[[Activity]:[Activity]],M$10)*24=0,"-",SUMIFS(TableTime[[Duration]:[Duration]],TableTime[[Month]:[Month]],MONTH($B17),TableTime[[Activity]:[Activity]],M$10)*24)</f>
        <v>-</v>
      </c>
      <c r="N17" s="152" t="str">
        <f>IF(SUMIFS(TableTime[[Duration]:[Duration]],TableTime[[Month]:[Month]],MONTH($B17),TableTime[[Activity]:[Activity]],N$10)*24=0,"-",SUMIFS(TableTime[[Duration]:[Duration]],TableTime[[Month]:[Month]],MONTH($B17),TableTime[[Activity]:[Activity]],N$10)*24)</f>
        <v>-</v>
      </c>
      <c r="O17" s="152" t="str">
        <f>IF(SUMIFS(TableTime[[Duration]:[Duration]],TableTime[[Month]:[Month]],MONTH($B17),TableTime[[Activity]:[Activity]],O$10)*24=0,"-",SUMIFS(TableTime[[Duration]:[Duration]],TableTime[[Month]:[Month]],MONTH($B17),TableTime[[Activity]:[Activity]],O$10)*24)</f>
        <v>-</v>
      </c>
      <c r="P17" s="152" t="str">
        <f>IF(SUMIFS(TableTime[[Duration]:[Duration]],TableTime[[Month]:[Month]],MONTH($B17),TableTime[[Activity]:[Activity]],P$10)*24=0,"-",SUMIFS(TableTime[[Duration]:[Duration]],TableTime[[Month]:[Month]],MONTH($B17),TableTime[[Activity]:[Activity]],P$10)*24)</f>
        <v>-</v>
      </c>
      <c r="Q17" s="152" t="str">
        <f>IF(SUMIFS(TableTime[[Duration]:[Duration]],TableTime[[Month]:[Month]],MONTH($B17),TableTime[[Activity]:[Activity]],Q$10)*24=0,"-",SUMIFS(TableTime[[Duration]:[Duration]],TableTime[[Month]:[Month]],MONTH($B17),TableTime[[Activity]:[Activity]],Q$10)*24)</f>
        <v>-</v>
      </c>
      <c r="R17" s="47" t="str">
        <f>IF(SUMIFS(TableTime[[Duration]:[Duration]],TableTime[[Month]:[Month]],MONTH($B17),TableTime[[Activity]:[Activity]],R$10)*24=0,"-",SUMIFS(TableTime[[Duration]:[Duration]],TableTime[[Month]:[Month]],MONTH($B17),TableTime[[Activity]:[Activity]],R$10)*24)</f>
        <v>-</v>
      </c>
      <c r="S17" s="152" t="str">
        <f>IF(SUMIFS(TableTime[[Duration]:[Duration]],TableTime[[Month]:[Month]],MONTH($B17),TableTime[[Activity]:[Activity]],S$10)*24=0,"-",SUMIFS(TableTime[[Duration]:[Duration]],TableTime[[Month]:[Month]],MONTH($B17),TableTime[[Activity]:[Activity]],S$10)*24)</f>
        <v>-</v>
      </c>
      <c r="T17" s="156" t="str">
        <f>IF(SUMIFS(TableTime[[Duration]:[Duration]],TableTime[[Month]:[Month]],MONTH($B17),TableTime[[Activity]:[Activity]],T$10)*24=0,"-",SUMIFS(TableTime[[Duration]:[Duration]],TableTime[[Month]:[Month]],MONTH($B17),TableTime[[Activity]:[Activity]],T$10)*24)</f>
        <v>-</v>
      </c>
    </row>
    <row r="18" spans="2:20" x14ac:dyDescent="0.35">
      <c r="B18" s="77">
        <f>DATE(Year,7,1)</f>
        <v>45108</v>
      </c>
      <c r="C18" s="14">
        <f>IF(COUNTIFS('Day summary'!$F$2:$F$367,C$11,'Day summary'!$C$2:$C$367,MONTH($B18))=0,"-",COUNTIFS('Day summary'!$F$2:$F$367,C$11,'Day summary'!$C$2:$C$367,MONTH($B18)))</f>
        <v>21</v>
      </c>
      <c r="D18" s="15">
        <f>IF(COUNTIFS('Day summary'!$F$2:$F$367,D$11,'Day summary'!$C$2:$C$367,MONTH($B18))=0,"-",COUNTIFS('Day summary'!$F$2:$F$367,D$11,'Day summary'!$C$2:$C$367,MONTH($B18)))</f>
        <v>10</v>
      </c>
      <c r="E18" s="15" t="str">
        <f>IF(COUNTIFS('Day summary'!$F$2:$F$367,E$11,'Day summary'!$C$2:$C$367,MONTH($B18))=0,"-",COUNTIFS('Day summary'!$F$2:$F$367,E$11,'Day summary'!$C$2:$C$367,MONTH($B18)))</f>
        <v>-</v>
      </c>
      <c r="F18" s="61" t="str">
        <f>IF(COUNTIFS('Day summary'!$F$2:$F$367,F$11,'Day summary'!$C$2:$C$367,MONTH($B18))+COUNTIFS('Day summary'!$F$2:$F$367,"H/2",'Day summary'!$C$2:$C$367,MONTH($B18))/2=0,"-",COUNTIFS('Day summary'!$F$2:$F$367,F$11,'Day summary'!$C$2:$C$367,MONTH($B18))+COUNTIFS('Day summary'!$F$2:$F$367,"H/2",'Day summary'!$C$2:$C$367,MONTH($B18))/2)</f>
        <v>-</v>
      </c>
      <c r="G18" s="15" t="str">
        <f>IF(COUNTIFS('Day summary'!$F$2:$F$367,G$11,'Day summary'!$C$2:$C$367,MONTH($B18))=0,"-",COUNTIFS('Day summary'!$F$2:$F$367,G$11,'Day summary'!$C$2:$C$367,MONTH($B18)))</f>
        <v>-</v>
      </c>
      <c r="H18" s="15" t="str">
        <f>IF(COUNTIFS('Day summary'!$F$2:$F$367,H$11,'Day summary'!$C$2:$C$367,MONTH($B18))=0,"-",COUNTIFS('Day summary'!$F$2:$F$367,H$11,'Day summary'!$C$2:$C$367,MONTH($B18)))</f>
        <v>-</v>
      </c>
      <c r="I18" s="15" t="str">
        <f>IF(COUNTIFS('Day summary'!$F$2:$F$367,I$11,'Day summary'!$C$2:$C$367,MONTH($B18))=0,"-",COUNTIFS('Day summary'!$F$2:$F$367,I$11,'Day summary'!$C$2:$C$367,MONTH($B18)))</f>
        <v>-</v>
      </c>
      <c r="J18" s="14">
        <f>SUMIFS('Day summary'!G$2:G$367,'Day summary'!$C$2:$C$367,MONTH($B18))*24</f>
        <v>167.99999999999994</v>
      </c>
      <c r="K18" s="48" t="str">
        <f>IF(SUMIFS('Day summary'!I$2:I$367,'Day summary'!$C$2:$C$367,MONTH($B18))*24=0,"-",SUMIFS('Day summary'!I$2:I$367,'Day summary'!$C$2:$C$367,MONTH($B18))*24)</f>
        <v>-</v>
      </c>
      <c r="L18" s="148" t="str">
        <f t="shared" ca="1" si="0"/>
        <v/>
      </c>
      <c r="M18" s="14" t="str">
        <f>IF(SUMIFS(TableTime[[Duration]:[Duration]],TableTime[[Month]:[Month]],MONTH($B18),TableTime[[Activity]:[Activity]],M$10)*24=0,"-",SUMIFS(TableTime[[Duration]:[Duration]],TableTime[[Month]:[Month]],MONTH($B18),TableTime[[Activity]:[Activity]],M$10)*24)</f>
        <v>-</v>
      </c>
      <c r="N18" s="151" t="str">
        <f>IF(SUMIFS(TableTime[[Duration]:[Duration]],TableTime[[Month]:[Month]],MONTH($B18),TableTime[[Activity]:[Activity]],N$10)*24=0,"-",SUMIFS(TableTime[[Duration]:[Duration]],TableTime[[Month]:[Month]],MONTH($B18),TableTime[[Activity]:[Activity]],N$10)*24)</f>
        <v>-</v>
      </c>
      <c r="O18" s="151" t="str">
        <f>IF(SUMIFS(TableTime[[Duration]:[Duration]],TableTime[[Month]:[Month]],MONTH($B18),TableTime[[Activity]:[Activity]],O$10)*24=0,"-",SUMIFS(TableTime[[Duration]:[Duration]],TableTime[[Month]:[Month]],MONTH($B18),TableTime[[Activity]:[Activity]],O$10)*24)</f>
        <v>-</v>
      </c>
      <c r="P18" s="151" t="str">
        <f>IF(SUMIFS(TableTime[[Duration]:[Duration]],TableTime[[Month]:[Month]],MONTH($B18),TableTime[[Activity]:[Activity]],P$10)*24=0,"-",SUMIFS(TableTime[[Duration]:[Duration]],TableTime[[Month]:[Month]],MONTH($B18),TableTime[[Activity]:[Activity]],P$10)*24)</f>
        <v>-</v>
      </c>
      <c r="Q18" s="151" t="str">
        <f>IF(SUMIFS(TableTime[[Duration]:[Duration]],TableTime[[Month]:[Month]],MONTH($B18),TableTime[[Activity]:[Activity]],Q$10)*24=0,"-",SUMIFS(TableTime[[Duration]:[Duration]],TableTime[[Month]:[Month]],MONTH($B18),TableTime[[Activity]:[Activity]],Q$10)*24)</f>
        <v>-</v>
      </c>
      <c r="R18" s="48" t="str">
        <f>IF(SUMIFS(TableTime[[Duration]:[Duration]],TableTime[[Month]:[Month]],MONTH($B18),TableTime[[Activity]:[Activity]],R$10)*24=0,"-",SUMIFS(TableTime[[Duration]:[Duration]],TableTime[[Month]:[Month]],MONTH($B18),TableTime[[Activity]:[Activity]],R$10)*24)</f>
        <v>-</v>
      </c>
      <c r="S18" s="151" t="str">
        <f>IF(SUMIFS(TableTime[[Duration]:[Duration]],TableTime[[Month]:[Month]],MONTH($B18),TableTime[[Activity]:[Activity]],S$10)*24=0,"-",SUMIFS(TableTime[[Duration]:[Duration]],TableTime[[Month]:[Month]],MONTH($B18),TableTime[[Activity]:[Activity]],S$10)*24)</f>
        <v>-</v>
      </c>
      <c r="T18" s="157" t="str">
        <f>IF(SUMIFS(TableTime[[Duration]:[Duration]],TableTime[[Month]:[Month]],MONTH($B18),TableTime[[Activity]:[Activity]],T$10)*24=0,"-",SUMIFS(TableTime[[Duration]:[Duration]],TableTime[[Month]:[Month]],MONTH($B18),TableTime[[Activity]:[Activity]],T$10)*24)</f>
        <v>-</v>
      </c>
    </row>
    <row r="19" spans="2:20" x14ac:dyDescent="0.35">
      <c r="B19" s="89">
        <f>DATE(Year,8,1)</f>
        <v>45139</v>
      </c>
      <c r="C19" s="12">
        <f>IF(COUNTIFS('Day summary'!$F$2:$F$367,C$11,'Day summary'!$C$2:$C$367,MONTH($B19))=0,"-",COUNTIFS('Day summary'!$F$2:$F$367,C$11,'Day summary'!$C$2:$C$367,MONTH($B19)))</f>
        <v>23</v>
      </c>
      <c r="D19" s="13">
        <f>IF(COUNTIFS('Day summary'!$F$2:$F$367,D$11,'Day summary'!$C$2:$C$367,MONTH($B19))=0,"-",COUNTIFS('Day summary'!$F$2:$F$367,D$11,'Day summary'!$C$2:$C$367,MONTH($B19)))</f>
        <v>8</v>
      </c>
      <c r="E19" s="13" t="str">
        <f>IF(COUNTIFS('Day summary'!$F$2:$F$367,E$11,'Day summary'!$C$2:$C$367,MONTH($B19))=0,"-",COUNTIFS('Day summary'!$F$2:$F$367,E$11,'Day summary'!$C$2:$C$367,MONTH($B19)))</f>
        <v>-</v>
      </c>
      <c r="F19" s="2" t="str">
        <f>IF(COUNTIFS('Day summary'!$F$2:$F$367,F$11,'Day summary'!$C$2:$C$367,MONTH($B19))+COUNTIFS('Day summary'!$F$2:$F$367,"H/2",'Day summary'!$C$2:$C$367,MONTH($B19))/2=0,"-",COUNTIFS('Day summary'!$F$2:$F$367,F$11,'Day summary'!$C$2:$C$367,MONTH($B19))+COUNTIFS('Day summary'!$F$2:$F$367,"H/2",'Day summary'!$C$2:$C$367,MONTH($B19))/2)</f>
        <v>-</v>
      </c>
      <c r="G19" s="13" t="str">
        <f>IF(COUNTIFS('Day summary'!$F$2:$F$367,G$11,'Day summary'!$C$2:$C$367,MONTH($B19))=0,"-",COUNTIFS('Day summary'!$F$2:$F$367,G$11,'Day summary'!$C$2:$C$367,MONTH($B19)))</f>
        <v>-</v>
      </c>
      <c r="H19" s="13" t="str">
        <f>IF(COUNTIFS('Day summary'!$F$2:$F$367,H$11,'Day summary'!$C$2:$C$367,MONTH($B19))=0,"-",COUNTIFS('Day summary'!$F$2:$F$367,H$11,'Day summary'!$C$2:$C$367,MONTH($B19)))</f>
        <v>-</v>
      </c>
      <c r="I19" s="13" t="str">
        <f>IF(COUNTIFS('Day summary'!$F$2:$F$367,I$11,'Day summary'!$C$2:$C$367,MONTH($B19))=0,"-",COUNTIFS('Day summary'!$F$2:$F$367,I$11,'Day summary'!$C$2:$C$367,MONTH($B19)))</f>
        <v>-</v>
      </c>
      <c r="J19" s="12">
        <f>SUMIFS('Day summary'!G$2:G$367,'Day summary'!$C$2:$C$367,MONTH($B19))*24</f>
        <v>183.99999999999991</v>
      </c>
      <c r="K19" s="47" t="str">
        <f>IF(SUMIFS('Day summary'!I$2:I$367,'Day summary'!$C$2:$C$367,MONTH($B19))*24=0,"-",SUMIFS('Day summary'!I$2:I$367,'Day summary'!$C$2:$C$367,MONTH($B19))*24)</f>
        <v>-</v>
      </c>
      <c r="L19" s="147" t="str">
        <f t="shared" ca="1" si="0"/>
        <v/>
      </c>
      <c r="M19" s="12" t="str">
        <f>IF(SUMIFS(TableTime[[Duration]:[Duration]],TableTime[[Month]:[Month]],MONTH($B19),TableTime[[Activity]:[Activity]],M$10)*24=0,"-",SUMIFS(TableTime[[Duration]:[Duration]],TableTime[[Month]:[Month]],MONTH($B19),TableTime[[Activity]:[Activity]],M$10)*24)</f>
        <v>-</v>
      </c>
      <c r="N19" s="152" t="str">
        <f>IF(SUMIFS(TableTime[[Duration]:[Duration]],TableTime[[Month]:[Month]],MONTH($B19),TableTime[[Activity]:[Activity]],N$10)*24=0,"-",SUMIFS(TableTime[[Duration]:[Duration]],TableTime[[Month]:[Month]],MONTH($B19),TableTime[[Activity]:[Activity]],N$10)*24)</f>
        <v>-</v>
      </c>
      <c r="O19" s="152" t="str">
        <f>IF(SUMIFS(TableTime[[Duration]:[Duration]],TableTime[[Month]:[Month]],MONTH($B19),TableTime[[Activity]:[Activity]],O$10)*24=0,"-",SUMIFS(TableTime[[Duration]:[Duration]],TableTime[[Month]:[Month]],MONTH($B19),TableTime[[Activity]:[Activity]],O$10)*24)</f>
        <v>-</v>
      </c>
      <c r="P19" s="152" t="str">
        <f>IF(SUMIFS(TableTime[[Duration]:[Duration]],TableTime[[Month]:[Month]],MONTH($B19),TableTime[[Activity]:[Activity]],P$10)*24=0,"-",SUMIFS(TableTime[[Duration]:[Duration]],TableTime[[Month]:[Month]],MONTH($B19),TableTime[[Activity]:[Activity]],P$10)*24)</f>
        <v>-</v>
      </c>
      <c r="Q19" s="152" t="str">
        <f>IF(SUMIFS(TableTime[[Duration]:[Duration]],TableTime[[Month]:[Month]],MONTH($B19),TableTime[[Activity]:[Activity]],Q$10)*24=0,"-",SUMIFS(TableTime[[Duration]:[Duration]],TableTime[[Month]:[Month]],MONTH($B19),TableTime[[Activity]:[Activity]],Q$10)*24)</f>
        <v>-</v>
      </c>
      <c r="R19" s="47" t="str">
        <f>IF(SUMIFS(TableTime[[Duration]:[Duration]],TableTime[[Month]:[Month]],MONTH($B19),TableTime[[Activity]:[Activity]],R$10)*24=0,"-",SUMIFS(TableTime[[Duration]:[Duration]],TableTime[[Month]:[Month]],MONTH($B19),TableTime[[Activity]:[Activity]],R$10)*24)</f>
        <v>-</v>
      </c>
      <c r="S19" s="152" t="str">
        <f>IF(SUMIFS(TableTime[[Duration]:[Duration]],TableTime[[Month]:[Month]],MONTH($B19),TableTime[[Activity]:[Activity]],S$10)*24=0,"-",SUMIFS(TableTime[[Duration]:[Duration]],TableTime[[Month]:[Month]],MONTH($B19),TableTime[[Activity]:[Activity]],S$10)*24)</f>
        <v>-</v>
      </c>
      <c r="T19" s="156" t="str">
        <f>IF(SUMIFS(TableTime[[Duration]:[Duration]],TableTime[[Month]:[Month]],MONTH($B19),TableTime[[Activity]:[Activity]],T$10)*24=0,"-",SUMIFS(TableTime[[Duration]:[Duration]],TableTime[[Month]:[Month]],MONTH($B19),TableTime[[Activity]:[Activity]],T$10)*24)</f>
        <v>-</v>
      </c>
    </row>
    <row r="20" spans="2:20" x14ac:dyDescent="0.35">
      <c r="B20" s="77">
        <f>DATE(Year,9,1)</f>
        <v>45170</v>
      </c>
      <c r="C20" s="14">
        <f>IF(COUNTIFS('Day summary'!$F$2:$F$367,C$11,'Day summary'!$C$2:$C$367,MONTH($B20))=0,"-",COUNTIFS('Day summary'!$F$2:$F$367,C$11,'Day summary'!$C$2:$C$367,MONTH($B20)))</f>
        <v>21</v>
      </c>
      <c r="D20" s="15">
        <f>IF(COUNTIFS('Day summary'!$F$2:$F$367,D$11,'Day summary'!$C$2:$C$367,MONTH($B20))=0,"-",COUNTIFS('Day summary'!$F$2:$F$367,D$11,'Day summary'!$C$2:$C$367,MONTH($B20)))</f>
        <v>9</v>
      </c>
      <c r="E20" s="15" t="str">
        <f>IF(COUNTIFS('Day summary'!$F$2:$F$367,E$11,'Day summary'!$C$2:$C$367,MONTH($B20))=0,"-",COUNTIFS('Day summary'!$F$2:$F$367,E$11,'Day summary'!$C$2:$C$367,MONTH($B20)))</f>
        <v>-</v>
      </c>
      <c r="F20" s="61" t="str">
        <f>IF(COUNTIFS('Day summary'!$F$2:$F$367,F$11,'Day summary'!$C$2:$C$367,MONTH($B20))+COUNTIFS('Day summary'!$F$2:$F$367,"H/2",'Day summary'!$C$2:$C$367,MONTH($B20))/2=0,"-",COUNTIFS('Day summary'!$F$2:$F$367,F$11,'Day summary'!$C$2:$C$367,MONTH($B20))+COUNTIFS('Day summary'!$F$2:$F$367,"H/2",'Day summary'!$C$2:$C$367,MONTH($B20))/2)</f>
        <v>-</v>
      </c>
      <c r="G20" s="15" t="str">
        <f>IF(COUNTIFS('Day summary'!$F$2:$F$367,G$11,'Day summary'!$C$2:$C$367,MONTH($B20))=0,"-",COUNTIFS('Day summary'!$F$2:$F$367,G$11,'Day summary'!$C$2:$C$367,MONTH($B20)))</f>
        <v>-</v>
      </c>
      <c r="H20" s="15" t="str">
        <f>IF(COUNTIFS('Day summary'!$F$2:$F$367,H$11,'Day summary'!$C$2:$C$367,MONTH($B20))=0,"-",COUNTIFS('Day summary'!$F$2:$F$367,H$11,'Day summary'!$C$2:$C$367,MONTH($B20)))</f>
        <v>-</v>
      </c>
      <c r="I20" s="15" t="str">
        <f>IF(COUNTIFS('Day summary'!$F$2:$F$367,I$11,'Day summary'!$C$2:$C$367,MONTH($B20))=0,"-",COUNTIFS('Day summary'!$F$2:$F$367,I$11,'Day summary'!$C$2:$C$367,MONTH($B20)))</f>
        <v>-</v>
      </c>
      <c r="J20" s="14">
        <f>SUMIFS('Day summary'!G$2:G$367,'Day summary'!$C$2:$C$367,MONTH($B20))*24</f>
        <v>167.99999999999994</v>
      </c>
      <c r="K20" s="48" t="str">
        <f>IF(SUMIFS('Day summary'!I$2:I$367,'Day summary'!$C$2:$C$367,MONTH($B20))*24=0,"-",SUMIFS('Day summary'!I$2:I$367,'Day summary'!$C$2:$C$367,MONTH($B20))*24)</f>
        <v>-</v>
      </c>
      <c r="L20" s="148" t="str">
        <f t="shared" ca="1" si="0"/>
        <v/>
      </c>
      <c r="M20" s="14" t="str">
        <f>IF(SUMIFS(TableTime[[Duration]:[Duration]],TableTime[[Month]:[Month]],MONTH($B20),TableTime[[Activity]:[Activity]],M$10)*24=0,"-",SUMIFS(TableTime[[Duration]:[Duration]],TableTime[[Month]:[Month]],MONTH($B20),TableTime[[Activity]:[Activity]],M$10)*24)</f>
        <v>-</v>
      </c>
      <c r="N20" s="151" t="str">
        <f>IF(SUMIFS(TableTime[[Duration]:[Duration]],TableTime[[Month]:[Month]],MONTH($B20),TableTime[[Activity]:[Activity]],N$10)*24=0,"-",SUMIFS(TableTime[[Duration]:[Duration]],TableTime[[Month]:[Month]],MONTH($B20),TableTime[[Activity]:[Activity]],N$10)*24)</f>
        <v>-</v>
      </c>
      <c r="O20" s="151" t="str">
        <f>IF(SUMIFS(TableTime[[Duration]:[Duration]],TableTime[[Month]:[Month]],MONTH($B20),TableTime[[Activity]:[Activity]],O$10)*24=0,"-",SUMIFS(TableTime[[Duration]:[Duration]],TableTime[[Month]:[Month]],MONTH($B20),TableTime[[Activity]:[Activity]],O$10)*24)</f>
        <v>-</v>
      </c>
      <c r="P20" s="151" t="str">
        <f>IF(SUMIFS(TableTime[[Duration]:[Duration]],TableTime[[Month]:[Month]],MONTH($B20),TableTime[[Activity]:[Activity]],P$10)*24=0,"-",SUMIFS(TableTime[[Duration]:[Duration]],TableTime[[Month]:[Month]],MONTH($B20),TableTime[[Activity]:[Activity]],P$10)*24)</f>
        <v>-</v>
      </c>
      <c r="Q20" s="151" t="str">
        <f>IF(SUMIFS(TableTime[[Duration]:[Duration]],TableTime[[Month]:[Month]],MONTH($B20),TableTime[[Activity]:[Activity]],Q$10)*24=0,"-",SUMIFS(TableTime[[Duration]:[Duration]],TableTime[[Month]:[Month]],MONTH($B20),TableTime[[Activity]:[Activity]],Q$10)*24)</f>
        <v>-</v>
      </c>
      <c r="R20" s="48" t="str">
        <f>IF(SUMIFS(TableTime[[Duration]:[Duration]],TableTime[[Month]:[Month]],MONTH($B20),TableTime[[Activity]:[Activity]],R$10)*24=0,"-",SUMIFS(TableTime[[Duration]:[Duration]],TableTime[[Month]:[Month]],MONTH($B20),TableTime[[Activity]:[Activity]],R$10)*24)</f>
        <v>-</v>
      </c>
      <c r="S20" s="151" t="str">
        <f>IF(SUMIFS(TableTime[[Duration]:[Duration]],TableTime[[Month]:[Month]],MONTH($B20),TableTime[[Activity]:[Activity]],S$10)*24=0,"-",SUMIFS(TableTime[[Duration]:[Duration]],TableTime[[Month]:[Month]],MONTH($B20),TableTime[[Activity]:[Activity]],S$10)*24)</f>
        <v>-</v>
      </c>
      <c r="T20" s="157" t="str">
        <f>IF(SUMIFS(TableTime[[Duration]:[Duration]],TableTime[[Month]:[Month]],MONTH($B20),TableTime[[Activity]:[Activity]],T$10)*24=0,"-",SUMIFS(TableTime[[Duration]:[Duration]],TableTime[[Month]:[Month]],MONTH($B20),TableTime[[Activity]:[Activity]],T$10)*24)</f>
        <v>-</v>
      </c>
    </row>
    <row r="21" spans="2:20" x14ac:dyDescent="0.35">
      <c r="B21" s="89">
        <f>DATE(Year,10,1)</f>
        <v>45200</v>
      </c>
      <c r="C21" s="12">
        <f>IF(COUNTIFS('Day summary'!$F$2:$F$367,C$11,'Day summary'!$C$2:$C$367,MONTH($B21))=0,"-",COUNTIFS('Day summary'!$F$2:$F$367,C$11,'Day summary'!$C$2:$C$367,MONTH($B21)))</f>
        <v>22</v>
      </c>
      <c r="D21" s="13">
        <f>IF(COUNTIFS('Day summary'!$F$2:$F$367,D$11,'Day summary'!$C$2:$C$367,MONTH($B21))=0,"-",COUNTIFS('Day summary'!$F$2:$F$367,D$11,'Day summary'!$C$2:$C$367,MONTH($B21)))</f>
        <v>9</v>
      </c>
      <c r="E21" s="13" t="str">
        <f>IF(COUNTIFS('Day summary'!$F$2:$F$367,E$11,'Day summary'!$C$2:$C$367,MONTH($B21))=0,"-",COUNTIFS('Day summary'!$F$2:$F$367,E$11,'Day summary'!$C$2:$C$367,MONTH($B21)))</f>
        <v>-</v>
      </c>
      <c r="F21" s="2" t="str">
        <f>IF(COUNTIFS('Day summary'!$F$2:$F$367,F$11,'Day summary'!$C$2:$C$367,MONTH($B21))+COUNTIFS('Day summary'!$F$2:$F$367,"H/2",'Day summary'!$C$2:$C$367,MONTH($B21))/2=0,"-",COUNTIFS('Day summary'!$F$2:$F$367,F$11,'Day summary'!$C$2:$C$367,MONTH($B21))+COUNTIFS('Day summary'!$F$2:$F$367,"H/2",'Day summary'!$C$2:$C$367,MONTH($B21))/2)</f>
        <v>-</v>
      </c>
      <c r="G21" s="13" t="str">
        <f>IF(COUNTIFS('Day summary'!$F$2:$F$367,G$11,'Day summary'!$C$2:$C$367,MONTH($B21))=0,"-",COUNTIFS('Day summary'!$F$2:$F$367,G$11,'Day summary'!$C$2:$C$367,MONTH($B21)))</f>
        <v>-</v>
      </c>
      <c r="H21" s="13" t="str">
        <f>IF(COUNTIFS('Day summary'!$F$2:$F$367,H$11,'Day summary'!$C$2:$C$367,MONTH($B21))=0,"-",COUNTIFS('Day summary'!$F$2:$F$367,H$11,'Day summary'!$C$2:$C$367,MONTH($B21)))</f>
        <v>-</v>
      </c>
      <c r="I21" s="13" t="str">
        <f>IF(COUNTIFS('Day summary'!$F$2:$F$367,I$11,'Day summary'!$C$2:$C$367,MONTH($B21))=0,"-",COUNTIFS('Day summary'!$F$2:$F$367,I$11,'Day summary'!$C$2:$C$367,MONTH($B21)))</f>
        <v>-</v>
      </c>
      <c r="J21" s="12">
        <f>SUMIFS('Day summary'!G$2:G$367,'Day summary'!$C$2:$C$367,MONTH($B21))*24</f>
        <v>175.99999999999994</v>
      </c>
      <c r="K21" s="47" t="str">
        <f>IF(SUMIFS('Day summary'!I$2:I$367,'Day summary'!$C$2:$C$367,MONTH($B21))*24=0,"-",SUMIFS('Day summary'!I$2:I$367,'Day summary'!$C$2:$C$367,MONTH($B21))*24)</f>
        <v>-</v>
      </c>
      <c r="L21" s="147" t="str">
        <f t="shared" ca="1" si="0"/>
        <v/>
      </c>
      <c r="M21" s="12" t="str">
        <f>IF(SUMIFS(TableTime[[Duration]:[Duration]],TableTime[[Month]:[Month]],MONTH($B21),TableTime[[Activity]:[Activity]],M$10)*24=0,"-",SUMIFS(TableTime[[Duration]:[Duration]],TableTime[[Month]:[Month]],MONTH($B21),TableTime[[Activity]:[Activity]],M$10)*24)</f>
        <v>-</v>
      </c>
      <c r="N21" s="152" t="str">
        <f>IF(SUMIFS(TableTime[[Duration]:[Duration]],TableTime[[Month]:[Month]],MONTH($B21),TableTime[[Activity]:[Activity]],N$10)*24=0,"-",SUMIFS(TableTime[[Duration]:[Duration]],TableTime[[Month]:[Month]],MONTH($B21),TableTime[[Activity]:[Activity]],N$10)*24)</f>
        <v>-</v>
      </c>
      <c r="O21" s="152" t="str">
        <f>IF(SUMIFS(TableTime[[Duration]:[Duration]],TableTime[[Month]:[Month]],MONTH($B21),TableTime[[Activity]:[Activity]],O$10)*24=0,"-",SUMIFS(TableTime[[Duration]:[Duration]],TableTime[[Month]:[Month]],MONTH($B21),TableTime[[Activity]:[Activity]],O$10)*24)</f>
        <v>-</v>
      </c>
      <c r="P21" s="152" t="str">
        <f>IF(SUMIFS(TableTime[[Duration]:[Duration]],TableTime[[Month]:[Month]],MONTH($B21),TableTime[[Activity]:[Activity]],P$10)*24=0,"-",SUMIFS(TableTime[[Duration]:[Duration]],TableTime[[Month]:[Month]],MONTH($B21),TableTime[[Activity]:[Activity]],P$10)*24)</f>
        <v>-</v>
      </c>
      <c r="Q21" s="152" t="str">
        <f>IF(SUMIFS(TableTime[[Duration]:[Duration]],TableTime[[Month]:[Month]],MONTH($B21),TableTime[[Activity]:[Activity]],Q$10)*24=0,"-",SUMIFS(TableTime[[Duration]:[Duration]],TableTime[[Month]:[Month]],MONTH($B21),TableTime[[Activity]:[Activity]],Q$10)*24)</f>
        <v>-</v>
      </c>
      <c r="R21" s="47" t="str">
        <f>IF(SUMIFS(TableTime[[Duration]:[Duration]],TableTime[[Month]:[Month]],MONTH($B21),TableTime[[Activity]:[Activity]],R$10)*24=0,"-",SUMIFS(TableTime[[Duration]:[Duration]],TableTime[[Month]:[Month]],MONTH($B21),TableTime[[Activity]:[Activity]],R$10)*24)</f>
        <v>-</v>
      </c>
      <c r="S21" s="152" t="str">
        <f>IF(SUMIFS(TableTime[[Duration]:[Duration]],TableTime[[Month]:[Month]],MONTH($B21),TableTime[[Activity]:[Activity]],S$10)*24=0,"-",SUMIFS(TableTime[[Duration]:[Duration]],TableTime[[Month]:[Month]],MONTH($B21),TableTime[[Activity]:[Activity]],S$10)*24)</f>
        <v>-</v>
      </c>
      <c r="T21" s="156" t="str">
        <f>IF(SUMIFS(TableTime[[Duration]:[Duration]],TableTime[[Month]:[Month]],MONTH($B21),TableTime[[Activity]:[Activity]],T$10)*24=0,"-",SUMIFS(TableTime[[Duration]:[Duration]],TableTime[[Month]:[Month]],MONTH($B21),TableTime[[Activity]:[Activity]],T$10)*24)</f>
        <v>-</v>
      </c>
    </row>
    <row r="22" spans="2:20" x14ac:dyDescent="0.35">
      <c r="B22" s="77">
        <f>DATE(Year,11,1)</f>
        <v>45231</v>
      </c>
      <c r="C22" s="14">
        <f>IF(COUNTIFS('Day summary'!$F$2:$F$367,C$11,'Day summary'!$C$2:$C$367,MONTH($B22))=0,"-",COUNTIFS('Day summary'!$F$2:$F$367,C$11,'Day summary'!$C$2:$C$367,MONTH($B22)))</f>
        <v>22</v>
      </c>
      <c r="D22" s="15">
        <f>IF(COUNTIFS('Day summary'!$F$2:$F$367,D$11,'Day summary'!$C$2:$C$367,MONTH($B22))=0,"-",COUNTIFS('Day summary'!$F$2:$F$367,D$11,'Day summary'!$C$2:$C$367,MONTH($B22)))</f>
        <v>8</v>
      </c>
      <c r="E22" s="15" t="str">
        <f>IF(COUNTIFS('Day summary'!$F$2:$F$367,E$11,'Day summary'!$C$2:$C$367,MONTH($B22))=0,"-",COUNTIFS('Day summary'!$F$2:$F$367,E$11,'Day summary'!$C$2:$C$367,MONTH($B22)))</f>
        <v>-</v>
      </c>
      <c r="F22" s="61" t="str">
        <f>IF(COUNTIFS('Day summary'!$F$2:$F$367,F$11,'Day summary'!$C$2:$C$367,MONTH($B22))+COUNTIFS('Day summary'!$F$2:$F$367,"H/2",'Day summary'!$C$2:$C$367,MONTH($B22))/2=0,"-",COUNTIFS('Day summary'!$F$2:$F$367,F$11,'Day summary'!$C$2:$C$367,MONTH($B22))+COUNTIFS('Day summary'!$F$2:$F$367,"H/2",'Day summary'!$C$2:$C$367,MONTH($B22))/2)</f>
        <v>-</v>
      </c>
      <c r="G22" s="15" t="str">
        <f>IF(COUNTIFS('Day summary'!$F$2:$F$367,G$11,'Day summary'!$C$2:$C$367,MONTH($B22))=0,"-",COUNTIFS('Day summary'!$F$2:$F$367,G$11,'Day summary'!$C$2:$C$367,MONTH($B22)))</f>
        <v>-</v>
      </c>
      <c r="H22" s="15" t="str">
        <f>IF(COUNTIFS('Day summary'!$F$2:$F$367,H$11,'Day summary'!$C$2:$C$367,MONTH($B22))=0,"-",COUNTIFS('Day summary'!$F$2:$F$367,H$11,'Day summary'!$C$2:$C$367,MONTH($B22)))</f>
        <v>-</v>
      </c>
      <c r="I22" s="15" t="str">
        <f>IF(COUNTIFS('Day summary'!$F$2:$F$367,I$11,'Day summary'!$C$2:$C$367,MONTH($B22))=0,"-",COUNTIFS('Day summary'!$F$2:$F$367,I$11,'Day summary'!$C$2:$C$367,MONTH($B22)))</f>
        <v>-</v>
      </c>
      <c r="J22" s="14">
        <f>SUMIFS('Day summary'!G$2:G$367,'Day summary'!$C$2:$C$367,MONTH($B22))*24</f>
        <v>175.99999999999994</v>
      </c>
      <c r="K22" s="48" t="str">
        <f>IF(SUMIFS('Day summary'!I$2:I$367,'Day summary'!$C$2:$C$367,MONTH($B22))*24=0,"-",SUMIFS('Day summary'!I$2:I$367,'Day summary'!$C$2:$C$367,MONTH($B22))*24)</f>
        <v>-</v>
      </c>
      <c r="L22" s="148" t="str">
        <f t="shared" ca="1" si="0"/>
        <v/>
      </c>
      <c r="M22" s="14" t="str">
        <f>IF(SUMIFS(TableTime[[Duration]:[Duration]],TableTime[[Month]:[Month]],MONTH($B22),TableTime[[Activity]:[Activity]],M$10)*24=0,"-",SUMIFS(TableTime[[Duration]:[Duration]],TableTime[[Month]:[Month]],MONTH($B22),TableTime[[Activity]:[Activity]],M$10)*24)</f>
        <v>-</v>
      </c>
      <c r="N22" s="151" t="str">
        <f>IF(SUMIFS(TableTime[[Duration]:[Duration]],TableTime[[Month]:[Month]],MONTH($B22),TableTime[[Activity]:[Activity]],N$10)*24=0,"-",SUMIFS(TableTime[[Duration]:[Duration]],TableTime[[Month]:[Month]],MONTH($B22),TableTime[[Activity]:[Activity]],N$10)*24)</f>
        <v>-</v>
      </c>
      <c r="O22" s="151" t="str">
        <f>IF(SUMIFS(TableTime[[Duration]:[Duration]],TableTime[[Month]:[Month]],MONTH($B22),TableTime[[Activity]:[Activity]],O$10)*24=0,"-",SUMIFS(TableTime[[Duration]:[Duration]],TableTime[[Month]:[Month]],MONTH($B22),TableTime[[Activity]:[Activity]],O$10)*24)</f>
        <v>-</v>
      </c>
      <c r="P22" s="151" t="str">
        <f>IF(SUMIFS(TableTime[[Duration]:[Duration]],TableTime[[Month]:[Month]],MONTH($B22),TableTime[[Activity]:[Activity]],P$10)*24=0,"-",SUMIFS(TableTime[[Duration]:[Duration]],TableTime[[Month]:[Month]],MONTH($B22),TableTime[[Activity]:[Activity]],P$10)*24)</f>
        <v>-</v>
      </c>
      <c r="Q22" s="151" t="str">
        <f>IF(SUMIFS(TableTime[[Duration]:[Duration]],TableTime[[Month]:[Month]],MONTH($B22),TableTime[[Activity]:[Activity]],Q$10)*24=0,"-",SUMIFS(TableTime[[Duration]:[Duration]],TableTime[[Month]:[Month]],MONTH($B22),TableTime[[Activity]:[Activity]],Q$10)*24)</f>
        <v>-</v>
      </c>
      <c r="R22" s="48" t="str">
        <f>IF(SUMIFS(TableTime[[Duration]:[Duration]],TableTime[[Month]:[Month]],MONTH($B22),TableTime[[Activity]:[Activity]],R$10)*24=0,"-",SUMIFS(TableTime[[Duration]:[Duration]],TableTime[[Month]:[Month]],MONTH($B22),TableTime[[Activity]:[Activity]],R$10)*24)</f>
        <v>-</v>
      </c>
      <c r="S22" s="151" t="str">
        <f>IF(SUMIFS(TableTime[[Duration]:[Duration]],TableTime[[Month]:[Month]],MONTH($B22),TableTime[[Activity]:[Activity]],S$10)*24=0,"-",SUMIFS(TableTime[[Duration]:[Duration]],TableTime[[Month]:[Month]],MONTH($B22),TableTime[[Activity]:[Activity]],S$10)*24)</f>
        <v>-</v>
      </c>
      <c r="T22" s="157" t="str">
        <f>IF(SUMIFS(TableTime[[Duration]:[Duration]],TableTime[[Month]:[Month]],MONTH($B22),TableTime[[Activity]:[Activity]],T$10)*24=0,"-",SUMIFS(TableTime[[Duration]:[Duration]],TableTime[[Month]:[Month]],MONTH($B22),TableTime[[Activity]:[Activity]],T$10)*24)</f>
        <v>-</v>
      </c>
    </row>
    <row r="23" spans="2:20" ht="15" thickBot="1" x14ac:dyDescent="0.4">
      <c r="B23" s="89">
        <f>DATE(Year,12,1)</f>
        <v>45261</v>
      </c>
      <c r="C23" s="12">
        <f>IF(COUNTIFS('Day summary'!$F$2:$F$367,C$11,'Day summary'!$C$2:$C$367,MONTH($B23))=0,"-",COUNTIFS('Day summary'!$F$2:$F$367,C$11,'Day summary'!$C$2:$C$367,MONTH($B23)))</f>
        <v>16</v>
      </c>
      <c r="D23" s="13">
        <f>IF(COUNTIFS('Day summary'!$F$2:$F$367,D$11,'Day summary'!$C$2:$C$367,MONTH($B23))=0,"-",COUNTIFS('Day summary'!$F$2:$F$367,D$11,'Day summary'!$C$2:$C$367,MONTH($B23)))</f>
        <v>10</v>
      </c>
      <c r="E23" s="13">
        <f>IF(COUNTIFS('Day summary'!$F$2:$F$367,E$11,'Day summary'!$C$2:$C$367,MONTH($B23))=0,"-",COUNTIFS('Day summary'!$F$2:$F$367,E$11,'Day summary'!$C$2:$C$367,MONTH($B23)))</f>
        <v>5</v>
      </c>
      <c r="F23" s="2" t="str">
        <f>IF(COUNTIFS('Day summary'!$F$2:$F$367,F$11,'Day summary'!$C$2:$C$367,MONTH($B23))+COUNTIFS('Day summary'!$F$2:$F$367,"H/2",'Day summary'!$C$2:$C$367,MONTH($B23))/2=0,"-",COUNTIFS('Day summary'!$F$2:$F$367,F$11,'Day summary'!$C$2:$C$367,MONTH($B23))+COUNTIFS('Day summary'!$F$2:$F$367,"H/2",'Day summary'!$C$2:$C$367,MONTH($B23))/2)</f>
        <v>-</v>
      </c>
      <c r="G23" s="13" t="str">
        <f>IF(COUNTIFS('Day summary'!$F$2:$F$367,G$11,'Day summary'!$C$2:$C$367,MONTH($B23))=0,"-",COUNTIFS('Day summary'!$F$2:$F$367,G$11,'Day summary'!$C$2:$C$367,MONTH($B23)))</f>
        <v>-</v>
      </c>
      <c r="H23" s="13" t="str">
        <f>IF(COUNTIFS('Day summary'!$F$2:$F$367,H$11,'Day summary'!$C$2:$C$367,MONTH($B23))=0,"-",COUNTIFS('Day summary'!$F$2:$F$367,H$11,'Day summary'!$C$2:$C$367,MONTH($B23)))</f>
        <v>-</v>
      </c>
      <c r="I23" s="13" t="str">
        <f>IF(COUNTIFS('Day summary'!$F$2:$F$367,I$11,'Day summary'!$C$2:$C$367,MONTH($B23))=0,"-",COUNTIFS('Day summary'!$F$2:$F$367,I$11,'Day summary'!$C$2:$C$367,MONTH($B23)))</f>
        <v>-</v>
      </c>
      <c r="J23" s="12">
        <f>SUMIFS('Day summary'!G$2:G$367,'Day summary'!$C$2:$C$367,MONTH($B23))*24</f>
        <v>127.99999999999997</v>
      </c>
      <c r="K23" s="47" t="str">
        <f>IF(SUMIFS('Day summary'!I$2:I$367,'Day summary'!$C$2:$C$367,MONTH($B23))*24=0,"-",SUMIFS('Day summary'!I$2:I$367,'Day summary'!$C$2:$C$367,MONTH($B23))*24)</f>
        <v>-</v>
      </c>
      <c r="L23" s="147" t="str">
        <f t="shared" ca="1" si="0"/>
        <v/>
      </c>
      <c r="M23" s="161" t="str">
        <f>IF(SUMIFS(TableTime[[Duration]:[Duration]],TableTime[[Month]:[Month]],MONTH($B23),TableTime[[Activity]:[Activity]],M$10)*24=0,"-",SUMIFS(TableTime[[Duration]:[Duration]],TableTime[[Month]:[Month]],MONTH($B23),TableTime[[Activity]:[Activity]],M$10)*24)</f>
        <v>-</v>
      </c>
      <c r="N23" s="162" t="str">
        <f>IF(SUMIFS(TableTime[[Duration]:[Duration]],TableTime[[Month]:[Month]],MONTH($B23),TableTime[[Activity]:[Activity]],N$10)*24=0,"-",SUMIFS(TableTime[[Duration]:[Duration]],TableTime[[Month]:[Month]],MONTH($B23),TableTime[[Activity]:[Activity]],N$10)*24)</f>
        <v>-</v>
      </c>
      <c r="O23" s="162" t="str">
        <f>IF(SUMIFS(TableTime[[Duration]:[Duration]],TableTime[[Month]:[Month]],MONTH($B23),TableTime[[Activity]:[Activity]],O$10)*24=0,"-",SUMIFS(TableTime[[Duration]:[Duration]],TableTime[[Month]:[Month]],MONTH($B23),TableTime[[Activity]:[Activity]],O$10)*24)</f>
        <v>-</v>
      </c>
      <c r="P23" s="162" t="str">
        <f>IF(SUMIFS(TableTime[[Duration]:[Duration]],TableTime[[Month]:[Month]],MONTH($B23),TableTime[[Activity]:[Activity]],P$10)*24=0,"-",SUMIFS(TableTime[[Duration]:[Duration]],TableTime[[Month]:[Month]],MONTH($B23),TableTime[[Activity]:[Activity]],P$10)*24)</f>
        <v>-</v>
      </c>
      <c r="Q23" s="162" t="str">
        <f>IF(SUMIFS(TableTime[[Duration]:[Duration]],TableTime[[Month]:[Month]],MONTH($B23),TableTime[[Activity]:[Activity]],Q$10)*24=0,"-",SUMIFS(TableTime[[Duration]:[Duration]],TableTime[[Month]:[Month]],MONTH($B23),TableTime[[Activity]:[Activity]],Q$10)*24)</f>
        <v>-</v>
      </c>
      <c r="R23" s="171" t="str">
        <f>IF(SUMIFS(TableTime[[Duration]:[Duration]],TableTime[[Month]:[Month]],MONTH($B23),TableTime[[Activity]:[Activity]],R$10)*24=0,"-",SUMIFS(TableTime[[Duration]:[Duration]],TableTime[[Month]:[Month]],MONTH($B23),TableTime[[Activity]:[Activity]],R$10)*24)</f>
        <v>-</v>
      </c>
      <c r="S23" s="162" t="str">
        <f>IF(SUMIFS(TableTime[[Duration]:[Duration]],TableTime[[Month]:[Month]],MONTH($B23),TableTime[[Activity]:[Activity]],S$10)*24=0,"-",SUMIFS(TableTime[[Duration]:[Duration]],TableTime[[Month]:[Month]],MONTH($B23),TableTime[[Activity]:[Activity]],S$10)*24)</f>
        <v>-</v>
      </c>
      <c r="T23" s="163" t="str">
        <f>IF(SUMIFS(TableTime[[Duration]:[Duration]],TableTime[[Month]:[Month]],MONTH($B23),TableTime[[Activity]:[Activity]],T$10)*24=0,"-",SUMIFS(TableTime[[Duration]:[Duration]],TableTime[[Month]:[Month]],MONTH($B23),TableTime[[Activity]:[Activity]],T$10)*24)</f>
        <v>-</v>
      </c>
    </row>
    <row r="24" spans="2:20" ht="15.5" thickTop="1" thickBot="1" x14ac:dyDescent="0.4">
      <c r="B24" s="173" t="s">
        <v>56</v>
      </c>
      <c r="C24" s="174">
        <f>SUM(C12:C23)</f>
        <v>249</v>
      </c>
      <c r="D24" s="175">
        <f t="shared" ref="D24:J24" si="1">SUM(D12:D23)</f>
        <v>105</v>
      </c>
      <c r="E24" s="175">
        <f t="shared" si="1"/>
        <v>11</v>
      </c>
      <c r="F24" s="176">
        <f t="shared" si="1"/>
        <v>0</v>
      </c>
      <c r="G24" s="175">
        <f t="shared" si="1"/>
        <v>0</v>
      </c>
      <c r="H24" s="175">
        <f>SUM(H12:H23)</f>
        <v>0</v>
      </c>
      <c r="I24" s="177">
        <f t="shared" si="1"/>
        <v>0</v>
      </c>
      <c r="J24" s="16">
        <f t="shared" si="1"/>
        <v>1991.9999999999998</v>
      </c>
      <c r="K24" s="49">
        <f>SUM(K12:K23)</f>
        <v>0</v>
      </c>
      <c r="L24" s="17" t="str">
        <f ca="1">IF(L23="","",K24-J24)</f>
        <v/>
      </c>
      <c r="M24" s="158">
        <f t="shared" ref="M24:T24" si="2">SUM(M12:M23)</f>
        <v>0</v>
      </c>
      <c r="N24" s="159">
        <f t="shared" si="2"/>
        <v>0</v>
      </c>
      <c r="O24" s="159">
        <f t="shared" si="2"/>
        <v>0</v>
      </c>
      <c r="P24" s="159">
        <f t="shared" si="2"/>
        <v>0</v>
      </c>
      <c r="Q24" s="159">
        <f t="shared" si="2"/>
        <v>0</v>
      </c>
      <c r="R24" s="172">
        <f t="shared" si="2"/>
        <v>0</v>
      </c>
      <c r="S24" s="159">
        <f t="shared" si="2"/>
        <v>0</v>
      </c>
      <c r="T24" s="160">
        <f t="shared" si="2"/>
        <v>0</v>
      </c>
    </row>
  </sheetData>
  <sheetProtection sheet="1" objects="1" scenarios="1" selectLockedCells="1"/>
  <conditionalFormatting sqref="C12:C23">
    <cfRule type="dataBar" priority="3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{AF223F5E-6F5B-4F51-AF31-337617713314}</x14:id>
        </ext>
      </extLst>
    </cfRule>
  </conditionalFormatting>
  <conditionalFormatting sqref="F12:F23">
    <cfRule type="dataBar" priority="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{7556B69E-EF82-4803-ACC9-E6BD8C93E20D}</x14:id>
        </ext>
      </extLst>
    </cfRule>
  </conditionalFormatting>
  <conditionalFormatting sqref="L12:L24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{ADBCD8A0-A624-4464-8F49-4C3B6D6F262B}</x14:id>
        </ext>
      </extLst>
    </cfRule>
  </conditionalFormatting>
  <pageMargins left="0.7" right="0.7" top="0.75" bottom="0.75" header="0.3" footer="0.3"/>
  <pageSetup paperSize="9" orientation="portrait" horizontalDpi="300" r:id="rId1"/>
  <ignoredErrors>
    <ignoredError sqref="F12:F23 L24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23F5E-6F5B-4F51-AF31-337617713314}">
            <x14:dataBar minLength="0" maxLength="100" border="1" direction="rightToLeft" negativeBarBorderColorSameAsPositive="0">
              <x14:cfvo type="autoMin"/>
              <x14:cfvo type="autoMax"/>
              <x14:borderColor theme="9" tint="0.59999389629810485"/>
              <x14:negativeFillColor rgb="FFFF0000"/>
              <x14:negativeBorderColor rgb="FFFF0000"/>
              <x14:axisColor rgb="FF000000"/>
            </x14:dataBar>
          </x14:cfRule>
          <xm:sqref>C12:C23</xm:sqref>
        </x14:conditionalFormatting>
        <x14:conditionalFormatting xmlns:xm="http://schemas.microsoft.com/office/excel/2006/main">
          <x14:cfRule type="dataBar" id="{7556B69E-EF82-4803-ACC9-E6BD8C93E20D}">
            <x14:dataBar minLength="0" maxLength="100" border="1" direction="rightToLeft" negativeBarBorderColorSameAsPositive="0">
              <x14:cfvo type="autoMin"/>
              <x14:cfvo type="autoMax"/>
              <x14:borderColor theme="5" tint="0.59999389629810485"/>
              <x14:negativeFillColor rgb="FFFF0000"/>
              <x14:negativeBorderColor rgb="FFFF0000"/>
              <x14:axisColor rgb="FF000000"/>
            </x14:dataBar>
          </x14:cfRule>
          <xm:sqref>F12:F23</xm:sqref>
        </x14:conditionalFormatting>
        <x14:conditionalFormatting xmlns:xm="http://schemas.microsoft.com/office/excel/2006/main">
          <x14:cfRule type="dataBar" id="{ADBCD8A0-A624-4464-8F49-4C3B6D6F262B}">
            <x14:dataBar border="1" negativeBarBorderColorSameAsPositive="0" axisPosition="middle">
              <x14:cfvo type="min"/>
              <x14:cfvo type="max"/>
              <x14:borderColor theme="5" tint="0.59999389629810485"/>
              <x14:negativeFillColor theme="6" tint="0.59999389629810485"/>
              <x14:negativeBorderColor theme="6" tint="0.59999389629810485"/>
              <x14:axisColor theme="1"/>
            </x14:dataBar>
          </x14:cfRule>
          <xm:sqref>L12:L24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D11"/>
  <sheetViews>
    <sheetView showGridLines="0" workbookViewId="0">
      <selection activeCell="C2" sqref="C2"/>
    </sheetView>
  </sheetViews>
  <sheetFormatPr defaultColWidth="10.81640625" defaultRowHeight="14.5" x14ac:dyDescent="0.35"/>
  <cols>
    <col min="1" max="1" width="10.81640625" customWidth="1"/>
    <col min="2" max="2" width="13.81640625" customWidth="1"/>
    <col min="3" max="3" width="10.81640625" customWidth="1"/>
    <col min="4" max="4" width="57.453125" bestFit="1" customWidth="1"/>
  </cols>
  <sheetData>
    <row r="1" spans="2:4" ht="15" thickBot="1" x14ac:dyDescent="0.4"/>
    <row r="2" spans="2:4" x14ac:dyDescent="0.35">
      <c r="B2" s="114" t="s">
        <v>76</v>
      </c>
      <c r="C2" s="124" t="s">
        <v>79</v>
      </c>
      <c r="D2" s="117" t="s">
        <v>87</v>
      </c>
    </row>
    <row r="3" spans="2:4" x14ac:dyDescent="0.35">
      <c r="B3" s="199" t="s">
        <v>84</v>
      </c>
      <c r="C3" s="125" t="s">
        <v>80</v>
      </c>
      <c r="D3" s="118"/>
    </row>
    <row r="4" spans="2:4" x14ac:dyDescent="0.35">
      <c r="B4" s="199"/>
      <c r="C4" s="125" t="s">
        <v>81</v>
      </c>
      <c r="D4" s="118"/>
    </row>
    <row r="5" spans="2:4" x14ac:dyDescent="0.35">
      <c r="B5" s="199"/>
      <c r="C5" s="125" t="s">
        <v>82</v>
      </c>
      <c r="D5" s="118" t="s">
        <v>85</v>
      </c>
    </row>
    <row r="6" spans="2:4" x14ac:dyDescent="0.35">
      <c r="B6" s="199"/>
      <c r="C6" s="125" t="s">
        <v>10</v>
      </c>
      <c r="D6" s="118" t="s">
        <v>94</v>
      </c>
    </row>
    <row r="7" spans="2:4" ht="15" thickBot="1" x14ac:dyDescent="0.4">
      <c r="B7" s="200"/>
      <c r="C7" s="126" t="s">
        <v>77</v>
      </c>
      <c r="D7" s="119" t="s">
        <v>86</v>
      </c>
    </row>
    <row r="8" spans="2:4" x14ac:dyDescent="0.35">
      <c r="B8" s="115" t="s">
        <v>78</v>
      </c>
      <c r="C8" s="125" t="s">
        <v>88</v>
      </c>
      <c r="D8" s="118" t="s">
        <v>87</v>
      </c>
    </row>
    <row r="9" spans="2:4" x14ac:dyDescent="0.35">
      <c r="B9" s="199" t="s">
        <v>83</v>
      </c>
      <c r="C9" s="127" t="s">
        <v>89</v>
      </c>
      <c r="D9" s="120" t="s">
        <v>90</v>
      </c>
    </row>
    <row r="10" spans="2:4" x14ac:dyDescent="0.35">
      <c r="B10" s="199"/>
      <c r="C10" s="179" t="s">
        <v>8</v>
      </c>
      <c r="D10" s="181" t="s">
        <v>95</v>
      </c>
    </row>
    <row r="11" spans="2:4" ht="15" thickBot="1" x14ac:dyDescent="0.4">
      <c r="B11" s="200"/>
      <c r="C11" s="180" t="s">
        <v>9</v>
      </c>
      <c r="D11" s="182" t="s">
        <v>95</v>
      </c>
    </row>
  </sheetData>
  <sheetProtection sheet="1" selectLockedCells="1"/>
  <mergeCells count="2">
    <mergeCell ref="B3:B7"/>
    <mergeCell ref="B9:B1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D476-4EEF-4474-975C-4052C5ED9DFE}">
  <sheetPr codeName="Sheet6"/>
  <dimension ref="B2:B6"/>
  <sheetViews>
    <sheetView showGridLines="0" workbookViewId="0">
      <selection activeCell="B8" sqref="B8"/>
    </sheetView>
  </sheetViews>
  <sheetFormatPr defaultRowHeight="14.5" x14ac:dyDescent="0.35"/>
  <sheetData>
    <row r="2" spans="2:2" x14ac:dyDescent="0.35">
      <c r="B2" t="s">
        <v>96</v>
      </c>
    </row>
    <row r="3" spans="2:2" x14ac:dyDescent="0.35">
      <c r="B3" t="s">
        <v>97</v>
      </c>
    </row>
    <row r="4" spans="2:2" x14ac:dyDescent="0.35">
      <c r="B4" t="s">
        <v>98</v>
      </c>
    </row>
    <row r="6" spans="2:2" x14ac:dyDescent="0.35">
      <c r="B6" t="s">
        <v>99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3976fa30-1907-4356-8241-62ea5e1c0256}" enabled="1" method="Standard" siteId="{9a5cacd0-2bef-4dd7-ac5c-7ebe1f54f49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Time</vt:lpstr>
      <vt:lpstr>Day summary</vt:lpstr>
      <vt:lpstr>Week summary</vt:lpstr>
      <vt:lpstr>Month summary</vt:lpstr>
      <vt:lpstr>Projects</vt:lpstr>
      <vt:lpstr>Readme</vt:lpstr>
      <vt:lpstr>ProjectList</vt:lpstr>
      <vt:lpstr>Year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TimeSheet</dc:title>
  <dc:subject/>
  <dc:creator>Pablo MARIN</dc:creator>
  <cp:keywords/>
  <dc:description/>
  <cp:lastModifiedBy>Pablo Marin</cp:lastModifiedBy>
  <cp:revision/>
  <dcterms:created xsi:type="dcterms:W3CDTF">2018-10-19T09:54:21Z</dcterms:created>
  <dcterms:modified xsi:type="dcterms:W3CDTF">2023-03-01T18:19:19Z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976fa30-1907-4356-8241-62ea5e1c0256_Enabled">
    <vt:lpwstr>true</vt:lpwstr>
  </property>
  <property fmtid="{D5CDD505-2E9C-101B-9397-08002B2CF9AE}" pid="3" name="MSIP_Label_3976fa30-1907-4356-8241-62ea5e1c0256_SetDate">
    <vt:lpwstr>2021-12-02T08:39:06Z</vt:lpwstr>
  </property>
  <property fmtid="{D5CDD505-2E9C-101B-9397-08002B2CF9AE}" pid="4" name="MSIP_Label_3976fa30-1907-4356-8241-62ea5e1c0256_Method">
    <vt:lpwstr>Standard</vt:lpwstr>
  </property>
  <property fmtid="{D5CDD505-2E9C-101B-9397-08002B2CF9AE}" pid="5" name="MSIP_Label_3976fa30-1907-4356-8241-62ea5e1c0256_Name">
    <vt:lpwstr>ESA UNCLASSIFIED – For ESA Official Use Only</vt:lpwstr>
  </property>
  <property fmtid="{D5CDD505-2E9C-101B-9397-08002B2CF9AE}" pid="6" name="MSIP_Label_3976fa30-1907-4356-8241-62ea5e1c0256_SiteId">
    <vt:lpwstr>9a5cacd0-2bef-4dd7-ac5c-7ebe1f54f495</vt:lpwstr>
  </property>
  <property fmtid="{D5CDD505-2E9C-101B-9397-08002B2CF9AE}" pid="7" name="MSIP_Label_3976fa30-1907-4356-8241-62ea5e1c0256_ActionId">
    <vt:lpwstr>89740bdb-a99f-4c40-bf28-ab5046bf1ece</vt:lpwstr>
  </property>
  <property fmtid="{D5CDD505-2E9C-101B-9397-08002B2CF9AE}" pid="8" name="MSIP_Label_3976fa30-1907-4356-8241-62ea5e1c0256_ContentBits">
    <vt:lpwstr>0</vt:lpwstr>
  </property>
</Properties>
</file>